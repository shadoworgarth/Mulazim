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defaultThemeVersion="166925"/>
  <mc:AlternateContent xmlns:mc="http://schemas.openxmlformats.org/markup-compatibility/2006">
    <mc:Choice Requires="x15">
      <x15ac:absPath xmlns:x15ac="http://schemas.microsoft.com/office/spreadsheetml/2010/11/ac" url="C:\Users\hatamimi\Desktop\"/>
    </mc:Choice>
  </mc:AlternateContent>
  <xr:revisionPtr revIDLastSave="0" documentId="8_{5CCA7D2C-CDAF-49ED-B66C-1213E4A24C3A}" xr6:coauthVersionLast="36" xr6:coauthVersionMax="36" xr10:uidLastSave="{00000000-0000-0000-0000-000000000000}"/>
  <bookViews>
    <workbookView xWindow="-120" yWindow="-120" windowWidth="29040" windowHeight="15720" xr2:uid="{00000000-000D-0000-FFFF-FFFF00000000}"/>
  </bookViews>
  <sheets>
    <sheet name="مصانع الأعلاف" sheetId="5" r:id="rId1"/>
    <sheet name="مستودعات ومراكز توزيع الأعلاف" sheetId="14" r:id="rId2"/>
    <sheet name="مستوردو الأعلاف" sheetId="17" r:id="rId3"/>
    <sheet name="المختبرات الخاصة لتحليل الأعلاف" sheetId="10" r:id="rId4"/>
    <sheet name="المكاتب الاستشارية" sheetId="11" r:id="rId5"/>
    <sheet name="منافذ بيع الأعلاف" sheetId="13" r:id="rId6"/>
  </sheets>
  <definedNames>
    <definedName name="_xlnm._FilterDatabase" localSheetId="1" hidden="1">'مستودعات ومراكز توزيع الأعلاف'!$A$2:$W$90</definedName>
    <definedName name="_xlnm._FilterDatabase" localSheetId="0" hidden="1">'مصانع الأعلاف'!$B$2:$G$110</definedName>
    <definedName name="_xlnm._FilterDatabase" localSheetId="5" hidden="1">'منافذ بيع الأعلاف'!$B$2:$I$71</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6" i="11" l="1"/>
  <c r="H16" i="11"/>
  <c r="G16" i="11"/>
  <c r="F16" i="11"/>
  <c r="E16" i="11"/>
  <c r="L15" i="11"/>
  <c r="H15" i="11"/>
  <c r="G15" i="11"/>
  <c r="F15" i="11"/>
  <c r="E15" i="11"/>
  <c r="E17" i="11"/>
  <c r="F17" i="11"/>
  <c r="G17" i="11"/>
  <c r="H17" i="11"/>
  <c r="K17" i="11" s="1"/>
  <c r="I17" i="11"/>
  <c r="L17" i="11"/>
  <c r="M17" i="11" s="1"/>
  <c r="N17" i="11"/>
  <c r="J17" i="11" l="1"/>
  <c r="O17" i="11"/>
  <c r="L52" i="10"/>
  <c r="H52" i="10"/>
  <c r="L51" i="10"/>
  <c r="H51" i="10"/>
  <c r="G51" i="10"/>
  <c r="F51" i="10"/>
  <c r="E51" i="10"/>
  <c r="D50" i="10"/>
  <c r="L49" i="10"/>
  <c r="L50" i="10" s="1"/>
  <c r="H49" i="10"/>
  <c r="I49" i="10" s="1"/>
  <c r="I50" i="10" s="1"/>
  <c r="G49" i="10"/>
  <c r="G50" i="10" s="1"/>
  <c r="F49" i="10"/>
  <c r="F50" i="10" s="1"/>
  <c r="E49" i="10"/>
  <c r="E50" i="10" s="1"/>
  <c r="L48" i="10"/>
  <c r="H48" i="10"/>
  <c r="L47" i="10"/>
  <c r="H47" i="10"/>
  <c r="G47" i="10"/>
  <c r="F47" i="10"/>
  <c r="E47" i="10"/>
  <c r="L46" i="10"/>
  <c r="H46" i="10"/>
  <c r="G46" i="10"/>
  <c r="F46" i="10"/>
  <c r="E46" i="10"/>
  <c r="L45" i="10"/>
  <c r="H45" i="10"/>
  <c r="L44" i="10"/>
  <c r="H44" i="10"/>
  <c r="D42" i="10"/>
  <c r="L41" i="10"/>
  <c r="L42" i="10" s="1"/>
  <c r="H41" i="10"/>
  <c r="K41" i="10" s="1"/>
  <c r="K42" i="10" s="1"/>
  <c r="G41" i="10"/>
  <c r="G42" i="10" s="1"/>
  <c r="F41" i="10"/>
  <c r="F42" i="10" s="1"/>
  <c r="E41" i="10"/>
  <c r="E42" i="10" s="1"/>
  <c r="E40" i="10"/>
  <c r="D40" i="10"/>
  <c r="L39" i="10"/>
  <c r="O39" i="10" s="1"/>
  <c r="O40" i="10" s="1"/>
  <c r="H39" i="10"/>
  <c r="H40" i="10" s="1"/>
  <c r="G39" i="10"/>
  <c r="G40" i="10" s="1"/>
  <c r="F39" i="10"/>
  <c r="F40" i="10" s="1"/>
  <c r="E39" i="10"/>
  <c r="L38" i="10"/>
  <c r="D38" i="10"/>
  <c r="O37" i="10"/>
  <c r="O38" i="10" s="1"/>
  <c r="M37" i="10"/>
  <c r="M38" i="10" s="1"/>
  <c r="L37" i="10"/>
  <c r="N37" i="10" s="1"/>
  <c r="N38" i="10" s="1"/>
  <c r="H37" i="10"/>
  <c r="H38" i="10" s="1"/>
  <c r="G37" i="10"/>
  <c r="G38" i="10" s="1"/>
  <c r="F37" i="10"/>
  <c r="F38" i="10" s="1"/>
  <c r="E37" i="10"/>
  <c r="E38" i="10" s="1"/>
  <c r="D36" i="10"/>
  <c r="N35" i="10"/>
  <c r="N36" i="10" s="1"/>
  <c r="L35" i="10"/>
  <c r="M35" i="10" s="1"/>
  <c r="M36" i="10" s="1"/>
  <c r="H35" i="10"/>
  <c r="H36" i="10" s="1"/>
  <c r="G35" i="10"/>
  <c r="G36" i="10" s="1"/>
  <c r="F35" i="10"/>
  <c r="F36" i="10" s="1"/>
  <c r="E35" i="10"/>
  <c r="E36" i="10" s="1"/>
  <c r="L34" i="10"/>
  <c r="H34" i="10"/>
  <c r="L33" i="10"/>
  <c r="H33" i="10"/>
  <c r="G33" i="10"/>
  <c r="F33" i="10"/>
  <c r="E33" i="10"/>
  <c r="L32" i="10"/>
  <c r="H32" i="10"/>
  <c r="G32" i="10"/>
  <c r="F32" i="10"/>
  <c r="E32" i="10"/>
  <c r="L31" i="10"/>
  <c r="H31" i="10"/>
  <c r="G31" i="10"/>
  <c r="F31" i="10"/>
  <c r="E31" i="10"/>
  <c r="L30" i="10"/>
  <c r="H30" i="10"/>
  <c r="G29" i="10"/>
  <c r="F29" i="10"/>
  <c r="E29" i="10"/>
  <c r="D29" i="10"/>
  <c r="L28" i="10"/>
  <c r="O28" i="10" s="1"/>
  <c r="O29" i="10" s="1"/>
  <c r="I28" i="10"/>
  <c r="I29" i="10" s="1"/>
  <c r="H28" i="10"/>
  <c r="H29" i="10" s="1"/>
  <c r="G28" i="10"/>
  <c r="F28" i="10"/>
  <c r="E28" i="10"/>
  <c r="L27" i="10"/>
  <c r="H27" i="10"/>
  <c r="L26" i="10"/>
  <c r="H26" i="10"/>
  <c r="L25" i="10"/>
  <c r="H25" i="10"/>
  <c r="L24" i="10"/>
  <c r="D24" i="10"/>
  <c r="N23" i="10"/>
  <c r="N24" i="10" s="1"/>
  <c r="L23" i="10"/>
  <c r="M23" i="10" s="1"/>
  <c r="M24" i="10" s="1"/>
  <c r="H23" i="10"/>
  <c r="H24" i="10" s="1"/>
  <c r="G23" i="10"/>
  <c r="G24" i="10" s="1"/>
  <c r="F23" i="10"/>
  <c r="F24" i="10" s="1"/>
  <c r="E23" i="10"/>
  <c r="E24" i="10" s="1"/>
  <c r="L22" i="10"/>
  <c r="H22" i="10"/>
  <c r="L21" i="10"/>
  <c r="D21" i="10"/>
  <c r="O20" i="10"/>
  <c r="O21" i="10" s="1"/>
  <c r="L20" i="10"/>
  <c r="M20" i="10" s="1"/>
  <c r="M21" i="10" s="1"/>
  <c r="H20" i="10"/>
  <c r="H21" i="10" s="1"/>
  <c r="G20" i="10"/>
  <c r="G21" i="10" s="1"/>
  <c r="F20" i="10"/>
  <c r="F21" i="10" s="1"/>
  <c r="E20" i="10"/>
  <c r="E21" i="10" s="1"/>
  <c r="L19" i="10"/>
  <c r="H19" i="10"/>
  <c r="L18" i="10"/>
  <c r="D18" i="10"/>
  <c r="L17" i="10"/>
  <c r="N17" i="10" s="1"/>
  <c r="N18" i="10" s="1"/>
  <c r="H17" i="10"/>
  <c r="H18" i="10" s="1"/>
  <c r="G17" i="10"/>
  <c r="G18" i="10" s="1"/>
  <c r="F17" i="10"/>
  <c r="F18" i="10" s="1"/>
  <c r="E17" i="10"/>
  <c r="E18" i="10" s="1"/>
  <c r="L16" i="10"/>
  <c r="E16" i="10"/>
  <c r="D16" i="10"/>
  <c r="L15" i="10"/>
  <c r="M15" i="10" s="1"/>
  <c r="M16" i="10" s="1"/>
  <c r="H15" i="10"/>
  <c r="H16" i="10" s="1"/>
  <c r="G15" i="10"/>
  <c r="G16" i="10" s="1"/>
  <c r="F15" i="10"/>
  <c r="F16" i="10" s="1"/>
  <c r="E15" i="10"/>
  <c r="L12" i="10"/>
  <c r="H12" i="10"/>
  <c r="L10" i="10"/>
  <c r="F10" i="10"/>
  <c r="E10" i="10"/>
  <c r="D10" i="10"/>
  <c r="L9" i="10"/>
  <c r="N9" i="10" s="1"/>
  <c r="N10" i="10" s="1"/>
  <c r="H9" i="10"/>
  <c r="J9" i="10" s="1"/>
  <c r="J10" i="10" s="1"/>
  <c r="G9" i="10"/>
  <c r="G10" i="10" s="1"/>
  <c r="F9" i="10"/>
  <c r="E9" i="10"/>
  <c r="L8" i="10"/>
  <c r="D8" i="10"/>
  <c r="O7" i="10"/>
  <c r="O8" i="10" s="1"/>
  <c r="N7" i="10"/>
  <c r="N8" i="10" s="1"/>
  <c r="L7" i="10"/>
  <c r="M7" i="10" s="1"/>
  <c r="M8" i="10" s="1"/>
  <c r="H7" i="10"/>
  <c r="H8" i="10" s="1"/>
  <c r="G7" i="10"/>
  <c r="G8" i="10" s="1"/>
  <c r="F7" i="10"/>
  <c r="F8" i="10" s="1"/>
  <c r="E7" i="10"/>
  <c r="E8" i="10" s="1"/>
  <c r="L6" i="10"/>
  <c r="H6" i="10"/>
  <c r="L5" i="10"/>
  <c r="H5" i="10"/>
  <c r="L21" i="11"/>
  <c r="H21" i="11"/>
  <c r="D20" i="11"/>
  <c r="L19" i="11"/>
  <c r="L20" i="11" s="1"/>
  <c r="H19" i="11"/>
  <c r="J19" i="11" s="1"/>
  <c r="J20" i="11" s="1"/>
  <c r="G19" i="11"/>
  <c r="G20" i="11" s="1"/>
  <c r="F19" i="11"/>
  <c r="F20" i="11" s="1"/>
  <c r="E19" i="11"/>
  <c r="E20" i="11" s="1"/>
  <c r="D18" i="11"/>
  <c r="L18" i="11"/>
  <c r="K18" i="11"/>
  <c r="I18" i="11"/>
  <c r="G18" i="11"/>
  <c r="F18" i="11"/>
  <c r="E18" i="11"/>
  <c r="L13" i="11"/>
  <c r="H13" i="11"/>
  <c r="L12" i="11"/>
  <c r="H12" i="11"/>
  <c r="D10" i="11"/>
  <c r="L9" i="11"/>
  <c r="N9" i="11" s="1"/>
  <c r="N10" i="11" s="1"/>
  <c r="H9" i="11"/>
  <c r="H10" i="11" s="1"/>
  <c r="G9" i="11"/>
  <c r="G10" i="11" s="1"/>
  <c r="F9" i="11"/>
  <c r="F10" i="11" s="1"/>
  <c r="E9" i="11"/>
  <c r="E10" i="11" s="1"/>
  <c r="D8" i="11"/>
  <c r="L7" i="11"/>
  <c r="M7" i="11" s="1"/>
  <c r="M8" i="11" s="1"/>
  <c r="H7" i="11"/>
  <c r="I7" i="11" s="1"/>
  <c r="I8" i="11" s="1"/>
  <c r="G7" i="11"/>
  <c r="G8" i="11" s="1"/>
  <c r="F7" i="11"/>
  <c r="F8" i="11" s="1"/>
  <c r="E7" i="11"/>
  <c r="E8" i="11" s="1"/>
  <c r="L6" i="11"/>
  <c r="H6" i="11"/>
  <c r="L5" i="11"/>
  <c r="H5" i="11"/>
  <c r="I9" i="11" l="1"/>
  <c r="I10" i="11" s="1"/>
  <c r="L40" i="10"/>
  <c r="H18" i="11"/>
  <c r="O9" i="10"/>
  <c r="O10" i="10" s="1"/>
  <c r="N15" i="10"/>
  <c r="N16" i="10" s="1"/>
  <c r="O23" i="10"/>
  <c r="O24" i="10" s="1"/>
  <c r="L36" i="10"/>
  <c r="H42" i="10"/>
  <c r="L8" i="11"/>
  <c r="O15" i="10"/>
  <c r="O16" i="10" s="1"/>
  <c r="H50" i="10"/>
  <c r="I41" i="10"/>
  <c r="I42" i="10" s="1"/>
  <c r="K19" i="11"/>
  <c r="K20" i="11" s="1"/>
  <c r="I39" i="10"/>
  <c r="I40" i="10" s="1"/>
  <c r="J41" i="10"/>
  <c r="J42" i="10" s="1"/>
  <c r="J9" i="11"/>
  <c r="J10" i="11" s="1"/>
  <c r="J18" i="11"/>
  <c r="M19" i="11"/>
  <c r="M20" i="11" s="1"/>
  <c r="L29" i="10"/>
  <c r="O35" i="10"/>
  <c r="O36" i="10" s="1"/>
  <c r="J49" i="10"/>
  <c r="J50" i="10" s="1"/>
  <c r="N7" i="11"/>
  <c r="N8" i="11" s="1"/>
  <c r="O9" i="11"/>
  <c r="O10" i="11" s="1"/>
  <c r="O7" i="11"/>
  <c r="O8" i="11" s="1"/>
  <c r="O17" i="10"/>
  <c r="O18" i="10" s="1"/>
  <c r="N20" i="10"/>
  <c r="N21" i="10" s="1"/>
  <c r="K49" i="10"/>
  <c r="K50" i="10" s="1"/>
  <c r="I9" i="10"/>
  <c r="I10" i="10" s="1"/>
  <c r="I17" i="10"/>
  <c r="I18" i="10" s="1"/>
  <c r="J28" i="10"/>
  <c r="J29" i="10" s="1"/>
  <c r="I37" i="10"/>
  <c r="I38" i="10" s="1"/>
  <c r="J39" i="10"/>
  <c r="J40" i="10" s="1"/>
  <c r="I15" i="10"/>
  <c r="I16" i="10" s="1"/>
  <c r="J17" i="10"/>
  <c r="J18" i="10" s="1"/>
  <c r="I20" i="10"/>
  <c r="I21" i="10" s="1"/>
  <c r="K28" i="10"/>
  <c r="K29" i="10" s="1"/>
  <c r="I35" i="10"/>
  <c r="I36" i="10" s="1"/>
  <c r="J37" i="10"/>
  <c r="J38" i="10" s="1"/>
  <c r="K39" i="10"/>
  <c r="K40" i="10" s="1"/>
  <c r="M49" i="10"/>
  <c r="M50" i="10" s="1"/>
  <c r="I7" i="10"/>
  <c r="I8" i="10" s="1"/>
  <c r="J7" i="10"/>
  <c r="J8" i="10" s="1"/>
  <c r="K9" i="10"/>
  <c r="K10" i="10" s="1"/>
  <c r="J15" i="10"/>
  <c r="J16" i="10" s="1"/>
  <c r="K17" i="10"/>
  <c r="K18" i="10" s="1"/>
  <c r="J20" i="10"/>
  <c r="J21" i="10" s="1"/>
  <c r="I23" i="10"/>
  <c r="I24" i="10" s="1"/>
  <c r="J35" i="10"/>
  <c r="J36" i="10" s="1"/>
  <c r="K37" i="10"/>
  <c r="K38" i="10" s="1"/>
  <c r="M41" i="10"/>
  <c r="M42" i="10" s="1"/>
  <c r="N49" i="10"/>
  <c r="N50" i="10" s="1"/>
  <c r="K7" i="10"/>
  <c r="K8" i="10" s="1"/>
  <c r="H10" i="10"/>
  <c r="K15" i="10"/>
  <c r="K16" i="10" s="1"/>
  <c r="K20" i="10"/>
  <c r="K21" i="10" s="1"/>
  <c r="J23" i="10"/>
  <c r="J24" i="10" s="1"/>
  <c r="M28" i="10"/>
  <c r="M29" i="10" s="1"/>
  <c r="K35" i="10"/>
  <c r="K36" i="10" s="1"/>
  <c r="M39" i="10"/>
  <c r="M40" i="10" s="1"/>
  <c r="N41" i="10"/>
  <c r="N42" i="10" s="1"/>
  <c r="O49" i="10"/>
  <c r="O50" i="10" s="1"/>
  <c r="M9" i="10"/>
  <c r="M10" i="10" s="1"/>
  <c r="M17" i="10"/>
  <c r="M18" i="10" s="1"/>
  <c r="K23" i="10"/>
  <c r="K24" i="10" s="1"/>
  <c r="N28" i="10"/>
  <c r="N29" i="10" s="1"/>
  <c r="N39" i="10"/>
  <c r="N40" i="10" s="1"/>
  <c r="O41" i="10"/>
  <c r="O42" i="10" s="1"/>
  <c r="L10" i="11"/>
  <c r="H20" i="11"/>
  <c r="M18" i="11"/>
  <c r="N19" i="11"/>
  <c r="N20" i="11" s="1"/>
  <c r="J7" i="11"/>
  <c r="J8" i="11" s="1"/>
  <c r="K9" i="11"/>
  <c r="K10" i="11" s="1"/>
  <c r="N18" i="11"/>
  <c r="O19" i="11"/>
  <c r="O20" i="11" s="1"/>
  <c r="K7" i="11"/>
  <c r="K8" i="11" s="1"/>
  <c r="O18" i="11"/>
  <c r="H8" i="11"/>
  <c r="M9" i="11"/>
  <c r="M10" i="11" s="1"/>
  <c r="I19" i="11"/>
  <c r="I20" i="11" s="1"/>
  <c r="L69" i="13" l="1"/>
  <c r="H69" i="13"/>
  <c r="D48" i="13"/>
  <c r="L47" i="13"/>
  <c r="L48" i="13" s="1"/>
  <c r="H47" i="13"/>
  <c r="H48" i="13" s="1"/>
  <c r="G47" i="13"/>
  <c r="G48" i="13" s="1"/>
  <c r="F47" i="13"/>
  <c r="F48" i="13" s="1"/>
  <c r="E47" i="13"/>
  <c r="E48" i="13" s="1"/>
  <c r="J47" i="13" l="1"/>
  <c r="J48" i="13" s="1"/>
  <c r="K47" i="13"/>
  <c r="K48" i="13" s="1"/>
  <c r="I47" i="13"/>
  <c r="I48" i="13" s="1"/>
  <c r="M47" i="13"/>
  <c r="M48" i="13" s="1"/>
  <c r="N47" i="13"/>
  <c r="N48" i="13" s="1"/>
  <c r="O47" i="13"/>
  <c r="O48" i="13" s="1"/>
  <c r="L73" i="13" l="1"/>
  <c r="H73" i="13"/>
  <c r="L72" i="17"/>
  <c r="H72" i="17"/>
  <c r="L93" i="14"/>
  <c r="H93" i="14"/>
  <c r="L112" i="5"/>
  <c r="H112" i="5"/>
  <c r="L51" i="17" l="1"/>
  <c r="H51" i="17"/>
  <c r="L69" i="5"/>
  <c r="H69" i="5"/>
  <c r="L67" i="14" l="1"/>
  <c r="H67" i="14"/>
  <c r="K67" i="14" s="1"/>
  <c r="G67" i="14"/>
  <c r="F67" i="14"/>
  <c r="E67" i="14"/>
  <c r="N67" i="14" l="1"/>
  <c r="O67" i="14"/>
  <c r="M67" i="14"/>
  <c r="I67" i="14"/>
  <c r="J67" i="14"/>
  <c r="L67" i="13"/>
  <c r="H67" i="13"/>
  <c r="G67" i="13"/>
  <c r="F67" i="13"/>
  <c r="E67" i="13"/>
  <c r="L87" i="14"/>
  <c r="H87" i="14"/>
  <c r="L106" i="5"/>
  <c r="H106" i="5"/>
  <c r="L91" i="14" l="1"/>
  <c r="H91" i="14"/>
  <c r="G91" i="14"/>
  <c r="F91" i="14"/>
  <c r="E91" i="14"/>
  <c r="L71" i="17"/>
  <c r="H71" i="17"/>
  <c r="G71" i="17"/>
  <c r="F71" i="17"/>
  <c r="E71" i="17"/>
  <c r="L92" i="14"/>
  <c r="H92" i="14"/>
  <c r="G92" i="14"/>
  <c r="F92" i="14"/>
  <c r="E92" i="14"/>
  <c r="L48" i="17" l="1"/>
  <c r="H48" i="17"/>
  <c r="G48" i="17"/>
  <c r="F48" i="17"/>
  <c r="E48" i="17"/>
  <c r="L47" i="17"/>
  <c r="H47" i="17"/>
  <c r="G47" i="17"/>
  <c r="F47" i="17"/>
  <c r="E47" i="17"/>
  <c r="L41" i="17"/>
  <c r="H41" i="17"/>
  <c r="G41" i="17"/>
  <c r="F41" i="17"/>
  <c r="E41" i="17"/>
  <c r="L40" i="17"/>
  <c r="H40" i="17"/>
  <c r="G40" i="17"/>
  <c r="F40" i="17"/>
  <c r="E40" i="17"/>
  <c r="L39" i="17"/>
  <c r="H39" i="17"/>
  <c r="L38" i="17"/>
  <c r="H38" i="17"/>
  <c r="L34" i="17"/>
  <c r="H34" i="17"/>
  <c r="G34" i="17"/>
  <c r="F34" i="17"/>
  <c r="E34" i="17"/>
  <c r="L33" i="17"/>
  <c r="H33" i="17"/>
  <c r="L32" i="17"/>
  <c r="H32" i="17"/>
  <c r="G32" i="17"/>
  <c r="F32" i="17"/>
  <c r="E32" i="17"/>
  <c r="L29" i="17"/>
  <c r="H29" i="17"/>
  <c r="G29" i="17"/>
  <c r="F29" i="17"/>
  <c r="E29" i="17"/>
  <c r="L28" i="17"/>
  <c r="H28" i="17"/>
  <c r="L23" i="17"/>
  <c r="H23" i="17"/>
  <c r="L22" i="17"/>
  <c r="H22" i="17"/>
  <c r="G22" i="17"/>
  <c r="F22" i="17"/>
  <c r="E22" i="17"/>
  <c r="L21" i="17"/>
  <c r="H21" i="17"/>
  <c r="L20" i="17"/>
  <c r="H20" i="17"/>
  <c r="G20" i="17"/>
  <c r="F20" i="17"/>
  <c r="E20" i="17"/>
  <c r="L19" i="17"/>
  <c r="H19" i="17"/>
  <c r="G19" i="17"/>
  <c r="F19" i="17"/>
  <c r="E19" i="17"/>
  <c r="L18" i="17"/>
  <c r="H18" i="17"/>
  <c r="G18" i="17"/>
  <c r="F18" i="17"/>
  <c r="E18" i="17"/>
  <c r="L17" i="17"/>
  <c r="H17" i="17"/>
  <c r="L41" i="14"/>
  <c r="H41" i="14"/>
  <c r="L40" i="14"/>
  <c r="H40" i="14"/>
  <c r="L39" i="14"/>
  <c r="H39" i="14"/>
  <c r="L38" i="14"/>
  <c r="H38" i="14"/>
  <c r="L57" i="5"/>
  <c r="H57" i="5"/>
  <c r="G57" i="5"/>
  <c r="F57" i="5"/>
  <c r="E57" i="5"/>
  <c r="L56" i="5"/>
  <c r="H56" i="5"/>
  <c r="G56" i="5"/>
  <c r="F56" i="5"/>
  <c r="E56" i="5"/>
  <c r="L55" i="5"/>
  <c r="H55" i="5"/>
  <c r="G55" i="5"/>
  <c r="F55" i="5"/>
  <c r="E55" i="5"/>
  <c r="L54" i="5"/>
  <c r="H54" i="5"/>
  <c r="G54" i="5"/>
  <c r="F54" i="5"/>
  <c r="E54" i="5"/>
  <c r="L58" i="13" l="1"/>
  <c r="H58" i="13"/>
  <c r="L27" i="13"/>
  <c r="H27" i="13"/>
  <c r="L9" i="13"/>
  <c r="H9" i="13"/>
  <c r="L56" i="17"/>
  <c r="H56" i="17"/>
  <c r="L55" i="17"/>
  <c r="H55" i="17"/>
  <c r="G55" i="17"/>
  <c r="F55" i="17"/>
  <c r="E55" i="17"/>
  <c r="L35" i="17"/>
  <c r="H35" i="17"/>
  <c r="L7" i="17"/>
  <c r="H7" i="17"/>
  <c r="L78" i="14"/>
  <c r="H78" i="14"/>
  <c r="L60" i="14"/>
  <c r="H60" i="14"/>
  <c r="L76" i="5"/>
  <c r="H76" i="5"/>
  <c r="L33" i="14"/>
  <c r="H33" i="14"/>
  <c r="L12" i="14"/>
  <c r="H12" i="14"/>
  <c r="L10" i="14"/>
  <c r="H10" i="14"/>
  <c r="L97" i="5"/>
  <c r="H97" i="5"/>
  <c r="L49" i="5"/>
  <c r="H49" i="5"/>
  <c r="G49" i="5"/>
  <c r="F49" i="5"/>
  <c r="E49" i="5"/>
  <c r="D32" i="5"/>
  <c r="L31" i="5"/>
  <c r="O31" i="5" s="1"/>
  <c r="O32" i="5" s="1"/>
  <c r="H31" i="5"/>
  <c r="K31" i="5" s="1"/>
  <c r="K32" i="5" s="1"/>
  <c r="G31" i="5"/>
  <c r="G32" i="5" s="1"/>
  <c r="F31" i="5"/>
  <c r="F32" i="5" s="1"/>
  <c r="E31" i="5"/>
  <c r="E32" i="5" s="1"/>
  <c r="D30" i="5"/>
  <c r="L29" i="5"/>
  <c r="O29" i="5" s="1"/>
  <c r="O30" i="5" s="1"/>
  <c r="H29" i="5"/>
  <c r="K29" i="5" s="1"/>
  <c r="K30" i="5" s="1"/>
  <c r="G29" i="5"/>
  <c r="G30" i="5" s="1"/>
  <c r="F29" i="5"/>
  <c r="F30" i="5" s="1"/>
  <c r="E29" i="5"/>
  <c r="E30" i="5" s="1"/>
  <c r="L12" i="5"/>
  <c r="H12" i="5"/>
  <c r="L11" i="5"/>
  <c r="H11" i="5"/>
  <c r="L10" i="5"/>
  <c r="H10" i="5"/>
  <c r="L32" i="5" l="1"/>
  <c r="M31" i="5"/>
  <c r="M32" i="5" s="1"/>
  <c r="N31" i="5"/>
  <c r="N32" i="5" s="1"/>
  <c r="H32" i="5"/>
  <c r="I31" i="5"/>
  <c r="I32" i="5" s="1"/>
  <c r="J31" i="5"/>
  <c r="J32" i="5" s="1"/>
  <c r="L30" i="5"/>
  <c r="M29" i="5"/>
  <c r="M30" i="5" s="1"/>
  <c r="N29" i="5"/>
  <c r="N30" i="5" s="1"/>
  <c r="H30" i="5"/>
  <c r="I29" i="5"/>
  <c r="I30" i="5" s="1"/>
  <c r="J29" i="5"/>
  <c r="J30" i="5" s="1"/>
  <c r="L21" i="13" l="1"/>
  <c r="H21" i="13"/>
  <c r="L24" i="14"/>
  <c r="H24" i="14"/>
  <c r="L40" i="5"/>
  <c r="H40" i="5"/>
  <c r="L27" i="17" l="1"/>
  <c r="H27" i="17"/>
  <c r="G27" i="17"/>
  <c r="F27" i="17"/>
  <c r="E27" i="17"/>
  <c r="D39" i="13" l="1"/>
  <c r="L38" i="13"/>
  <c r="O38" i="13" s="1"/>
  <c r="O39" i="13" s="1"/>
  <c r="H38" i="13"/>
  <c r="K38" i="13" s="1"/>
  <c r="K39" i="13" s="1"/>
  <c r="G38" i="13"/>
  <c r="G39" i="13" s="1"/>
  <c r="F38" i="13"/>
  <c r="F39" i="13" s="1"/>
  <c r="E38" i="13"/>
  <c r="E39" i="13" s="1"/>
  <c r="L39" i="13" l="1"/>
  <c r="M38" i="13"/>
  <c r="M39" i="13" s="1"/>
  <c r="N38" i="13"/>
  <c r="N39" i="13" s="1"/>
  <c r="H39" i="13"/>
  <c r="I38" i="13"/>
  <c r="I39" i="13" s="1"/>
  <c r="J38" i="13"/>
  <c r="J39" i="13" s="1"/>
  <c r="D41" i="13" l="1"/>
  <c r="L40" i="13"/>
  <c r="O40" i="13" s="1"/>
  <c r="O41" i="13" s="1"/>
  <c r="H40" i="13"/>
  <c r="K40" i="13" s="1"/>
  <c r="K41" i="13" s="1"/>
  <c r="G40" i="13"/>
  <c r="G41" i="13" s="1"/>
  <c r="F40" i="13"/>
  <c r="F41" i="13" s="1"/>
  <c r="E40" i="13"/>
  <c r="E41" i="13" s="1"/>
  <c r="D50" i="17"/>
  <c r="L49" i="17"/>
  <c r="L50" i="17" s="1"/>
  <c r="H49" i="17"/>
  <c r="J49" i="17" s="1"/>
  <c r="J50" i="17" s="1"/>
  <c r="G49" i="17"/>
  <c r="G50" i="17" s="1"/>
  <c r="F49" i="17"/>
  <c r="F50" i="17" s="1"/>
  <c r="E49" i="17"/>
  <c r="E50" i="17" s="1"/>
  <c r="L41" i="13" l="1"/>
  <c r="M40" i="13"/>
  <c r="M41" i="13" s="1"/>
  <c r="N40" i="13"/>
  <c r="N41" i="13" s="1"/>
  <c r="H41" i="13"/>
  <c r="I40" i="13"/>
  <c r="I41" i="13" s="1"/>
  <c r="J40" i="13"/>
  <c r="J41" i="13" s="1"/>
  <c r="O49" i="17"/>
  <c r="O50" i="17" s="1"/>
  <c r="M49" i="17"/>
  <c r="M50" i="17" s="1"/>
  <c r="N49" i="17"/>
  <c r="N50" i="17" s="1"/>
  <c r="H50" i="17"/>
  <c r="I49" i="17"/>
  <c r="I50" i="17" s="1"/>
  <c r="K49" i="17"/>
  <c r="K50" i="17" s="1"/>
  <c r="L42" i="13" l="1"/>
  <c r="H42" i="13"/>
  <c r="L33" i="13"/>
  <c r="H33" i="13"/>
  <c r="G33" i="13"/>
  <c r="F33" i="13"/>
  <c r="E33" i="13"/>
  <c r="L32" i="13"/>
  <c r="H32" i="13"/>
  <c r="G32" i="13"/>
  <c r="F32" i="13"/>
  <c r="E32" i="13"/>
  <c r="L26" i="13" l="1"/>
  <c r="H26" i="13"/>
  <c r="L25" i="13"/>
  <c r="H25" i="13"/>
  <c r="G25" i="13"/>
  <c r="F25" i="13"/>
  <c r="E25" i="13"/>
  <c r="L24" i="13"/>
  <c r="H24" i="13"/>
  <c r="G24" i="13"/>
  <c r="F24" i="13"/>
  <c r="E24" i="13"/>
  <c r="L23" i="13"/>
  <c r="H23" i="13"/>
  <c r="D62" i="17" l="1"/>
  <c r="L61" i="17"/>
  <c r="O61" i="17" s="1"/>
  <c r="O62" i="17" s="1"/>
  <c r="H61" i="17"/>
  <c r="K61" i="17" s="1"/>
  <c r="K62" i="17" s="1"/>
  <c r="G61" i="17"/>
  <c r="G62" i="17" s="1"/>
  <c r="F61" i="17"/>
  <c r="F62" i="17" s="1"/>
  <c r="E61" i="17"/>
  <c r="E62" i="17" s="1"/>
  <c r="L44" i="17"/>
  <c r="H44" i="17"/>
  <c r="G44" i="17"/>
  <c r="F44" i="17"/>
  <c r="E44" i="17"/>
  <c r="L43" i="17"/>
  <c r="H43" i="17"/>
  <c r="G43" i="17"/>
  <c r="F43" i="17"/>
  <c r="E43" i="17"/>
  <c r="L26" i="17"/>
  <c r="H26" i="17"/>
  <c r="L25" i="17"/>
  <c r="H25" i="17"/>
  <c r="G25" i="17"/>
  <c r="F25" i="17"/>
  <c r="E25" i="17"/>
  <c r="L6" i="17"/>
  <c r="H6" i="17"/>
  <c r="L53" i="14"/>
  <c r="H53" i="14"/>
  <c r="D66" i="14"/>
  <c r="L65" i="14"/>
  <c r="N65" i="14" s="1"/>
  <c r="N66" i="14" s="1"/>
  <c r="H65" i="14"/>
  <c r="H66" i="14" s="1"/>
  <c r="G65" i="14"/>
  <c r="G66" i="14" s="1"/>
  <c r="F65" i="14"/>
  <c r="F66" i="14" s="1"/>
  <c r="E65" i="14"/>
  <c r="E66" i="14" s="1"/>
  <c r="D64" i="14"/>
  <c r="L63" i="14"/>
  <c r="O63" i="14" s="1"/>
  <c r="O64" i="14" s="1"/>
  <c r="H63" i="14"/>
  <c r="I63" i="14" s="1"/>
  <c r="I64" i="14" s="1"/>
  <c r="G63" i="14"/>
  <c r="G64" i="14" s="1"/>
  <c r="F63" i="14"/>
  <c r="F64" i="14" s="1"/>
  <c r="E63" i="14"/>
  <c r="E64" i="14" s="1"/>
  <c r="D62" i="14"/>
  <c r="L61" i="14"/>
  <c r="O61" i="14" s="1"/>
  <c r="O62" i="14" s="1"/>
  <c r="H61" i="14"/>
  <c r="K61" i="14" s="1"/>
  <c r="K62" i="14" s="1"/>
  <c r="G61" i="14"/>
  <c r="G62" i="14" s="1"/>
  <c r="F61" i="14"/>
  <c r="F62" i="14" s="1"/>
  <c r="E61" i="14"/>
  <c r="E62" i="14" s="1"/>
  <c r="D59" i="14"/>
  <c r="L58" i="14"/>
  <c r="L59" i="14" s="1"/>
  <c r="H58" i="14"/>
  <c r="K58" i="14" s="1"/>
  <c r="K59" i="14" s="1"/>
  <c r="G58" i="14"/>
  <c r="G59" i="14" s="1"/>
  <c r="F58" i="14"/>
  <c r="F59" i="14" s="1"/>
  <c r="E58" i="14"/>
  <c r="E59" i="14" s="1"/>
  <c r="D57" i="14"/>
  <c r="L56" i="14"/>
  <c r="M56" i="14" s="1"/>
  <c r="M57" i="14" s="1"/>
  <c r="H56" i="14"/>
  <c r="I56" i="14" s="1"/>
  <c r="I57" i="14" s="1"/>
  <c r="G56" i="14"/>
  <c r="G57" i="14" s="1"/>
  <c r="F56" i="14"/>
  <c r="F57" i="14" s="1"/>
  <c r="E56" i="14"/>
  <c r="E57" i="14" s="1"/>
  <c r="D55" i="14"/>
  <c r="L54" i="14"/>
  <c r="M54" i="14" s="1"/>
  <c r="M55" i="14" s="1"/>
  <c r="H54" i="14"/>
  <c r="K54" i="14" s="1"/>
  <c r="K55" i="14" s="1"/>
  <c r="G54" i="14"/>
  <c r="G55" i="14" s="1"/>
  <c r="F54" i="14"/>
  <c r="F55" i="14" s="1"/>
  <c r="E54" i="14"/>
  <c r="E55" i="14" s="1"/>
  <c r="D52" i="14"/>
  <c r="L51" i="14"/>
  <c r="O51" i="14" s="1"/>
  <c r="O52" i="14" s="1"/>
  <c r="H51" i="14"/>
  <c r="K51" i="14" s="1"/>
  <c r="K52" i="14" s="1"/>
  <c r="G51" i="14"/>
  <c r="G52" i="14" s="1"/>
  <c r="F51" i="14"/>
  <c r="F52" i="14" s="1"/>
  <c r="E51" i="14"/>
  <c r="E52" i="14" s="1"/>
  <c r="L44" i="14"/>
  <c r="H44" i="14"/>
  <c r="L43" i="14"/>
  <c r="H43" i="14"/>
  <c r="L42" i="14"/>
  <c r="H42" i="14"/>
  <c r="L31" i="14"/>
  <c r="H31" i="14"/>
  <c r="L27" i="14"/>
  <c r="H27" i="14"/>
  <c r="L11" i="14"/>
  <c r="H11" i="14"/>
  <c r="L62" i="17" l="1"/>
  <c r="M61" i="17"/>
  <c r="M62" i="17" s="1"/>
  <c r="N61" i="17"/>
  <c r="N62" i="17" s="1"/>
  <c r="H62" i="17"/>
  <c r="I61" i="17"/>
  <c r="I62" i="17" s="1"/>
  <c r="J61" i="17"/>
  <c r="J62" i="17" s="1"/>
  <c r="N58" i="14"/>
  <c r="N59" i="14" s="1"/>
  <c r="K65" i="14"/>
  <c r="K66" i="14" s="1"/>
  <c r="O58" i="14"/>
  <c r="O59" i="14" s="1"/>
  <c r="J65" i="14"/>
  <c r="J66" i="14" s="1"/>
  <c r="M65" i="14"/>
  <c r="M66" i="14" s="1"/>
  <c r="M58" i="14"/>
  <c r="M59" i="14" s="1"/>
  <c r="J63" i="14"/>
  <c r="J64" i="14" s="1"/>
  <c r="O65" i="14"/>
  <c r="O66" i="14" s="1"/>
  <c r="N54" i="14"/>
  <c r="N55" i="14" s="1"/>
  <c r="I65" i="14"/>
  <c r="I66" i="14" s="1"/>
  <c r="L66" i="14"/>
  <c r="K63" i="14"/>
  <c r="K64" i="14" s="1"/>
  <c r="M63" i="14"/>
  <c r="M64" i="14" s="1"/>
  <c r="L64" i="14"/>
  <c r="N63" i="14"/>
  <c r="N64" i="14" s="1"/>
  <c r="H64" i="14"/>
  <c r="L62" i="14"/>
  <c r="M61" i="14"/>
  <c r="M62" i="14" s="1"/>
  <c r="N61" i="14"/>
  <c r="N62" i="14" s="1"/>
  <c r="H62" i="14"/>
  <c r="I61" i="14"/>
  <c r="I62" i="14" s="1"/>
  <c r="J61" i="14"/>
  <c r="J62" i="14" s="1"/>
  <c r="H59" i="14"/>
  <c r="I58" i="14"/>
  <c r="I59" i="14" s="1"/>
  <c r="J58" i="14"/>
  <c r="J59" i="14" s="1"/>
  <c r="O54" i="14"/>
  <c r="O55" i="14" s="1"/>
  <c r="O56" i="14"/>
  <c r="O57" i="14" s="1"/>
  <c r="N56" i="14"/>
  <c r="N57" i="14" s="1"/>
  <c r="J56" i="14"/>
  <c r="J57" i="14" s="1"/>
  <c r="K56" i="14"/>
  <c r="K57" i="14" s="1"/>
  <c r="H57" i="14"/>
  <c r="L57" i="14"/>
  <c r="L52" i="14"/>
  <c r="H55" i="14"/>
  <c r="I54" i="14"/>
  <c r="I55" i="14" s="1"/>
  <c r="J51" i="14"/>
  <c r="J52" i="14" s="1"/>
  <c r="L55" i="14"/>
  <c r="M51" i="14"/>
  <c r="M52" i="14" s="1"/>
  <c r="N51" i="14"/>
  <c r="N52" i="14" s="1"/>
  <c r="H52" i="14"/>
  <c r="J54" i="14"/>
  <c r="J55" i="14" s="1"/>
  <c r="I51" i="14"/>
  <c r="I52" i="14" s="1"/>
  <c r="D101" i="5" l="1"/>
  <c r="L100" i="5"/>
  <c r="O100" i="5" s="1"/>
  <c r="O101" i="5" s="1"/>
  <c r="H100" i="5"/>
  <c r="K100" i="5" s="1"/>
  <c r="K101" i="5" s="1"/>
  <c r="G100" i="5"/>
  <c r="G101" i="5" s="1"/>
  <c r="F100" i="5"/>
  <c r="F101" i="5" s="1"/>
  <c r="E100" i="5"/>
  <c r="E101" i="5" s="1"/>
  <c r="D99" i="5"/>
  <c r="L98" i="5"/>
  <c r="O98" i="5" s="1"/>
  <c r="O99" i="5" s="1"/>
  <c r="H98" i="5"/>
  <c r="K98" i="5" s="1"/>
  <c r="K99" i="5" s="1"/>
  <c r="G98" i="5"/>
  <c r="G99" i="5" s="1"/>
  <c r="F98" i="5"/>
  <c r="F99" i="5" s="1"/>
  <c r="E98" i="5"/>
  <c r="E99" i="5" s="1"/>
  <c r="D82" i="5"/>
  <c r="L81" i="5"/>
  <c r="N81" i="5" s="1"/>
  <c r="N82" i="5" s="1"/>
  <c r="H81" i="5"/>
  <c r="H82" i="5" s="1"/>
  <c r="G81" i="5"/>
  <c r="G82" i="5" s="1"/>
  <c r="F81" i="5"/>
  <c r="F82" i="5" s="1"/>
  <c r="E81" i="5"/>
  <c r="E82" i="5" s="1"/>
  <c r="D80" i="5"/>
  <c r="L79" i="5"/>
  <c r="L80" i="5" s="1"/>
  <c r="H79" i="5"/>
  <c r="J79" i="5" s="1"/>
  <c r="J80" i="5" s="1"/>
  <c r="G79" i="5"/>
  <c r="G80" i="5" s="1"/>
  <c r="F79" i="5"/>
  <c r="F80" i="5" s="1"/>
  <c r="E79" i="5"/>
  <c r="E80" i="5" s="1"/>
  <c r="D78" i="5"/>
  <c r="L77" i="5"/>
  <c r="O77" i="5" s="1"/>
  <c r="O78" i="5" s="1"/>
  <c r="H77" i="5"/>
  <c r="I77" i="5" s="1"/>
  <c r="I78" i="5" s="1"/>
  <c r="G77" i="5"/>
  <c r="G78" i="5" s="1"/>
  <c r="F77" i="5"/>
  <c r="F78" i="5" s="1"/>
  <c r="E77" i="5"/>
  <c r="E78" i="5" s="1"/>
  <c r="D75" i="5"/>
  <c r="L74" i="5"/>
  <c r="M74" i="5" s="1"/>
  <c r="M75" i="5" s="1"/>
  <c r="H74" i="5"/>
  <c r="K74" i="5" s="1"/>
  <c r="K75" i="5" s="1"/>
  <c r="G74" i="5"/>
  <c r="G75" i="5" s="1"/>
  <c r="F74" i="5"/>
  <c r="F75" i="5" s="1"/>
  <c r="E74" i="5"/>
  <c r="E75" i="5" s="1"/>
  <c r="D73" i="5"/>
  <c r="L72" i="5"/>
  <c r="L73" i="5" s="1"/>
  <c r="H72" i="5"/>
  <c r="H73" i="5" s="1"/>
  <c r="G72" i="5"/>
  <c r="G73" i="5" s="1"/>
  <c r="F72" i="5"/>
  <c r="F73" i="5" s="1"/>
  <c r="E72" i="5"/>
  <c r="E73" i="5" s="1"/>
  <c r="D71" i="5"/>
  <c r="L70" i="5"/>
  <c r="O70" i="5" s="1"/>
  <c r="O71" i="5" s="1"/>
  <c r="H70" i="5"/>
  <c r="G70" i="5"/>
  <c r="G71" i="5" s="1"/>
  <c r="F70" i="5"/>
  <c r="F71" i="5" s="1"/>
  <c r="E70" i="5"/>
  <c r="E71" i="5" s="1"/>
  <c r="D68" i="5"/>
  <c r="L67" i="5"/>
  <c r="H67" i="5"/>
  <c r="I67" i="5" s="1"/>
  <c r="I68" i="5" s="1"/>
  <c r="G67" i="5"/>
  <c r="G68" i="5" s="1"/>
  <c r="F67" i="5"/>
  <c r="F68" i="5" s="1"/>
  <c r="E67" i="5"/>
  <c r="E68" i="5" s="1"/>
  <c r="L60" i="5"/>
  <c r="H60" i="5"/>
  <c r="G60" i="5"/>
  <c r="F60" i="5"/>
  <c r="E60" i="5"/>
  <c r="L59" i="5"/>
  <c r="H59" i="5"/>
  <c r="G59" i="5"/>
  <c r="F59" i="5"/>
  <c r="E59" i="5"/>
  <c r="L47" i="5"/>
  <c r="H47" i="5"/>
  <c r="L43" i="5"/>
  <c r="H43" i="5"/>
  <c r="G43" i="5"/>
  <c r="F43" i="5"/>
  <c r="E43" i="5"/>
  <c r="L26" i="5"/>
  <c r="H26" i="5"/>
  <c r="G26" i="5"/>
  <c r="F26" i="5"/>
  <c r="E26" i="5"/>
  <c r="D24" i="5"/>
  <c r="L23" i="5"/>
  <c r="O23" i="5" s="1"/>
  <c r="O24" i="5" s="1"/>
  <c r="H23" i="5"/>
  <c r="K23" i="5" s="1"/>
  <c r="K24" i="5" s="1"/>
  <c r="G23" i="5"/>
  <c r="G24" i="5" s="1"/>
  <c r="F23" i="5"/>
  <c r="F24" i="5" s="1"/>
  <c r="E23" i="5"/>
  <c r="E24" i="5" s="1"/>
  <c r="L101" i="5" l="1"/>
  <c r="M100" i="5"/>
  <c r="M101" i="5" s="1"/>
  <c r="N100" i="5"/>
  <c r="N101" i="5" s="1"/>
  <c r="H101" i="5"/>
  <c r="I100" i="5"/>
  <c r="I101" i="5" s="1"/>
  <c r="J100" i="5"/>
  <c r="J101" i="5" s="1"/>
  <c r="L99" i="5"/>
  <c r="M98" i="5"/>
  <c r="M99" i="5" s="1"/>
  <c r="N98" i="5"/>
  <c r="N99" i="5" s="1"/>
  <c r="H99" i="5"/>
  <c r="I98" i="5"/>
  <c r="I99" i="5" s="1"/>
  <c r="J98" i="5"/>
  <c r="J99" i="5" s="1"/>
  <c r="K67" i="5"/>
  <c r="K68" i="5" s="1"/>
  <c r="N72" i="5"/>
  <c r="N73" i="5" s="1"/>
  <c r="O72" i="5"/>
  <c r="O73" i="5" s="1"/>
  <c r="N74" i="5"/>
  <c r="N75" i="5" s="1"/>
  <c r="J77" i="5"/>
  <c r="J78" i="5" s="1"/>
  <c r="K79" i="5"/>
  <c r="K80" i="5" s="1"/>
  <c r="O74" i="5"/>
  <c r="O75" i="5" s="1"/>
  <c r="K77" i="5"/>
  <c r="K78" i="5" s="1"/>
  <c r="M81" i="5"/>
  <c r="M82" i="5" s="1"/>
  <c r="J67" i="5"/>
  <c r="J68" i="5" s="1"/>
  <c r="M72" i="5"/>
  <c r="M73" i="5" s="1"/>
  <c r="O79" i="5"/>
  <c r="O80" i="5" s="1"/>
  <c r="N79" i="5"/>
  <c r="N80" i="5" s="1"/>
  <c r="M79" i="5"/>
  <c r="M80" i="5" s="1"/>
  <c r="O67" i="5"/>
  <c r="O68" i="5" s="1"/>
  <c r="N67" i="5"/>
  <c r="N68" i="5" s="1"/>
  <c r="M67" i="5"/>
  <c r="M68" i="5" s="1"/>
  <c r="L68" i="5"/>
  <c r="K70" i="5"/>
  <c r="K71" i="5" s="1"/>
  <c r="J70" i="5"/>
  <c r="J71" i="5" s="1"/>
  <c r="I70" i="5"/>
  <c r="I71" i="5" s="1"/>
  <c r="H71" i="5"/>
  <c r="I74" i="5"/>
  <c r="I75" i="5" s="1"/>
  <c r="H75" i="5"/>
  <c r="M70" i="5"/>
  <c r="M71" i="5" s="1"/>
  <c r="L71" i="5"/>
  <c r="K72" i="5"/>
  <c r="K73" i="5" s="1"/>
  <c r="J72" i="5"/>
  <c r="J73" i="5" s="1"/>
  <c r="J74" i="5"/>
  <c r="J75" i="5" s="1"/>
  <c r="N70" i="5"/>
  <c r="N71" i="5" s="1"/>
  <c r="I72" i="5"/>
  <c r="I73" i="5" s="1"/>
  <c r="L78" i="5"/>
  <c r="M77" i="5"/>
  <c r="M78" i="5" s="1"/>
  <c r="H80" i="5"/>
  <c r="I81" i="5"/>
  <c r="I82" i="5" s="1"/>
  <c r="O81" i="5"/>
  <c r="O82" i="5" s="1"/>
  <c r="H68" i="5"/>
  <c r="L75" i="5"/>
  <c r="N77" i="5"/>
  <c r="N78" i="5" s="1"/>
  <c r="H78" i="5"/>
  <c r="I79" i="5"/>
  <c r="I80" i="5" s="1"/>
  <c r="J81" i="5"/>
  <c r="J82" i="5" s="1"/>
  <c r="K81" i="5"/>
  <c r="K82" i="5" s="1"/>
  <c r="L82" i="5"/>
  <c r="L24" i="5"/>
  <c r="M23" i="5"/>
  <c r="M24" i="5" s="1"/>
  <c r="N23" i="5"/>
  <c r="N24" i="5" s="1"/>
  <c r="H24" i="5"/>
  <c r="I23" i="5"/>
  <c r="I24" i="5" s="1"/>
  <c r="J23" i="5"/>
  <c r="J24" i="5" s="1"/>
  <c r="D11" i="13"/>
  <c r="L10" i="13"/>
  <c r="O10" i="13" s="1"/>
  <c r="O11" i="13" s="1"/>
  <c r="H10" i="13"/>
  <c r="K10" i="13" s="1"/>
  <c r="K11" i="13" s="1"/>
  <c r="G10" i="13"/>
  <c r="G11" i="13" s="1"/>
  <c r="F10" i="13"/>
  <c r="F11" i="13" s="1"/>
  <c r="E10" i="13"/>
  <c r="E11" i="13" s="1"/>
  <c r="D13" i="17"/>
  <c r="L12" i="17"/>
  <c r="O12" i="17" s="1"/>
  <c r="O13" i="17" s="1"/>
  <c r="H12" i="17"/>
  <c r="K12" i="17" s="1"/>
  <c r="K13" i="17" s="1"/>
  <c r="G12" i="17"/>
  <c r="G13" i="17" s="1"/>
  <c r="F12" i="17"/>
  <c r="F13" i="17" s="1"/>
  <c r="E12" i="17"/>
  <c r="E13" i="17" s="1"/>
  <c r="D14" i="14"/>
  <c r="L13" i="14"/>
  <c r="L14" i="14" s="1"/>
  <c r="H13" i="14"/>
  <c r="K13" i="14" s="1"/>
  <c r="K14" i="14" s="1"/>
  <c r="G13" i="14"/>
  <c r="G14" i="14" s="1"/>
  <c r="F13" i="14"/>
  <c r="F14" i="14" s="1"/>
  <c r="E13" i="14"/>
  <c r="E14" i="14" s="1"/>
  <c r="L7" i="14"/>
  <c r="H7" i="14"/>
  <c r="D14" i="5"/>
  <c r="L13" i="5"/>
  <c r="O13" i="5" s="1"/>
  <c r="O14" i="5" s="1"/>
  <c r="H13" i="5"/>
  <c r="K13" i="5" s="1"/>
  <c r="K14" i="5" s="1"/>
  <c r="G13" i="5"/>
  <c r="G14" i="5" s="1"/>
  <c r="F13" i="5"/>
  <c r="F14" i="5" s="1"/>
  <c r="E13" i="5"/>
  <c r="E14" i="5" s="1"/>
  <c r="N13" i="14" l="1"/>
  <c r="N14" i="14" s="1"/>
  <c r="M13" i="14"/>
  <c r="M14" i="14" s="1"/>
  <c r="O13" i="14"/>
  <c r="O14" i="14" s="1"/>
  <c r="L11" i="13"/>
  <c r="M10" i="13"/>
  <c r="M11" i="13" s="1"/>
  <c r="N10" i="13"/>
  <c r="N11" i="13" s="1"/>
  <c r="H11" i="13"/>
  <c r="I10" i="13"/>
  <c r="I11" i="13" s="1"/>
  <c r="J10" i="13"/>
  <c r="J11" i="13" s="1"/>
  <c r="L13" i="17"/>
  <c r="M12" i="17"/>
  <c r="M13" i="17" s="1"/>
  <c r="N12" i="17"/>
  <c r="N13" i="17" s="1"/>
  <c r="H13" i="17"/>
  <c r="I12" i="17"/>
  <c r="I13" i="17" s="1"/>
  <c r="J12" i="17"/>
  <c r="J13" i="17" s="1"/>
  <c r="H14" i="14"/>
  <c r="I13" i="14"/>
  <c r="I14" i="14" s="1"/>
  <c r="J13" i="14"/>
  <c r="J14" i="14" s="1"/>
  <c r="L14" i="5"/>
  <c r="M13" i="5"/>
  <c r="M14" i="5" s="1"/>
  <c r="N13" i="5"/>
  <c r="N14" i="5" s="1"/>
  <c r="H14" i="5"/>
  <c r="I13" i="5"/>
  <c r="I14" i="5" s="1"/>
  <c r="J13" i="5"/>
  <c r="J14" i="5" s="1"/>
  <c r="D62" i="13"/>
  <c r="L61" i="13"/>
  <c r="O61" i="13" s="1"/>
  <c r="O62" i="13" s="1"/>
  <c r="H61" i="13"/>
  <c r="K61" i="13" s="1"/>
  <c r="K62" i="13" s="1"/>
  <c r="G61" i="13"/>
  <c r="G62" i="13" s="1"/>
  <c r="F61" i="13"/>
  <c r="F62" i="13" s="1"/>
  <c r="E61" i="13"/>
  <c r="E62" i="13" s="1"/>
  <c r="D60" i="13"/>
  <c r="L59" i="13"/>
  <c r="O59" i="13" s="1"/>
  <c r="O60" i="13" s="1"/>
  <c r="H59" i="13"/>
  <c r="K59" i="13" s="1"/>
  <c r="K60" i="13" s="1"/>
  <c r="G59" i="13"/>
  <c r="G60" i="13" s="1"/>
  <c r="F59" i="13"/>
  <c r="F60" i="13" s="1"/>
  <c r="E59" i="13"/>
  <c r="E60" i="13" s="1"/>
  <c r="D35" i="13"/>
  <c r="L34" i="13"/>
  <c r="N34" i="13" s="1"/>
  <c r="N35" i="13" s="1"/>
  <c r="H34" i="13"/>
  <c r="H35" i="13" s="1"/>
  <c r="G34" i="13"/>
  <c r="G35" i="13" s="1"/>
  <c r="F34" i="13"/>
  <c r="F35" i="13" s="1"/>
  <c r="E34" i="13"/>
  <c r="E35" i="13" s="1"/>
  <c r="D46" i="13"/>
  <c r="L45" i="13"/>
  <c r="O45" i="13" s="1"/>
  <c r="O46" i="13" s="1"/>
  <c r="H45" i="13"/>
  <c r="K45" i="13" s="1"/>
  <c r="K46" i="13" s="1"/>
  <c r="G45" i="13"/>
  <c r="G46" i="13" s="1"/>
  <c r="F45" i="13"/>
  <c r="F46" i="13" s="1"/>
  <c r="E45" i="13"/>
  <c r="E46" i="13" s="1"/>
  <c r="L18" i="13"/>
  <c r="H18" i="13"/>
  <c r="G18" i="13"/>
  <c r="F18" i="13"/>
  <c r="E18" i="13"/>
  <c r="D58" i="17"/>
  <c r="L57" i="17"/>
  <c r="O57" i="17" s="1"/>
  <c r="O58" i="17" s="1"/>
  <c r="H57" i="17"/>
  <c r="H58" i="17" s="1"/>
  <c r="G57" i="17"/>
  <c r="G58" i="17" s="1"/>
  <c r="F57" i="17"/>
  <c r="F58" i="17" s="1"/>
  <c r="E57" i="17"/>
  <c r="E58" i="17" s="1"/>
  <c r="D37" i="17"/>
  <c r="L36" i="17"/>
  <c r="L37" i="17" s="1"/>
  <c r="H36" i="17"/>
  <c r="K36" i="17" s="1"/>
  <c r="K37" i="17" s="1"/>
  <c r="G36" i="17"/>
  <c r="G37" i="17" s="1"/>
  <c r="F36" i="17"/>
  <c r="F37" i="17" s="1"/>
  <c r="E36" i="17"/>
  <c r="E37" i="17" s="1"/>
  <c r="D82" i="14"/>
  <c r="L81" i="14"/>
  <c r="O81" i="14" s="1"/>
  <c r="O82" i="14" s="1"/>
  <c r="H81" i="14"/>
  <c r="K81" i="14" s="1"/>
  <c r="K82" i="14" s="1"/>
  <c r="G81" i="14"/>
  <c r="G82" i="14" s="1"/>
  <c r="F81" i="14"/>
  <c r="F82" i="14" s="1"/>
  <c r="E81" i="14"/>
  <c r="E82" i="14" s="1"/>
  <c r="D46" i="14"/>
  <c r="D37" i="14"/>
  <c r="L36" i="14"/>
  <c r="L37" i="14" s="1"/>
  <c r="H36" i="14"/>
  <c r="H37" i="14" s="1"/>
  <c r="G36" i="14"/>
  <c r="G37" i="14" s="1"/>
  <c r="F36" i="14"/>
  <c r="F37" i="14" s="1"/>
  <c r="E36" i="14"/>
  <c r="E37" i="14" s="1"/>
  <c r="D35" i="14"/>
  <c r="L34" i="14"/>
  <c r="O34" i="14" s="1"/>
  <c r="O35" i="14" s="1"/>
  <c r="H34" i="14"/>
  <c r="I34" i="14" s="1"/>
  <c r="I35" i="14" s="1"/>
  <c r="G34" i="14"/>
  <c r="G35" i="14" s="1"/>
  <c r="F34" i="14"/>
  <c r="F35" i="14" s="1"/>
  <c r="E34" i="14"/>
  <c r="E35" i="14" s="1"/>
  <c r="D53" i="5"/>
  <c r="L52" i="5"/>
  <c r="M52" i="5" s="1"/>
  <c r="M53" i="5" s="1"/>
  <c r="H52" i="5"/>
  <c r="K52" i="5" s="1"/>
  <c r="K53" i="5" s="1"/>
  <c r="G52" i="5"/>
  <c r="G53" i="5" s="1"/>
  <c r="F52" i="5"/>
  <c r="F53" i="5" s="1"/>
  <c r="E52" i="5"/>
  <c r="E53" i="5" s="1"/>
  <c r="L62" i="13" l="1"/>
  <c r="M61" i="13"/>
  <c r="M62" i="13" s="1"/>
  <c r="N61" i="13"/>
  <c r="N62" i="13" s="1"/>
  <c r="H62" i="13"/>
  <c r="I61" i="13"/>
  <c r="I62" i="13" s="1"/>
  <c r="J61" i="13"/>
  <c r="J62" i="13" s="1"/>
  <c r="L60" i="13"/>
  <c r="M59" i="13"/>
  <c r="M60" i="13" s="1"/>
  <c r="N59" i="13"/>
  <c r="N60" i="13" s="1"/>
  <c r="H60" i="13"/>
  <c r="I59" i="13"/>
  <c r="I60" i="13" s="1"/>
  <c r="J59" i="13"/>
  <c r="J60" i="13" s="1"/>
  <c r="O34" i="13"/>
  <c r="O35" i="13" s="1"/>
  <c r="I34" i="13"/>
  <c r="I35" i="13" s="1"/>
  <c r="J34" i="13"/>
  <c r="J35" i="13" s="1"/>
  <c r="K34" i="13"/>
  <c r="K35" i="13" s="1"/>
  <c r="L35" i="13"/>
  <c r="M34" i="13"/>
  <c r="M35" i="13" s="1"/>
  <c r="L46" i="13"/>
  <c r="M45" i="13"/>
  <c r="M46" i="13" s="1"/>
  <c r="N45" i="13"/>
  <c r="N46" i="13" s="1"/>
  <c r="H46" i="13"/>
  <c r="I45" i="13"/>
  <c r="I46" i="13" s="1"/>
  <c r="J45" i="13"/>
  <c r="J46" i="13" s="1"/>
  <c r="J57" i="17"/>
  <c r="J58" i="17" s="1"/>
  <c r="M36" i="17"/>
  <c r="M37" i="17" s="1"/>
  <c r="I57" i="17"/>
  <c r="I58" i="17" s="1"/>
  <c r="I36" i="17"/>
  <c r="I37" i="17" s="1"/>
  <c r="J36" i="17"/>
  <c r="J37" i="17" s="1"/>
  <c r="M57" i="17"/>
  <c r="M58" i="17" s="1"/>
  <c r="N36" i="17"/>
  <c r="N37" i="17" s="1"/>
  <c r="H37" i="17"/>
  <c r="K57" i="17"/>
  <c r="K58" i="17" s="1"/>
  <c r="O36" i="17"/>
  <c r="O37" i="17" s="1"/>
  <c r="L58" i="17"/>
  <c r="N57" i="17"/>
  <c r="N58" i="17" s="1"/>
  <c r="J34" i="14"/>
  <c r="J35" i="14" s="1"/>
  <c r="L82" i="14"/>
  <c r="M81" i="14"/>
  <c r="M82" i="14" s="1"/>
  <c r="N81" i="14"/>
  <c r="N82" i="14" s="1"/>
  <c r="H82" i="14"/>
  <c r="I81" i="14"/>
  <c r="I82" i="14" s="1"/>
  <c r="J81" i="14"/>
  <c r="J82" i="14" s="1"/>
  <c r="I36" i="14"/>
  <c r="I37" i="14" s="1"/>
  <c r="M36" i="14"/>
  <c r="M37" i="14" s="1"/>
  <c r="N36" i="14"/>
  <c r="N37" i="14" s="1"/>
  <c r="O36" i="14"/>
  <c r="O37" i="14" s="1"/>
  <c r="J36" i="14"/>
  <c r="J37" i="14" s="1"/>
  <c r="K36" i="14"/>
  <c r="K37" i="14" s="1"/>
  <c r="K34" i="14"/>
  <c r="K35" i="14" s="1"/>
  <c r="L35" i="14"/>
  <c r="M34" i="14"/>
  <c r="M35" i="14" s="1"/>
  <c r="N34" i="14"/>
  <c r="N35" i="14" s="1"/>
  <c r="H35" i="14"/>
  <c r="N52" i="5"/>
  <c r="N53" i="5" s="1"/>
  <c r="H53" i="5"/>
  <c r="I52" i="5"/>
  <c r="I53" i="5" s="1"/>
  <c r="O52" i="5"/>
  <c r="O53" i="5" s="1"/>
  <c r="J52" i="5"/>
  <c r="J53" i="5" s="1"/>
  <c r="L53" i="5"/>
  <c r="D29" i="13" l="1"/>
  <c r="D57" i="13"/>
  <c r="L68" i="17" l="1"/>
  <c r="H68" i="17"/>
  <c r="G68" i="17"/>
  <c r="F68" i="17"/>
  <c r="E68" i="17"/>
  <c r="D64" i="17" l="1"/>
  <c r="D46" i="17"/>
  <c r="D84" i="14"/>
  <c r="D75" i="14"/>
  <c r="D80" i="14"/>
  <c r="L79" i="14"/>
  <c r="O79" i="14" s="1"/>
  <c r="O80" i="14" s="1"/>
  <c r="H79" i="14"/>
  <c r="I79" i="14" s="1"/>
  <c r="I80" i="14" s="1"/>
  <c r="G79" i="14"/>
  <c r="G80" i="14" s="1"/>
  <c r="F79" i="14"/>
  <c r="F80" i="14" s="1"/>
  <c r="E79" i="14"/>
  <c r="E80" i="14" s="1"/>
  <c r="D94" i="5"/>
  <c r="D62" i="5"/>
  <c r="L80" i="14" l="1"/>
  <c r="M79" i="14"/>
  <c r="M80" i="14" s="1"/>
  <c r="N79" i="14"/>
  <c r="N80" i="14" s="1"/>
  <c r="H80" i="14"/>
  <c r="J79" i="14"/>
  <c r="J80" i="14" s="1"/>
  <c r="K79" i="14"/>
  <c r="K80" i="14" s="1"/>
  <c r="D60" i="17"/>
  <c r="L59" i="17"/>
  <c r="M59" i="17" s="1"/>
  <c r="M60" i="17" s="1"/>
  <c r="H59" i="17"/>
  <c r="I59" i="17" s="1"/>
  <c r="I60" i="17" s="1"/>
  <c r="G59" i="17"/>
  <c r="G60" i="17" s="1"/>
  <c r="F59" i="17"/>
  <c r="F60" i="17" s="1"/>
  <c r="E59" i="17"/>
  <c r="E60" i="17" s="1"/>
  <c r="D31" i="17"/>
  <c r="L30" i="17"/>
  <c r="N30" i="17" s="1"/>
  <c r="N31" i="17" s="1"/>
  <c r="H30" i="17"/>
  <c r="H31" i="17" s="1"/>
  <c r="G30" i="17"/>
  <c r="G31" i="17" s="1"/>
  <c r="F30" i="17"/>
  <c r="F31" i="17" s="1"/>
  <c r="E30" i="17"/>
  <c r="E31" i="17" s="1"/>
  <c r="D51" i="5"/>
  <c r="L50" i="5"/>
  <c r="O50" i="5" s="1"/>
  <c r="O51" i="5" s="1"/>
  <c r="H50" i="5"/>
  <c r="K50" i="5" s="1"/>
  <c r="K51" i="5" s="1"/>
  <c r="G50" i="5"/>
  <c r="G51" i="5" s="1"/>
  <c r="F50" i="5"/>
  <c r="F51" i="5" s="1"/>
  <c r="E50" i="5"/>
  <c r="E51" i="5" s="1"/>
  <c r="N59" i="17" l="1"/>
  <c r="N60" i="17" s="1"/>
  <c r="O59" i="17"/>
  <c r="O60" i="17" s="1"/>
  <c r="J59" i="17"/>
  <c r="J60" i="17" s="1"/>
  <c r="K59" i="17"/>
  <c r="K60" i="17" s="1"/>
  <c r="H60" i="17"/>
  <c r="L60" i="17"/>
  <c r="I30" i="17"/>
  <c r="I31" i="17" s="1"/>
  <c r="J30" i="17"/>
  <c r="J31" i="17" s="1"/>
  <c r="O30" i="17"/>
  <c r="O31" i="17" s="1"/>
  <c r="K30" i="17"/>
  <c r="K31" i="17" s="1"/>
  <c r="L31" i="17"/>
  <c r="M30" i="17"/>
  <c r="M31" i="17" s="1"/>
  <c r="L51" i="5"/>
  <c r="M50" i="5"/>
  <c r="M51" i="5" s="1"/>
  <c r="N50" i="5"/>
  <c r="N51" i="5" s="1"/>
  <c r="H51" i="5"/>
  <c r="I50" i="5"/>
  <c r="I51" i="5" s="1"/>
  <c r="J50" i="5"/>
  <c r="J51" i="5" s="1"/>
  <c r="L71" i="13" l="1"/>
  <c r="H71" i="13"/>
  <c r="L70" i="13"/>
  <c r="H70" i="13"/>
  <c r="L66" i="13"/>
  <c r="H66" i="13"/>
  <c r="L55" i="13"/>
  <c r="H55" i="13"/>
  <c r="L54" i="13"/>
  <c r="H54" i="13"/>
  <c r="L53" i="13"/>
  <c r="H53" i="13"/>
  <c r="L52" i="13"/>
  <c r="H52" i="13"/>
  <c r="L30" i="13"/>
  <c r="H30" i="13"/>
  <c r="L31" i="13"/>
  <c r="H31" i="13"/>
  <c r="L37" i="13"/>
  <c r="H37" i="13"/>
  <c r="L36" i="13"/>
  <c r="H36" i="13"/>
  <c r="L72" i="13"/>
  <c r="H72" i="13"/>
  <c r="L22" i="13"/>
  <c r="H22" i="13"/>
  <c r="L20" i="13"/>
  <c r="H20" i="13"/>
  <c r="L19" i="13"/>
  <c r="H19" i="13"/>
  <c r="L17" i="13"/>
  <c r="H17" i="13"/>
  <c r="L16" i="13"/>
  <c r="H16" i="13"/>
  <c r="L15" i="13"/>
  <c r="H15" i="13"/>
  <c r="L6" i="13"/>
  <c r="H6" i="13"/>
  <c r="L5" i="13"/>
  <c r="H5" i="13"/>
  <c r="L70" i="17"/>
  <c r="H70" i="17"/>
  <c r="L69" i="17"/>
  <c r="H69" i="17"/>
  <c r="L67" i="17"/>
  <c r="H67" i="17"/>
  <c r="L54" i="17"/>
  <c r="H54" i="17"/>
  <c r="L65" i="17"/>
  <c r="H65" i="17"/>
  <c r="L24" i="17"/>
  <c r="H24" i="17"/>
  <c r="L5" i="17"/>
  <c r="H5" i="17"/>
  <c r="L90" i="14"/>
  <c r="H90" i="14"/>
  <c r="L89" i="14"/>
  <c r="H89" i="14"/>
  <c r="L86" i="14"/>
  <c r="H86" i="14"/>
  <c r="L73" i="14"/>
  <c r="H73" i="14"/>
  <c r="L72" i="14"/>
  <c r="H72" i="14"/>
  <c r="L71" i="14"/>
  <c r="H71" i="14"/>
  <c r="L70" i="14"/>
  <c r="H70" i="14"/>
  <c r="L69" i="14"/>
  <c r="H69" i="14"/>
  <c r="L48" i="14"/>
  <c r="H48" i="14"/>
  <c r="L47" i="14"/>
  <c r="H47" i="14"/>
  <c r="L32" i="14"/>
  <c r="H32" i="14"/>
  <c r="L30" i="14"/>
  <c r="H30" i="14"/>
  <c r="L21" i="14"/>
  <c r="H21" i="14"/>
  <c r="L26" i="14"/>
  <c r="H26" i="14"/>
  <c r="L25" i="14"/>
  <c r="H25" i="14"/>
  <c r="L23" i="14"/>
  <c r="H23" i="14"/>
  <c r="L22" i="14"/>
  <c r="H22" i="14"/>
  <c r="L20" i="14"/>
  <c r="H20" i="14"/>
  <c r="L19" i="14"/>
  <c r="H19" i="14"/>
  <c r="L18" i="14"/>
  <c r="H18" i="14"/>
  <c r="L6" i="14"/>
  <c r="H6" i="14"/>
  <c r="L5" i="14"/>
  <c r="H5" i="14"/>
  <c r="L110" i="5"/>
  <c r="H110" i="5"/>
  <c r="L109" i="5"/>
  <c r="H109" i="5"/>
  <c r="L108" i="5"/>
  <c r="H108" i="5"/>
  <c r="L105" i="5"/>
  <c r="H105" i="5"/>
  <c r="L92" i="5"/>
  <c r="H92" i="5"/>
  <c r="L91" i="5"/>
  <c r="H91" i="5"/>
  <c r="L90" i="5"/>
  <c r="H90" i="5"/>
  <c r="L89" i="5"/>
  <c r="H89" i="5"/>
  <c r="L88" i="5"/>
  <c r="H88" i="5"/>
  <c r="L87" i="5"/>
  <c r="H87" i="5"/>
  <c r="L83" i="5"/>
  <c r="H83" i="5"/>
  <c r="L64" i="5"/>
  <c r="H64" i="5"/>
  <c r="L63" i="5"/>
  <c r="H63" i="5"/>
  <c r="L48" i="5"/>
  <c r="H48" i="5"/>
  <c r="L46" i="5"/>
  <c r="H46" i="5"/>
  <c r="L111" i="5"/>
  <c r="H111" i="5"/>
  <c r="L37" i="5"/>
  <c r="H37" i="5"/>
  <c r="L42" i="5"/>
  <c r="H42" i="5"/>
  <c r="L41" i="5"/>
  <c r="H41" i="5"/>
  <c r="L39" i="5"/>
  <c r="H39" i="5"/>
  <c r="L38" i="5"/>
  <c r="H38" i="5"/>
  <c r="L36" i="5"/>
  <c r="H36" i="5"/>
  <c r="L35" i="5"/>
  <c r="H35" i="5"/>
  <c r="L34" i="5"/>
  <c r="H34" i="5"/>
  <c r="L28" i="5"/>
  <c r="H28" i="5"/>
  <c r="L27" i="5"/>
  <c r="H27" i="5"/>
  <c r="L25" i="5"/>
  <c r="H25" i="5"/>
  <c r="L7" i="5"/>
  <c r="H7" i="5"/>
  <c r="L6" i="5"/>
  <c r="H6" i="5"/>
  <c r="G66" i="13" l="1"/>
  <c r="F66" i="13"/>
  <c r="E66" i="13"/>
  <c r="G54" i="13"/>
  <c r="F54" i="13"/>
  <c r="E54" i="13"/>
  <c r="G37" i="13"/>
  <c r="F37" i="13"/>
  <c r="E37" i="13"/>
  <c r="G19" i="13"/>
  <c r="F19" i="13"/>
  <c r="E19" i="13"/>
  <c r="G17" i="13"/>
  <c r="F17" i="13"/>
  <c r="E17" i="13"/>
  <c r="G70" i="17"/>
  <c r="F70" i="17"/>
  <c r="E70" i="17"/>
  <c r="G69" i="17"/>
  <c r="F69" i="17"/>
  <c r="E69" i="17"/>
  <c r="G24" i="17"/>
  <c r="F24" i="17"/>
  <c r="E24" i="17"/>
  <c r="G90" i="14"/>
  <c r="F90" i="14"/>
  <c r="E90" i="14"/>
  <c r="G70" i="14"/>
  <c r="F70" i="14"/>
  <c r="E70" i="14"/>
  <c r="G21" i="14"/>
  <c r="F21" i="14"/>
  <c r="E21" i="14"/>
  <c r="G109" i="5"/>
  <c r="F109" i="5"/>
  <c r="E109" i="5"/>
  <c r="G108" i="5"/>
  <c r="F108" i="5"/>
  <c r="E108" i="5"/>
  <c r="G91" i="5"/>
  <c r="F91" i="5"/>
  <c r="E91" i="5"/>
  <c r="G89" i="5"/>
  <c r="F89" i="5"/>
  <c r="E89" i="5"/>
  <c r="G88" i="5"/>
  <c r="F88" i="5"/>
  <c r="E88" i="5"/>
  <c r="G64" i="5"/>
  <c r="F64" i="5"/>
  <c r="E64" i="5"/>
  <c r="G63" i="5"/>
  <c r="F63" i="5"/>
  <c r="E63" i="5"/>
  <c r="G48" i="5"/>
  <c r="F48" i="5"/>
  <c r="E48" i="5"/>
  <c r="G46" i="5"/>
  <c r="F46" i="5"/>
  <c r="E46" i="5"/>
  <c r="G37" i="5"/>
  <c r="F37" i="5"/>
  <c r="E37" i="5"/>
  <c r="G41" i="5"/>
  <c r="F41" i="5"/>
  <c r="E41" i="5"/>
  <c r="G39" i="5"/>
  <c r="F39" i="5"/>
  <c r="E39" i="5"/>
  <c r="G36" i="5"/>
  <c r="F36" i="5"/>
  <c r="E36" i="5"/>
  <c r="G28" i="5"/>
  <c r="F28" i="5"/>
  <c r="E28" i="5"/>
  <c r="G27" i="5"/>
  <c r="F27" i="5"/>
  <c r="E27" i="5"/>
  <c r="G25" i="5"/>
  <c r="F25" i="5"/>
  <c r="E25" i="5"/>
  <c r="O20" i="5"/>
  <c r="N20" i="5"/>
  <c r="M20" i="5"/>
  <c r="H20" i="5"/>
  <c r="J20" i="5" s="1"/>
  <c r="G20" i="5"/>
  <c r="F20" i="5"/>
  <c r="E20" i="5"/>
  <c r="K20" i="5" l="1"/>
  <c r="I20" i="5"/>
  <c r="G36" i="13" l="1"/>
  <c r="F36" i="13"/>
  <c r="E36" i="13"/>
  <c r="D13" i="13"/>
  <c r="L12" i="13"/>
  <c r="O12" i="13" s="1"/>
  <c r="O13" i="13" s="1"/>
  <c r="H12" i="13"/>
  <c r="K12" i="13" s="1"/>
  <c r="K13" i="13" s="1"/>
  <c r="G12" i="13"/>
  <c r="G13" i="13" s="1"/>
  <c r="F12" i="13"/>
  <c r="F13" i="13" s="1"/>
  <c r="E12" i="13"/>
  <c r="E13" i="13" s="1"/>
  <c r="G47" i="14"/>
  <c r="F47" i="14"/>
  <c r="E47" i="14"/>
  <c r="D29" i="14"/>
  <c r="L28" i="14"/>
  <c r="O28" i="14" s="1"/>
  <c r="O29" i="14" s="1"/>
  <c r="H28" i="14"/>
  <c r="K28" i="14" s="1"/>
  <c r="K29" i="14" s="1"/>
  <c r="G28" i="14"/>
  <c r="G29" i="14" s="1"/>
  <c r="F28" i="14"/>
  <c r="F29" i="14" s="1"/>
  <c r="E28" i="14"/>
  <c r="E29" i="14" s="1"/>
  <c r="D45" i="5"/>
  <c r="L44" i="5"/>
  <c r="O44" i="5" s="1"/>
  <c r="O45" i="5" s="1"/>
  <c r="H44" i="5"/>
  <c r="K44" i="5" s="1"/>
  <c r="K45" i="5" s="1"/>
  <c r="G44" i="5"/>
  <c r="G45" i="5" s="1"/>
  <c r="F44" i="5"/>
  <c r="F45" i="5" s="1"/>
  <c r="E44" i="5"/>
  <c r="E45" i="5" s="1"/>
  <c r="L13" i="13" l="1"/>
  <c r="M12" i="13"/>
  <c r="M13" i="13" s="1"/>
  <c r="N12" i="13"/>
  <c r="N13" i="13" s="1"/>
  <c r="H13" i="13"/>
  <c r="I12" i="13"/>
  <c r="I13" i="13" s="1"/>
  <c r="J12" i="13"/>
  <c r="J13" i="13" s="1"/>
  <c r="L29" i="14"/>
  <c r="M28" i="14"/>
  <c r="M29" i="14" s="1"/>
  <c r="N28" i="14"/>
  <c r="N29" i="14" s="1"/>
  <c r="H29" i="14"/>
  <c r="I28" i="14"/>
  <c r="I29" i="14" s="1"/>
  <c r="J28" i="14"/>
  <c r="J29" i="14" s="1"/>
  <c r="L45" i="5"/>
  <c r="M44" i="5"/>
  <c r="M45" i="5" s="1"/>
  <c r="N44" i="5"/>
  <c r="N45" i="5" s="1"/>
  <c r="H45" i="5"/>
  <c r="I44" i="5"/>
  <c r="I45" i="5" s="1"/>
  <c r="J44" i="5"/>
  <c r="J45" i="5" s="1"/>
  <c r="D53" i="17" l="1"/>
  <c r="L52" i="17"/>
  <c r="O52" i="17" s="1"/>
  <c r="O53" i="17" s="1"/>
  <c r="H52" i="17"/>
  <c r="J52" i="17" s="1"/>
  <c r="J53" i="17" s="1"/>
  <c r="G52" i="17"/>
  <c r="G53" i="17" s="1"/>
  <c r="F52" i="17"/>
  <c r="F53" i="17" s="1"/>
  <c r="E52" i="17"/>
  <c r="E53" i="17" s="1"/>
  <c r="L63" i="17"/>
  <c r="H63" i="17"/>
  <c r="H64" i="17" s="1"/>
  <c r="G63" i="17"/>
  <c r="G64" i="17" s="1"/>
  <c r="F63" i="17"/>
  <c r="F64" i="17" s="1"/>
  <c r="E63" i="17"/>
  <c r="E64" i="17" s="1"/>
  <c r="L45" i="17"/>
  <c r="H45" i="17"/>
  <c r="G45" i="17"/>
  <c r="G46" i="17" s="1"/>
  <c r="F45" i="17"/>
  <c r="F46" i="17" s="1"/>
  <c r="E45" i="17"/>
  <c r="E46" i="17" s="1"/>
  <c r="D15" i="17"/>
  <c r="L14" i="17"/>
  <c r="N14" i="17" s="1"/>
  <c r="N15" i="17" s="1"/>
  <c r="H14" i="17"/>
  <c r="H15" i="17" s="1"/>
  <c r="G14" i="17"/>
  <c r="G15" i="17" s="1"/>
  <c r="F14" i="17"/>
  <c r="F15" i="17" s="1"/>
  <c r="E14" i="17"/>
  <c r="E15" i="17" s="1"/>
  <c r="D11" i="17"/>
  <c r="L10" i="17"/>
  <c r="M10" i="17" s="1"/>
  <c r="M11" i="17" s="1"/>
  <c r="H10" i="17"/>
  <c r="K10" i="17" s="1"/>
  <c r="K11" i="17" s="1"/>
  <c r="G10" i="17"/>
  <c r="G11" i="17" s="1"/>
  <c r="F10" i="17"/>
  <c r="F11" i="17" s="1"/>
  <c r="E10" i="17"/>
  <c r="E11" i="17" s="1"/>
  <c r="D9" i="17"/>
  <c r="L8" i="17"/>
  <c r="L9" i="17" s="1"/>
  <c r="H8" i="17"/>
  <c r="K8" i="17" s="1"/>
  <c r="K9" i="17" s="1"/>
  <c r="G8" i="17"/>
  <c r="G9" i="17" s="1"/>
  <c r="F8" i="17"/>
  <c r="F9" i="17" s="1"/>
  <c r="E8" i="17"/>
  <c r="E9" i="17" s="1"/>
  <c r="M45" i="17" l="1"/>
  <c r="M46" i="17" s="1"/>
  <c r="L46" i="17"/>
  <c r="K45" i="17"/>
  <c r="K46" i="17" s="1"/>
  <c r="H46" i="17"/>
  <c r="N63" i="17"/>
  <c r="N64" i="17" s="1"/>
  <c r="L64" i="17"/>
  <c r="M63" i="17"/>
  <c r="M64" i="17" s="1"/>
  <c r="I52" i="17"/>
  <c r="I53" i="17" s="1"/>
  <c r="I14" i="17"/>
  <c r="I15" i="17" s="1"/>
  <c r="J14" i="17"/>
  <c r="J15" i="17" s="1"/>
  <c r="O45" i="17"/>
  <c r="O46" i="17" s="1"/>
  <c r="I63" i="17"/>
  <c r="I64" i="17" s="1"/>
  <c r="J63" i="17"/>
  <c r="J64" i="17" s="1"/>
  <c r="M14" i="17"/>
  <c r="M15" i="17" s="1"/>
  <c r="M8" i="17"/>
  <c r="M9" i="17" s="1"/>
  <c r="K52" i="17"/>
  <c r="K53" i="17" s="1"/>
  <c r="N8" i="17"/>
  <c r="N9" i="17" s="1"/>
  <c r="N10" i="17"/>
  <c r="N11" i="17" s="1"/>
  <c r="O14" i="17"/>
  <c r="O15" i="17" s="1"/>
  <c r="O63" i="17"/>
  <c r="O64" i="17" s="1"/>
  <c r="O10" i="17"/>
  <c r="O11" i="17" s="1"/>
  <c r="N45" i="17"/>
  <c r="N46" i="17" s="1"/>
  <c r="H9" i="17"/>
  <c r="I10" i="17"/>
  <c r="I11" i="17" s="1"/>
  <c r="I45" i="17"/>
  <c r="I46" i="17" s="1"/>
  <c r="L53" i="17"/>
  <c r="H11" i="17"/>
  <c r="I8" i="17"/>
  <c r="I9" i="17" s="1"/>
  <c r="O8" i="17"/>
  <c r="O9" i="17" s="1"/>
  <c r="J10" i="17"/>
  <c r="J11" i="17" s="1"/>
  <c r="K14" i="17"/>
  <c r="K15" i="17" s="1"/>
  <c r="J45" i="17"/>
  <c r="J46" i="17" s="1"/>
  <c r="K63" i="17"/>
  <c r="K64" i="17" s="1"/>
  <c r="M52" i="17"/>
  <c r="M53" i="17" s="1"/>
  <c r="J8" i="17"/>
  <c r="J9" i="17" s="1"/>
  <c r="L15" i="17"/>
  <c r="N52" i="17"/>
  <c r="N53" i="17" s="1"/>
  <c r="H53" i="17"/>
  <c r="L11" i="17"/>
  <c r="D77" i="14"/>
  <c r="L76" i="14"/>
  <c r="N76" i="14" s="1"/>
  <c r="N77" i="14" s="1"/>
  <c r="H76" i="14"/>
  <c r="H77" i="14" s="1"/>
  <c r="G76" i="14"/>
  <c r="G77" i="14" s="1"/>
  <c r="F76" i="14"/>
  <c r="F77" i="14" s="1"/>
  <c r="E76" i="14"/>
  <c r="E77" i="14" s="1"/>
  <c r="D96" i="5"/>
  <c r="L95" i="5"/>
  <c r="O95" i="5" s="1"/>
  <c r="O96" i="5" s="1"/>
  <c r="H95" i="5"/>
  <c r="K95" i="5" s="1"/>
  <c r="K96" i="5" s="1"/>
  <c r="G95" i="5"/>
  <c r="G96" i="5" s="1"/>
  <c r="F95" i="5"/>
  <c r="F96" i="5" s="1"/>
  <c r="E95" i="5"/>
  <c r="E96" i="5" s="1"/>
  <c r="J76" i="14" l="1"/>
  <c r="J77" i="14" s="1"/>
  <c r="K76" i="14"/>
  <c r="K77" i="14" s="1"/>
  <c r="M76" i="14"/>
  <c r="M77" i="14" s="1"/>
  <c r="O76" i="14"/>
  <c r="O77" i="14" s="1"/>
  <c r="I76" i="14"/>
  <c r="I77" i="14" s="1"/>
  <c r="L77" i="14"/>
  <c r="L96" i="5"/>
  <c r="M95" i="5"/>
  <c r="M96" i="5" s="1"/>
  <c r="N95" i="5"/>
  <c r="N96" i="5" s="1"/>
  <c r="H96" i="5"/>
  <c r="I95" i="5"/>
  <c r="I96" i="5" s="1"/>
  <c r="J95" i="5"/>
  <c r="J96" i="5" s="1"/>
  <c r="G89" i="14" l="1"/>
  <c r="F89" i="14"/>
  <c r="E89" i="14"/>
  <c r="L83" i="14"/>
  <c r="H83" i="14"/>
  <c r="H84" i="14" s="1"/>
  <c r="G83" i="14"/>
  <c r="G84" i="14" s="1"/>
  <c r="F83" i="14"/>
  <c r="F84" i="14" s="1"/>
  <c r="E83" i="14"/>
  <c r="E84" i="14" s="1"/>
  <c r="L74" i="14"/>
  <c r="H74" i="14"/>
  <c r="H75" i="14" s="1"/>
  <c r="G74" i="14"/>
  <c r="G75" i="14" s="1"/>
  <c r="F74" i="14"/>
  <c r="F75" i="14" s="1"/>
  <c r="E74" i="14"/>
  <c r="E75" i="14" s="1"/>
  <c r="D50" i="14"/>
  <c r="L49" i="14"/>
  <c r="L50" i="14" s="1"/>
  <c r="H49" i="14"/>
  <c r="I49" i="14" s="1"/>
  <c r="I50" i="14" s="1"/>
  <c r="G49" i="14"/>
  <c r="G50" i="14" s="1"/>
  <c r="F49" i="14"/>
  <c r="F50" i="14" s="1"/>
  <c r="E49" i="14"/>
  <c r="E50" i="14" s="1"/>
  <c r="L45" i="14"/>
  <c r="H45" i="14"/>
  <c r="H46" i="14" s="1"/>
  <c r="G45" i="14"/>
  <c r="G46" i="14" s="1"/>
  <c r="F45" i="14"/>
  <c r="F46" i="14" s="1"/>
  <c r="E45" i="14"/>
  <c r="E46" i="14" s="1"/>
  <c r="G23" i="14"/>
  <c r="F23" i="14"/>
  <c r="E23" i="14"/>
  <c r="G19" i="14"/>
  <c r="F19" i="14"/>
  <c r="E19" i="14"/>
  <c r="D16" i="14"/>
  <c r="L15" i="14"/>
  <c r="M15" i="14" s="1"/>
  <c r="M16" i="14" s="1"/>
  <c r="H15" i="14"/>
  <c r="G15" i="14"/>
  <c r="G16" i="14" s="1"/>
  <c r="F15" i="14"/>
  <c r="F16" i="14" s="1"/>
  <c r="E15" i="14"/>
  <c r="E16" i="14" s="1"/>
  <c r="D9" i="14"/>
  <c r="L8" i="14"/>
  <c r="N8" i="14" s="1"/>
  <c r="N9" i="14" s="1"/>
  <c r="H8" i="14"/>
  <c r="H9" i="14" s="1"/>
  <c r="G8" i="14"/>
  <c r="G9" i="14" s="1"/>
  <c r="F8" i="14"/>
  <c r="F9" i="14" s="1"/>
  <c r="E8" i="14"/>
  <c r="E9" i="14" s="1"/>
  <c r="M45" i="14" l="1"/>
  <c r="M46" i="14" s="1"/>
  <c r="L46" i="14"/>
  <c r="N83" i="14"/>
  <c r="N84" i="14" s="1"/>
  <c r="L84" i="14"/>
  <c r="M74" i="14"/>
  <c r="M75" i="14" s="1"/>
  <c r="L75" i="14"/>
  <c r="O74" i="14"/>
  <c r="O75" i="14" s="1"/>
  <c r="N74" i="14"/>
  <c r="N75" i="14" s="1"/>
  <c r="I8" i="14"/>
  <c r="I9" i="14" s="1"/>
  <c r="J8" i="14"/>
  <c r="J9" i="14" s="1"/>
  <c r="M49" i="14"/>
  <c r="M50" i="14" s="1"/>
  <c r="N49" i="14"/>
  <c r="N50" i="14" s="1"/>
  <c r="O83" i="14"/>
  <c r="O84" i="14" s="1"/>
  <c r="O15" i="14"/>
  <c r="O16" i="14" s="1"/>
  <c r="O49" i="14"/>
  <c r="O50" i="14" s="1"/>
  <c r="J49" i="14"/>
  <c r="J50" i="14" s="1"/>
  <c r="J83" i="14"/>
  <c r="J84" i="14" s="1"/>
  <c r="N15" i="14"/>
  <c r="N16" i="14" s="1"/>
  <c r="M83" i="14"/>
  <c r="M84" i="14" s="1"/>
  <c r="N45" i="14"/>
  <c r="N46" i="14" s="1"/>
  <c r="I83" i="14"/>
  <c r="I84" i="14" s="1"/>
  <c r="O45" i="14"/>
  <c r="O46" i="14" s="1"/>
  <c r="K49" i="14"/>
  <c r="K50" i="14" s="1"/>
  <c r="O8" i="14"/>
  <c r="O9" i="14" s="1"/>
  <c r="L9" i="14"/>
  <c r="K74" i="14"/>
  <c r="K75" i="14" s="1"/>
  <c r="J74" i="14"/>
  <c r="J75" i="14" s="1"/>
  <c r="I74" i="14"/>
  <c r="I75" i="14" s="1"/>
  <c r="K15" i="14"/>
  <c r="K16" i="14" s="1"/>
  <c r="J15" i="14"/>
  <c r="J16" i="14" s="1"/>
  <c r="H16" i="14"/>
  <c r="I15" i="14"/>
  <c r="I16" i="14" s="1"/>
  <c r="M8" i="14"/>
  <c r="M9" i="14" s="1"/>
  <c r="K45" i="14"/>
  <c r="K46" i="14" s="1"/>
  <c r="J45" i="14"/>
  <c r="J46" i="14" s="1"/>
  <c r="I45" i="14"/>
  <c r="I46" i="14" s="1"/>
  <c r="K8" i="14"/>
  <c r="K9" i="14" s="1"/>
  <c r="K83" i="14"/>
  <c r="K84" i="14" s="1"/>
  <c r="H50" i="14"/>
  <c r="L16" i="14"/>
  <c r="L56" i="13" l="1"/>
  <c r="H56" i="13"/>
  <c r="G56" i="13"/>
  <c r="G57" i="13" s="1"/>
  <c r="F56" i="13"/>
  <c r="F57" i="13" s="1"/>
  <c r="E56" i="13"/>
  <c r="E57" i="13" s="1"/>
  <c r="D64" i="13"/>
  <c r="L63" i="13"/>
  <c r="M63" i="13" s="1"/>
  <c r="M64" i="13" s="1"/>
  <c r="H63" i="13"/>
  <c r="K63" i="13" s="1"/>
  <c r="K64" i="13" s="1"/>
  <c r="G63" i="13"/>
  <c r="G64" i="13" s="1"/>
  <c r="F63" i="13"/>
  <c r="F64" i="13" s="1"/>
  <c r="E63" i="13"/>
  <c r="E64" i="13" s="1"/>
  <c r="L28" i="13"/>
  <c r="H28" i="13"/>
  <c r="G28" i="13"/>
  <c r="G29" i="13" s="1"/>
  <c r="F28" i="13"/>
  <c r="F29" i="13" s="1"/>
  <c r="E28" i="13"/>
  <c r="E29" i="13" s="1"/>
  <c r="D44" i="13"/>
  <c r="L43" i="13"/>
  <c r="N43" i="13" s="1"/>
  <c r="N44" i="13" s="1"/>
  <c r="H43" i="13"/>
  <c r="H44" i="13" s="1"/>
  <c r="G43" i="13"/>
  <c r="G44" i="13" s="1"/>
  <c r="F43" i="13"/>
  <c r="F44" i="13" s="1"/>
  <c r="E43" i="13"/>
  <c r="E44" i="13" s="1"/>
  <c r="G16" i="13"/>
  <c r="F16" i="13"/>
  <c r="E16" i="13"/>
  <c r="G15" i="13"/>
  <c r="F15" i="13"/>
  <c r="E15" i="13"/>
  <c r="D50" i="13"/>
  <c r="L49" i="13"/>
  <c r="O49" i="13" s="1"/>
  <c r="O50" i="13" s="1"/>
  <c r="H49" i="13"/>
  <c r="K49" i="13" s="1"/>
  <c r="K50" i="13" s="1"/>
  <c r="G49" i="13"/>
  <c r="G50" i="13" s="1"/>
  <c r="F49" i="13"/>
  <c r="F50" i="13" s="1"/>
  <c r="E49" i="13"/>
  <c r="E50" i="13" s="1"/>
  <c r="D8" i="13"/>
  <c r="L7" i="13"/>
  <c r="N7" i="13" s="1"/>
  <c r="N8" i="13" s="1"/>
  <c r="H7" i="13"/>
  <c r="H8" i="13" s="1"/>
  <c r="G7" i="13"/>
  <c r="G8" i="13" s="1"/>
  <c r="F7" i="13"/>
  <c r="F8" i="13" s="1"/>
  <c r="E7" i="13"/>
  <c r="E8" i="13" s="1"/>
  <c r="O28" i="13" l="1"/>
  <c r="O29" i="13" s="1"/>
  <c r="L29" i="13"/>
  <c r="I56" i="13"/>
  <c r="I57" i="13" s="1"/>
  <c r="H57" i="13"/>
  <c r="I28" i="13"/>
  <c r="I29" i="13" s="1"/>
  <c r="H29" i="13"/>
  <c r="O56" i="13"/>
  <c r="O57" i="13" s="1"/>
  <c r="L57" i="13"/>
  <c r="K7" i="13"/>
  <c r="K8" i="13" s="1"/>
  <c r="O43" i="13"/>
  <c r="O44" i="13" s="1"/>
  <c r="J63" i="13"/>
  <c r="J64" i="13" s="1"/>
  <c r="J56" i="13"/>
  <c r="J57" i="13" s="1"/>
  <c r="O7" i="13"/>
  <c r="O8" i="13" s="1"/>
  <c r="I43" i="13"/>
  <c r="I44" i="13" s="1"/>
  <c r="K43" i="13"/>
  <c r="K44" i="13" s="1"/>
  <c r="N63" i="13"/>
  <c r="N64" i="13" s="1"/>
  <c r="J28" i="13"/>
  <c r="J29" i="13" s="1"/>
  <c r="I7" i="13"/>
  <c r="I8" i="13" s="1"/>
  <c r="M43" i="13"/>
  <c r="M44" i="13" s="1"/>
  <c r="L50" i="13"/>
  <c r="H64" i="13"/>
  <c r="J7" i="13"/>
  <c r="J8" i="13" s="1"/>
  <c r="M49" i="13"/>
  <c r="M50" i="13" s="1"/>
  <c r="J43" i="13"/>
  <c r="J44" i="13" s="1"/>
  <c r="K28" i="13"/>
  <c r="K29" i="13" s="1"/>
  <c r="I63" i="13"/>
  <c r="I64" i="13" s="1"/>
  <c r="O63" i="13"/>
  <c r="O64" i="13" s="1"/>
  <c r="K56" i="13"/>
  <c r="K57" i="13" s="1"/>
  <c r="N49" i="13"/>
  <c r="N50" i="13" s="1"/>
  <c r="L8" i="13"/>
  <c r="I49" i="13"/>
  <c r="I50" i="13" s="1"/>
  <c r="L44" i="13"/>
  <c r="M28" i="13"/>
  <c r="M29" i="13" s="1"/>
  <c r="M56" i="13"/>
  <c r="M57" i="13" s="1"/>
  <c r="M7" i="13"/>
  <c r="M8" i="13" s="1"/>
  <c r="J49" i="13"/>
  <c r="J50" i="13" s="1"/>
  <c r="N28" i="13"/>
  <c r="N29" i="13" s="1"/>
  <c r="L64" i="13"/>
  <c r="N56" i="13"/>
  <c r="N57" i="13" s="1"/>
  <c r="H50" i="13"/>
  <c r="D103" i="5" l="1"/>
  <c r="L102" i="5"/>
  <c r="O102" i="5" s="1"/>
  <c r="O103" i="5" s="1"/>
  <c r="H102" i="5"/>
  <c r="K102" i="5" s="1"/>
  <c r="K103" i="5" s="1"/>
  <c r="G102" i="5"/>
  <c r="G103" i="5" s="1"/>
  <c r="F102" i="5"/>
  <c r="F103" i="5" s="1"/>
  <c r="E102" i="5"/>
  <c r="E103" i="5" s="1"/>
  <c r="D66" i="5"/>
  <c r="L65" i="5"/>
  <c r="O65" i="5" s="1"/>
  <c r="O66" i="5" s="1"/>
  <c r="H65" i="5"/>
  <c r="I65" i="5" s="1"/>
  <c r="I66" i="5" s="1"/>
  <c r="G65" i="5"/>
  <c r="G66" i="5" s="1"/>
  <c r="F65" i="5"/>
  <c r="F66" i="5" s="1"/>
  <c r="E65" i="5"/>
  <c r="E66" i="5" s="1"/>
  <c r="D16" i="5"/>
  <c r="L15" i="5"/>
  <c r="M15" i="5" s="1"/>
  <c r="M16" i="5" s="1"/>
  <c r="H15" i="5"/>
  <c r="K15" i="5" s="1"/>
  <c r="K16" i="5" s="1"/>
  <c r="G15" i="5"/>
  <c r="G16" i="5" s="1"/>
  <c r="F15" i="5"/>
  <c r="F16" i="5" s="1"/>
  <c r="E15" i="5"/>
  <c r="E16" i="5" s="1"/>
  <c r="L103" i="5" l="1"/>
  <c r="M102" i="5"/>
  <c r="M103" i="5" s="1"/>
  <c r="N102" i="5"/>
  <c r="N103" i="5" s="1"/>
  <c r="H103" i="5"/>
  <c r="I102" i="5"/>
  <c r="I103" i="5" s="1"/>
  <c r="J102" i="5"/>
  <c r="J103" i="5" s="1"/>
  <c r="J65" i="5"/>
  <c r="J66" i="5" s="1"/>
  <c r="K65" i="5"/>
  <c r="K66" i="5" s="1"/>
  <c r="M65" i="5"/>
  <c r="M66" i="5" s="1"/>
  <c r="L66" i="5"/>
  <c r="N65" i="5"/>
  <c r="N66" i="5" s="1"/>
  <c r="H66" i="5"/>
  <c r="O15" i="5"/>
  <c r="O16" i="5" s="1"/>
  <c r="N15" i="5"/>
  <c r="N16" i="5" s="1"/>
  <c r="H16" i="5"/>
  <c r="I15" i="5"/>
  <c r="I16" i="5" s="1"/>
  <c r="J15" i="5"/>
  <c r="J16" i="5" s="1"/>
  <c r="L16" i="5"/>
  <c r="L93" i="5" l="1"/>
  <c r="H93" i="5"/>
  <c r="G93" i="5"/>
  <c r="G94" i="5" s="1"/>
  <c r="F93" i="5"/>
  <c r="F94" i="5" s="1"/>
  <c r="E93" i="5"/>
  <c r="E94" i="5" s="1"/>
  <c r="K93" i="5" l="1"/>
  <c r="K94" i="5" s="1"/>
  <c r="H94" i="5"/>
  <c r="O93" i="5"/>
  <c r="O94" i="5" s="1"/>
  <c r="L94" i="5"/>
  <c r="M93" i="5"/>
  <c r="M94" i="5" s="1"/>
  <c r="N93" i="5"/>
  <c r="N94" i="5" s="1"/>
  <c r="I93" i="5"/>
  <c r="I94" i="5" s="1"/>
  <c r="J93" i="5"/>
  <c r="J94" i="5" s="1"/>
  <c r="L61" i="5"/>
  <c r="H61" i="5"/>
  <c r="G61" i="5"/>
  <c r="G62" i="5" s="1"/>
  <c r="F61" i="5"/>
  <c r="F62" i="5" s="1"/>
  <c r="E61" i="5"/>
  <c r="E62" i="5" s="1"/>
  <c r="O61" i="5" l="1"/>
  <c r="O62" i="5" s="1"/>
  <c r="L62" i="5"/>
  <c r="I61" i="5"/>
  <c r="I62" i="5" s="1"/>
  <c r="H62" i="5"/>
  <c r="J61" i="5"/>
  <c r="J62" i="5" s="1"/>
  <c r="K61" i="5"/>
  <c r="K62" i="5" s="1"/>
  <c r="N61" i="5"/>
  <c r="N62" i="5" s="1"/>
  <c r="M61" i="5"/>
  <c r="M62" i="5" s="1"/>
  <c r="E111" i="5" l="1"/>
  <c r="F111" i="5"/>
  <c r="G111" i="5"/>
  <c r="D19" i="5"/>
  <c r="L18" i="5"/>
  <c r="O18" i="5" s="1"/>
  <c r="O19" i="5" s="1"/>
  <c r="H18" i="5"/>
  <c r="K18" i="5" s="1"/>
  <c r="K19" i="5" s="1"/>
  <c r="G18" i="5"/>
  <c r="G19" i="5" s="1"/>
  <c r="F18" i="5"/>
  <c r="F19" i="5" s="1"/>
  <c r="E18" i="5"/>
  <c r="E19" i="5" s="1"/>
  <c r="L19" i="5" l="1"/>
  <c r="M18" i="5"/>
  <c r="M19" i="5" s="1"/>
  <c r="N18" i="5"/>
  <c r="N19" i="5" s="1"/>
  <c r="H19" i="5"/>
  <c r="I18" i="5"/>
  <c r="I19" i="5" s="1"/>
  <c r="J18" i="5"/>
  <c r="J19" i="5" s="1"/>
  <c r="L21" i="5" l="1"/>
  <c r="L22" i="5" s="1"/>
  <c r="H21" i="5"/>
  <c r="K21" i="5" s="1"/>
  <c r="K22" i="5" s="1"/>
  <c r="G21" i="5"/>
  <c r="G22" i="5" s="1"/>
  <c r="F21" i="5"/>
  <c r="F22" i="5" s="1"/>
  <c r="E21" i="5"/>
  <c r="E22" i="5" s="1"/>
  <c r="D22" i="5"/>
  <c r="H22" i="5" l="1"/>
  <c r="M21" i="5"/>
  <c r="M22" i="5" s="1"/>
  <c r="N21" i="5"/>
  <c r="N22" i="5" s="1"/>
  <c r="I21" i="5"/>
  <c r="I22" i="5" s="1"/>
  <c r="O21" i="5"/>
  <c r="O22" i="5" s="1"/>
  <c r="J21" i="5"/>
  <c r="J22" i="5" s="1"/>
  <c r="L84" i="5"/>
  <c r="L85" i="5" s="1"/>
  <c r="H84" i="5"/>
  <c r="I84" i="5" s="1"/>
  <c r="I85" i="5" s="1"/>
  <c r="G84" i="5"/>
  <c r="G85" i="5" s="1"/>
  <c r="F84" i="5"/>
  <c r="F85" i="5" s="1"/>
  <c r="E84" i="5"/>
  <c r="E85" i="5" s="1"/>
  <c r="L8" i="5"/>
  <c r="L9" i="5" s="1"/>
  <c r="H8" i="5"/>
  <c r="I8" i="5" s="1"/>
  <c r="I9" i="5" s="1"/>
  <c r="G8" i="5"/>
  <c r="G9" i="5" s="1"/>
  <c r="F8" i="5"/>
  <c r="F9" i="5" s="1"/>
  <c r="E8" i="5"/>
  <c r="E9" i="5" s="1"/>
  <c r="D9" i="5"/>
  <c r="K84" i="5" l="1"/>
  <c r="K85" i="5" s="1"/>
  <c r="H85" i="5"/>
  <c r="J84" i="5"/>
  <c r="J85" i="5" s="1"/>
  <c r="M84" i="5"/>
  <c r="M85" i="5" s="1"/>
  <c r="N84" i="5"/>
  <c r="N85" i="5" s="1"/>
  <c r="O84" i="5"/>
  <c r="O85" i="5" s="1"/>
  <c r="H9" i="5"/>
  <c r="J8" i="5"/>
  <c r="J9" i="5" s="1"/>
  <c r="K8" i="5"/>
  <c r="K9" i="5" s="1"/>
  <c r="M8" i="5"/>
  <c r="M9" i="5" s="1"/>
  <c r="N8" i="5"/>
  <c r="N9" i="5" s="1"/>
  <c r="O8" i="5"/>
  <c r="O9" i="5" s="1"/>
  <c r="D85" i="5" l="1"/>
  <c r="G35" i="5" l="1"/>
  <c r="F35" i="5"/>
  <c r="E35" i="5"/>
</calcChain>
</file>

<file path=xl/sharedStrings.xml><?xml version="1.0" encoding="utf-8"?>
<sst xmlns="http://schemas.openxmlformats.org/spreadsheetml/2006/main" count="1997" uniqueCount="527">
  <si>
    <t>الانذار</t>
  </si>
  <si>
    <t>منشآت متوسطة</t>
  </si>
  <si>
    <t>منشآت كبيرة</t>
  </si>
  <si>
    <t>المخالفة</t>
  </si>
  <si>
    <t>م</t>
  </si>
  <si>
    <t>فئة (د)</t>
  </si>
  <si>
    <t>فئة (ج)</t>
  </si>
  <si>
    <t>فئة (ب)</t>
  </si>
  <si>
    <t>فئة (أ)</t>
  </si>
  <si>
    <t>لا ينطبق</t>
  </si>
  <si>
    <t>ينطبق</t>
  </si>
  <si>
    <t>بيع منتجات مخصصة لمصانع الأعلاف</t>
  </si>
  <si>
    <t>عدم الاحتفاظ بعينات ممثلة لكل تشغيلة</t>
  </si>
  <si>
    <t xml:space="preserve">قيمة ثابته </t>
  </si>
  <si>
    <t xml:space="preserve">الحد الأعلى </t>
  </si>
  <si>
    <t xml:space="preserve">الحد الأدنى </t>
  </si>
  <si>
    <t>الحد الأدنى</t>
  </si>
  <si>
    <t>عدم مطابقة الاختبارات مع متطلبات اللوائح الفنيَّة</t>
  </si>
  <si>
    <t>استخدام المختبر أو أي من معداته لأغراض أخرى غير مصرح بها</t>
  </si>
  <si>
    <t>إصدار نتائج اختبارات غير صحيحة</t>
  </si>
  <si>
    <t>الغرامة نصف تكلفة الاختبار</t>
  </si>
  <si>
    <t xml:space="preserve">استخدام مواد منتهية الصلاحية أو غير صالحة للتحليل </t>
  </si>
  <si>
    <t>إصدار نتائج اختبارات بدون إجراء التحليل</t>
  </si>
  <si>
    <t>للمنشأة</t>
  </si>
  <si>
    <t>قيمة ثابتة</t>
  </si>
  <si>
    <t>الوحدة</t>
  </si>
  <si>
    <t>الاحتفاظ بالرجيع -سواءً منتهي الصلاحية أو التالف- في مكان غير معزول أو الاحتفاظ بهِ دون وضع ما يثبت ذلك</t>
  </si>
  <si>
    <t>مخالفة اشتراطات النظافة العامة في المنشأة أو في المعدات المستخدمة وما في حكمها</t>
  </si>
  <si>
    <t xml:space="preserve">تشغيل عامل ليس لديه رخصة ممارسة عمل  </t>
  </si>
  <si>
    <t xml:space="preserve">تشغيل عامل بعد انتهاء رخصة ممارسة عمله </t>
  </si>
  <si>
    <t xml:space="preserve"> الفصل الثالث: التداول وتتبع الأعلاف</t>
  </si>
  <si>
    <t xml:space="preserve">عدم قيام المنشأة بالإجراء المعتمد لإتلاف الأعلاف خلال الفترة التي حددتها الهيئة للمنشأة </t>
  </si>
  <si>
    <t>عدم تطبيق أنظمة السلامة والجودة الإلزامية</t>
  </si>
  <si>
    <t>عدم تمكين المفتش من دخول المنشأة أو  أحد مرافقها</t>
  </si>
  <si>
    <t>تداول أعلاف ملوثة أو فاسدة  أو مجهولة المصدر</t>
  </si>
  <si>
    <t>تداول أعلاف ملوثة أو فاسدة أو مجهولة المصدر</t>
  </si>
  <si>
    <t xml:space="preserve">تداول أعلاف صادر بحقها منع تداول </t>
  </si>
  <si>
    <t>الفصل الرابع: مخالفــات عامــة</t>
  </si>
  <si>
    <t xml:space="preserve">للمنشأة </t>
  </si>
  <si>
    <t xml:space="preserve"> الفصل الثاني: التداول وتتبع الأعلاف</t>
  </si>
  <si>
    <t>الفصل الرابع: مخالفات عامة</t>
  </si>
  <si>
    <t>الفصل الثالث: مخالفات عامة</t>
  </si>
  <si>
    <t>قيمة ثابته</t>
  </si>
  <si>
    <t xml:space="preserve"> لا ينطبق</t>
  </si>
  <si>
    <t>نفس تكلفة الاختبار</t>
  </si>
  <si>
    <t>عدم الالتزام بأسعار الاختبارات المعتمدة من قبل الهيئة</t>
  </si>
  <si>
    <t>عدم إبراز الهيكل التنظيمي أو  أسعار الاختبارات المعتمدة أو  شهادة الاعتماد سارية الصلاحية في مكان ظاهر بالمختبر</t>
  </si>
  <si>
    <t>التعديل على الهيكل التنظيمي أو أسعار الاختبارات أو شهادة الاعتماد دون أخذ موافقة الهيئة</t>
  </si>
  <si>
    <t xml:space="preserve">تشغيل فنيين غير مؤهلين </t>
  </si>
  <si>
    <t>عدم الاحتفاظ بسجلات الاختبارات لآخر خمس سنوات</t>
  </si>
  <si>
    <t>عدم الالتزام بالسرية عند نقل العينات ونتائج الاختبارات</t>
  </si>
  <si>
    <t>الاحتفاظ بالمواد منتهية الصلاحية أو غير الصالحة للتحليل في مكان غير معزول أو الاحتفاظ بها دون وضع ما يثبت ذلك</t>
  </si>
  <si>
    <t xml:space="preserve">إصدار نتائج اختبارات غير صحيحة </t>
  </si>
  <si>
    <t xml:space="preserve">عدم مطابقة الاختبارات مع متطلبات اللوائح الفنيَّة </t>
  </si>
  <si>
    <t xml:space="preserve">الامتناع عن المشاركة باختبارات الكفاءة التي تنظمها الهيئة  </t>
  </si>
  <si>
    <t>عدم إبلاغ الهيئة في حال عدم قدرة المختبر على الاستمرار في تحقيق اشتراطات ومتطلبات الترخيص</t>
  </si>
  <si>
    <t>عدم الالتزام بتزويد الهيئة بالتقارير الشهرية المطلوبة</t>
  </si>
  <si>
    <t>الإنذار</t>
  </si>
  <si>
    <t>الفصل الثاني: مخالفات عامة</t>
  </si>
  <si>
    <t>الحد الأعلى</t>
  </si>
  <si>
    <t>تصدير الأعلاف قبل الحصول على شهادة صلاحية تصدير</t>
  </si>
  <si>
    <t>وجود غرف تفتيش داخل منطقة التعبئة والتغليف</t>
  </si>
  <si>
    <t>تداول أعلاف منتهية الصلاحية</t>
  </si>
  <si>
    <t>تداول أعلاف تحتوي على مضاف علفي ممنوع استخدامه وفقاً للوائح الفنية</t>
  </si>
  <si>
    <t xml:space="preserve">عدم وجود أو عدم اكتمال دليل تتبع الأعلاف </t>
  </si>
  <si>
    <t>عدم الاحتفاظ بالسجلات والمعلومات الخاصة بتتبع الأعلاف لمدة لا تقل عن (180) يومًا بعد انتهاء فترة الصلاحية، أو لأي مدة أخرى تحددها الهيئة</t>
  </si>
  <si>
    <t>عدم تركيب جهاز قياس درجات الحرارة أو عدم مراقبتها في المستودعات  وتقديم ما يثبت ذلك</t>
  </si>
  <si>
    <t>عدم القيام بإجراء اختبارات دورية للأعلاف</t>
  </si>
  <si>
    <t xml:space="preserve">مخالفة اشتراطات النظافة العامة </t>
  </si>
  <si>
    <t>عدم تركيب جهاز قياس درجات الحرارة أو عدم مراقبتها عند تداول الأعلاف  وتقديم ما يثبت ذلك</t>
  </si>
  <si>
    <t>عدم تركيب جهاز قياس درجات الحرارة أو عدم مراقبتها وتقديم ما يثبت ذلك</t>
  </si>
  <si>
    <t xml:space="preserve">تداول أعلاف  صادر بحقها منع تداول </t>
  </si>
  <si>
    <t>عدم معايرة الأجهزة أو عدم تقديم مايثبت ذلك</t>
  </si>
  <si>
    <t xml:space="preserve">وجود غرف تفتيش صرف صحي داخل منطقة الإنتاج </t>
  </si>
  <si>
    <t xml:space="preserve">تداول الأعلاف مع مبيدات أو مواد التنظيف أو  وما في حكمها </t>
  </si>
  <si>
    <t xml:space="preserve">  عدم الالتزام بالشروط أو المتطلبات أو التعاميم المتعلقة بنقل الأعلاف  </t>
  </si>
  <si>
    <t xml:space="preserve">  عدم الالتزام بالشروط أو المتطلبات أو التعاميم المتعلقة  بتداول الأعلاف </t>
  </si>
  <si>
    <t xml:space="preserve">  عدم الالتزام بالشروط أو المتطلبات أو التعاميم المتعلقة  بنقل الأعلاف </t>
  </si>
  <si>
    <t>عدم قيام المنشأة بإبلاغ الهيئة فور علمها أو  شكها أن الأعلاف غير مطابق للأنظمة أو اللوائح أو التعاميم أو الاشتراطات</t>
  </si>
  <si>
    <t>ممارسة نشاط إضافي غير مدرج بالترخيص</t>
  </si>
  <si>
    <t>ممارسة النشاط بعد انتهاء الترخيص</t>
  </si>
  <si>
    <t>ممارسة نشاط الاستيراد دون وجود مستودع مرخص وفق الشروط والمتطلبات</t>
  </si>
  <si>
    <t xml:space="preserve">ممارسة نشاط إضافي غير مدرج بالترخيص </t>
  </si>
  <si>
    <t xml:space="preserve">ممارسة النشاط بعد انتهاء الترخيص </t>
  </si>
  <si>
    <t>الفصل الخامس: مخالفات عامة</t>
  </si>
  <si>
    <t>أولاً : مصانع الأعلاف</t>
  </si>
  <si>
    <t xml:space="preserve">عدم إرفاق الشهادات أو المستندات  عند الاستيراد </t>
  </si>
  <si>
    <t xml:space="preserve"> الفصل الثاني : التداول وتتبع الأعلاف</t>
  </si>
  <si>
    <t>عدم حصول المنشأة على رخصة تخزين لدى الغير</t>
  </si>
  <si>
    <t xml:space="preserve"> الفصل الأول:ترخيص المنشآت وتسجيل  المنتجات العلفية</t>
  </si>
  <si>
    <t xml:space="preserve"> الفصل الأول:ترخيص المنشآت </t>
  </si>
  <si>
    <t xml:space="preserve"> الفصل الأول: ترخيص المنشآت </t>
  </si>
  <si>
    <t>تداول منتج علفي غير مسجل لدى الهيئة</t>
  </si>
  <si>
    <t xml:space="preserve"> عدم تحديث بيانات المنتج العلفي المسجل في حال التغيير</t>
  </si>
  <si>
    <t>عدم إبلاغ الهيئة عند حدوث أي تغيير في المنشأة بما في ذلك التوقف عن مزاولة النشاط</t>
  </si>
  <si>
    <t xml:space="preserve">  عدم الالتزام بالشروط أو المتطلبات أو التعاميم المتعلقة بالترخيص أو التسجيل المنشورة على موقع الهيئة</t>
  </si>
  <si>
    <t xml:space="preserve"> الفصل الثاني: مختبرات المصانع </t>
  </si>
  <si>
    <t xml:space="preserve">  عدم الالتزام بالشروط أو المتطلبات أو التعاميم المتعلقة بالتحليل المخبري المنشورة على موقع الهيئة</t>
  </si>
  <si>
    <t xml:space="preserve">  عدم الالتزام بالشروط أو المتطلبات أو التعاميم المتعلقة بنقل العينة المنشورة على موقع الهيئة</t>
  </si>
  <si>
    <t>تداول  أعلاف بأساليب أو ادعاءات أو طرق أو معلومات أو بيانات مضللة أو خادعة للمستهلك</t>
  </si>
  <si>
    <t>الإعلان عن أعلاف بأساليب أو ادعاءات أو طرق أو معلومات أو بيانات مضللة أو خادعة للمستهلك</t>
  </si>
  <si>
    <t>عدم إتمام عملية السحب خلال الفترة التي حددتها الهيئة للمنشأة العلفية</t>
  </si>
  <si>
    <t>تداول أعلاف مخالفة لبيانات البطاقة العلفية</t>
  </si>
  <si>
    <t xml:space="preserve">  عدم الالتزام بالشروط أو المتطلبات أو التعاميم المتعلقة بالتعبئة والتغليف المنشورة على موقع الهيئة</t>
  </si>
  <si>
    <t xml:space="preserve">  عدم الالتزام بالشروط أو المتطلبات أو التعاميم المتعلقة بإجراءات السحب والاسترجاع المنشورة على موقع الهيئة</t>
  </si>
  <si>
    <t xml:space="preserve">  عدم الالتزام بالشروط أو المتطلبات أو التعاميم المتعلقة بالاستيراد أو الفسح المنشورة على موقع الهيئة</t>
  </si>
  <si>
    <t xml:space="preserve">  عدم الالتزام بالشروط أو المتطلبات أو التعاميم المتعلقة بالإعلان المنشورة على موقع الهيئة</t>
  </si>
  <si>
    <t xml:space="preserve">  عدم الالتزام بالشروط أو المتطلبات أو التعاميم المتعلقة بتداول الأعلاف المنشورة على موقع الهيئة</t>
  </si>
  <si>
    <t xml:space="preserve">  عدم الالتزام بالشروط أو المتطلبات أو التعاميم المتعلقة بالعاملين المنشورة على موقع الهيئة </t>
  </si>
  <si>
    <t xml:space="preserve">  عدم الالتزام بالشروط أو المتطلبات أو التعاميم المتعلقة بطرق مكافحة الآفات أو الحشرات أو الطيور أو الحيوانات المنشورة على موقع الهيئة</t>
  </si>
  <si>
    <t xml:space="preserve">  عدم الالتزام بالشروط أو المتطلبات أو التعاميم المتعلقة بمصانع الأعلاف المنشورة على موقع الهيئة</t>
  </si>
  <si>
    <t xml:space="preserve">ممارسة النشاط بعد الإغلاق أو إيقاف خطوط الإنتاج </t>
  </si>
  <si>
    <t>عدم قيام المنشأة باتلاف الأعلاف وفقًا للإجراءات التي تحددها الهيئة</t>
  </si>
  <si>
    <t>تداول أعلاف تحتوي على مضاف علفي مسموح استخدامه لكن بنسبة تزيد على الحد المسموح به في اللوائح الفنية</t>
  </si>
  <si>
    <t>تداول أعلاف بأساليب أو ادعاءات أو طرق أو معلومات أو بيانات مضللة أو خادعة للمستهلك</t>
  </si>
  <si>
    <t xml:space="preserve"> الإعلان عن أعلاف بأساليب أو ادعاءات أو طرق أو معلومات أو بيانات مضللة أو خادعة للمستهلك</t>
  </si>
  <si>
    <t xml:space="preserve">عدم وجود بطاقة التعبئة على الأعلاف </t>
  </si>
  <si>
    <t xml:space="preserve">  عدم الالتزام بالشروط أو المتطلبات أو التعاميم المتعلقة بإجراءات السحب والاسترجاع المنشورة على موقع الهيئة  </t>
  </si>
  <si>
    <t xml:space="preserve">  عدم الالتزام بالشروط أو المتطلبات أو التعاميم المتعلقة بالعاملين المنشورة على موقع الهيئة</t>
  </si>
  <si>
    <t xml:space="preserve">  عدم الالتزام بالشروط أو المتطلبات أو التعاميم المتعلقة بمستودعات الأعلاف المنشورة على موقع الهيئة</t>
  </si>
  <si>
    <t>ممارسة النشاط بعد الإغلاق من قبل الهيئة</t>
  </si>
  <si>
    <t xml:space="preserve">قيمه ثابته </t>
  </si>
  <si>
    <t>استيراد أعلاف من منشأة غير معتمدة</t>
  </si>
  <si>
    <t>تداول أو استيراد أعلاف من دول أو منشآت معلق الاستيراد منها</t>
  </si>
  <si>
    <t xml:space="preserve"> عدم الالتزام بالشروط أو المتطلبات أو التعاميم المتعلقة بتنظيم عمل المكاتب الاستشارية المنشورة على موقع الهيئة</t>
  </si>
  <si>
    <t xml:space="preserve">  عدم الالتزام بالشروط أو المتطلبات أو التعاميم المتعلقة بالترخيص المنشورة على موقع الهيئة</t>
  </si>
  <si>
    <t xml:space="preserve">  عدم الالتزام بالشروط أو المتطلبات أو التعاميم المتعلقة  بتداول الأعلاف المنشورة على موقع الهيئة</t>
  </si>
  <si>
    <t xml:space="preserve">  عدم الالتزام بالشروط أو المتطلبات أو التعاميم المتعلقة بمنافذ بيع الأعلاف المنشورة على موقع الهيئة</t>
  </si>
  <si>
    <t xml:space="preserve"> الفصل الأول:ترخيص المنشآت وتسجيل المنتجات العلفية</t>
  </si>
  <si>
    <t>تداول أعلاف مخالفة لبيانات بطاقة التعبئة</t>
  </si>
  <si>
    <t xml:space="preserve">ممارسة النشاط بعد قرار المنع أو تعليق الاستيراد </t>
  </si>
  <si>
    <t xml:space="preserve"> فتحات الصرف الصحي في منطقة الإنتاج غير مطابقة للوائح والاشتراطات الفنية</t>
  </si>
  <si>
    <t xml:space="preserve">  عدم الالتزام بالشروط أو المتطلبات أو التعاميم المتعلقة بإجراءات السحب والاستدعاء المنشورة على موقع الهيئة</t>
  </si>
  <si>
    <t>ممارسة النشاط دون الحصول على ترخيص</t>
  </si>
  <si>
    <t xml:space="preserve"> التعاقد مع  مختبر خارجي دون الحصول على موافقة  الهيئة </t>
  </si>
  <si>
    <t>تنظيف أو إتلاف أي معدات أو أدوات أو مواد إذا تبين وجود اشتباه بحالة تسمم</t>
  </si>
  <si>
    <t>حد قيمة الغرامة</t>
  </si>
  <si>
    <t>استخدام اسم أو شعار الهيئة العامة للغذاء والدواء في الإعلان</t>
  </si>
  <si>
    <t xml:space="preserve"> الفصل الثاني: تداول وتتبع الأعلاف</t>
  </si>
  <si>
    <t>عدم تركيب جهاز قياس درجات الحرارة أو عدم مراقبتها في مستودعات المصانع ومناطق الإنتاج  وتقديم ما يثبت ذلك</t>
  </si>
  <si>
    <t>ثانيا : مستودعات ومراكز توزيع الأعلاف</t>
  </si>
  <si>
    <t>سادساً: منافذ بيع الأعلاف</t>
  </si>
  <si>
    <t>6/4/1</t>
  </si>
  <si>
    <t>6/4/2</t>
  </si>
  <si>
    <t>6/4/4</t>
  </si>
  <si>
    <t>6/4/5</t>
  </si>
  <si>
    <t>6/4/6</t>
  </si>
  <si>
    <t>6/3/1</t>
  </si>
  <si>
    <t>6/3/2</t>
  </si>
  <si>
    <t>6/3/3</t>
  </si>
  <si>
    <t>6/3/4</t>
  </si>
  <si>
    <t>6/3/5</t>
  </si>
  <si>
    <t>6/3/6</t>
  </si>
  <si>
    <t>6/3/7</t>
  </si>
  <si>
    <t>6/3/8</t>
  </si>
  <si>
    <t>6/3/9</t>
  </si>
  <si>
    <t>1/1/1</t>
  </si>
  <si>
    <t>1/1/2</t>
  </si>
  <si>
    <t>1/1/3</t>
  </si>
  <si>
    <t>1/1/4</t>
  </si>
  <si>
    <t>1/1/5</t>
  </si>
  <si>
    <t>1/1/6</t>
  </si>
  <si>
    <t>1/1/7</t>
  </si>
  <si>
    <t>1/1/8</t>
  </si>
  <si>
    <t>1/2/1</t>
  </si>
  <si>
    <t>1/2/2</t>
  </si>
  <si>
    <t>1/2/3</t>
  </si>
  <si>
    <t>1/2/4</t>
  </si>
  <si>
    <t>1/2/5</t>
  </si>
  <si>
    <t>1/2/6</t>
  </si>
  <si>
    <t>1/2/7</t>
  </si>
  <si>
    <t>1/2/8</t>
  </si>
  <si>
    <t>1/2/9</t>
  </si>
  <si>
    <t>1/2/10</t>
  </si>
  <si>
    <t>1/3/1</t>
  </si>
  <si>
    <t>1/3/2</t>
  </si>
  <si>
    <t>1/3/3</t>
  </si>
  <si>
    <t>1/3/4</t>
  </si>
  <si>
    <t>1/3/5</t>
  </si>
  <si>
    <t>1/3/6</t>
  </si>
  <si>
    <t>1/3/7</t>
  </si>
  <si>
    <t>1/3/8</t>
  </si>
  <si>
    <t>1/3/9</t>
  </si>
  <si>
    <t>1/3/10</t>
  </si>
  <si>
    <t>1/3/11</t>
  </si>
  <si>
    <t>1/3/13</t>
  </si>
  <si>
    <t>1/3/14</t>
  </si>
  <si>
    <t>1/3/15</t>
  </si>
  <si>
    <t>1/3/16</t>
  </si>
  <si>
    <t>1/3/17</t>
  </si>
  <si>
    <t>1/3/18</t>
  </si>
  <si>
    <t>1/3/19</t>
  </si>
  <si>
    <t>1/3/20</t>
  </si>
  <si>
    <t>1/3/21</t>
  </si>
  <si>
    <t>1/3/24</t>
  </si>
  <si>
    <t>1/3/25</t>
  </si>
  <si>
    <t>1/3/26</t>
  </si>
  <si>
    <t>1/3/27</t>
  </si>
  <si>
    <t>1/3/28</t>
  </si>
  <si>
    <t>1/3/29</t>
  </si>
  <si>
    <t>1/3/30</t>
  </si>
  <si>
    <t>1/3/31</t>
  </si>
  <si>
    <t>1/3/32</t>
  </si>
  <si>
    <t>1/3/34</t>
  </si>
  <si>
    <t>1/3/35</t>
  </si>
  <si>
    <t>1/3/36</t>
  </si>
  <si>
    <t>1/3/37</t>
  </si>
  <si>
    <t>1/3/38</t>
  </si>
  <si>
    <t>1/3/39</t>
  </si>
  <si>
    <t>1/4/1</t>
  </si>
  <si>
    <t>1/4/2</t>
  </si>
  <si>
    <t>1/4/3</t>
  </si>
  <si>
    <t>1/4/4</t>
  </si>
  <si>
    <t>1/4/5</t>
  </si>
  <si>
    <t>1/4/6</t>
  </si>
  <si>
    <t>1/4/7</t>
  </si>
  <si>
    <t>1/4/8</t>
  </si>
  <si>
    <t>1/4/9</t>
  </si>
  <si>
    <t>1/4/10</t>
  </si>
  <si>
    <t>1/4/11</t>
  </si>
  <si>
    <t>1/4/12</t>
  </si>
  <si>
    <t>1/5/1</t>
  </si>
  <si>
    <t>2/1/6</t>
  </si>
  <si>
    <t>2/1/7</t>
  </si>
  <si>
    <t>2/1/8</t>
  </si>
  <si>
    <t>2/1/1</t>
  </si>
  <si>
    <t>2/1/2</t>
  </si>
  <si>
    <t>2/1/3</t>
  </si>
  <si>
    <t>2/2/4</t>
  </si>
  <si>
    <t>2/1/4</t>
  </si>
  <si>
    <t>2/1/5</t>
  </si>
  <si>
    <t>2/1/9</t>
  </si>
  <si>
    <t>2/2/1</t>
  </si>
  <si>
    <t>2/2/2</t>
  </si>
  <si>
    <t>2/2/3</t>
  </si>
  <si>
    <t>2/2/5</t>
  </si>
  <si>
    <t>2/2/6</t>
  </si>
  <si>
    <t>2/2/7</t>
  </si>
  <si>
    <t>2/2/8</t>
  </si>
  <si>
    <t>2/2/9</t>
  </si>
  <si>
    <t>2/2/10</t>
  </si>
  <si>
    <t>2/2/13</t>
  </si>
  <si>
    <t>2/2/14</t>
  </si>
  <si>
    <t>2/2/17</t>
  </si>
  <si>
    <t>2/2/18</t>
  </si>
  <si>
    <t>2/2/11</t>
  </si>
  <si>
    <t>2/2/15</t>
  </si>
  <si>
    <t>2/2/16</t>
  </si>
  <si>
    <t>2/2/19</t>
  </si>
  <si>
    <t>2/2/20</t>
  </si>
  <si>
    <t>2/2/21</t>
  </si>
  <si>
    <t>2/2/22</t>
  </si>
  <si>
    <t>2/2/24</t>
  </si>
  <si>
    <t>2/2/25</t>
  </si>
  <si>
    <t>2/2/23</t>
  </si>
  <si>
    <t>1/3/33</t>
  </si>
  <si>
    <t>1/3/22</t>
  </si>
  <si>
    <t>1/3/23</t>
  </si>
  <si>
    <t>2/2/26</t>
  </si>
  <si>
    <t>2/2/27</t>
  </si>
  <si>
    <t>2/2/28</t>
  </si>
  <si>
    <t>2/2/29</t>
  </si>
  <si>
    <t>2/2/30</t>
  </si>
  <si>
    <t>2/2/31</t>
  </si>
  <si>
    <t>2/2/32</t>
  </si>
  <si>
    <t>2/2/33</t>
  </si>
  <si>
    <t>2/2/34</t>
  </si>
  <si>
    <t>2/2/35</t>
  </si>
  <si>
    <t>2/2/36</t>
  </si>
  <si>
    <t>2/2/37</t>
  </si>
  <si>
    <t>2/2/38</t>
  </si>
  <si>
    <t>2/3/1</t>
  </si>
  <si>
    <t>2/3/2</t>
  </si>
  <si>
    <t>2/3/3</t>
  </si>
  <si>
    <t>2/3/4</t>
  </si>
  <si>
    <t>2/3/5</t>
  </si>
  <si>
    <t>2/3/6</t>
  </si>
  <si>
    <t>2/3/7</t>
  </si>
  <si>
    <t>2/3/8</t>
  </si>
  <si>
    <t>2/3/9</t>
  </si>
  <si>
    <t>2/3/10</t>
  </si>
  <si>
    <t>2/3/11</t>
  </si>
  <si>
    <t>2/4/1</t>
  </si>
  <si>
    <t>2/4/2</t>
  </si>
  <si>
    <t>3/1/2</t>
  </si>
  <si>
    <t>3/1/3</t>
  </si>
  <si>
    <t>3/1/4</t>
  </si>
  <si>
    <t>3/1/5</t>
  </si>
  <si>
    <t>3/1/6</t>
  </si>
  <si>
    <t>3/1/7</t>
  </si>
  <si>
    <t>3/1/1</t>
  </si>
  <si>
    <t>3/2/1</t>
  </si>
  <si>
    <t>3/2/2</t>
  </si>
  <si>
    <t>3/2/3</t>
  </si>
  <si>
    <t>3/2/4</t>
  </si>
  <si>
    <t>3/2/5</t>
  </si>
  <si>
    <t>3/2/6</t>
  </si>
  <si>
    <t>3/2/7</t>
  </si>
  <si>
    <t>3/2/8</t>
  </si>
  <si>
    <t>3/2/9</t>
  </si>
  <si>
    <t>3/2/10</t>
  </si>
  <si>
    <t>3/2/11</t>
  </si>
  <si>
    <t>3/2/12</t>
  </si>
  <si>
    <t>3/2/13</t>
  </si>
  <si>
    <t>3/2/14</t>
  </si>
  <si>
    <t>3/2/16</t>
  </si>
  <si>
    <t>3/2/17</t>
  </si>
  <si>
    <t>3/2/18</t>
  </si>
  <si>
    <t>3/2/20</t>
  </si>
  <si>
    <t>3/2/21</t>
  </si>
  <si>
    <t>3/2/22</t>
  </si>
  <si>
    <t>3/2/23</t>
  </si>
  <si>
    <t>3/2/24</t>
  </si>
  <si>
    <t>3/2/25</t>
  </si>
  <si>
    <t>3/2/26</t>
  </si>
  <si>
    <t>3/2/27</t>
  </si>
  <si>
    <t>3/2/28</t>
  </si>
  <si>
    <t>3/2/29</t>
  </si>
  <si>
    <t>3/2/30</t>
  </si>
  <si>
    <t>3/2/31</t>
  </si>
  <si>
    <t>3/2/32</t>
  </si>
  <si>
    <t>3/2/33</t>
  </si>
  <si>
    <t>3/2/35</t>
  </si>
  <si>
    <t>3/2/36</t>
  </si>
  <si>
    <t>3/2/37</t>
  </si>
  <si>
    <t>3/2/38</t>
  </si>
  <si>
    <t>3/2/39</t>
  </si>
  <si>
    <t>3/2/40</t>
  </si>
  <si>
    <t>3/2/19</t>
  </si>
  <si>
    <t>3/2/34</t>
  </si>
  <si>
    <t>3/3/2</t>
  </si>
  <si>
    <t>3/3/1</t>
  </si>
  <si>
    <t>3/3/3</t>
  </si>
  <si>
    <t>3/3/4</t>
  </si>
  <si>
    <t>4/1/1</t>
  </si>
  <si>
    <t>4/1/2</t>
  </si>
  <si>
    <t>4/1/3</t>
  </si>
  <si>
    <t>4/1/4</t>
  </si>
  <si>
    <t>4/2/1</t>
  </si>
  <si>
    <t>4/2/2</t>
  </si>
  <si>
    <t>4/2/3</t>
  </si>
  <si>
    <t>4/2/4</t>
  </si>
  <si>
    <t>4/2/5</t>
  </si>
  <si>
    <t>4/2/6</t>
  </si>
  <si>
    <t>4/3/1</t>
  </si>
  <si>
    <t>4/3/2</t>
  </si>
  <si>
    <t>4/3/4</t>
  </si>
  <si>
    <t>4/3/5</t>
  </si>
  <si>
    <t>4/3/6</t>
  </si>
  <si>
    <t>4/3/7</t>
  </si>
  <si>
    <t>5/1/1</t>
  </si>
  <si>
    <t>5/1/2</t>
  </si>
  <si>
    <t>5/1/3</t>
  </si>
  <si>
    <t>5/1/4</t>
  </si>
  <si>
    <t>5/2/1</t>
  </si>
  <si>
    <t>5/2/2</t>
  </si>
  <si>
    <t>6/1/1</t>
  </si>
  <si>
    <t>6/1/2</t>
  </si>
  <si>
    <t>6/1/3</t>
  </si>
  <si>
    <t>6/1/5</t>
  </si>
  <si>
    <t>6/1/4</t>
  </si>
  <si>
    <t>6/1/6</t>
  </si>
  <si>
    <t>6/2/1</t>
  </si>
  <si>
    <t>6/2/2</t>
  </si>
  <si>
    <t>6/2/3</t>
  </si>
  <si>
    <t>6/2/4</t>
  </si>
  <si>
    <t>6/2/5</t>
  </si>
  <si>
    <t>6/2/6</t>
  </si>
  <si>
    <t>6/2/7</t>
  </si>
  <si>
    <t>6/2/8</t>
  </si>
  <si>
    <t>6/2/9</t>
  </si>
  <si>
    <t>6/2/10</t>
  </si>
  <si>
    <t>6/2/12</t>
  </si>
  <si>
    <t>6/2/14</t>
  </si>
  <si>
    <t>6/2/15</t>
  </si>
  <si>
    <t>6/2/16</t>
  </si>
  <si>
    <t>6/2/17</t>
  </si>
  <si>
    <t>6/2/18</t>
  </si>
  <si>
    <t>6/2/19</t>
  </si>
  <si>
    <t>6/2/20</t>
  </si>
  <si>
    <t>6/2/21</t>
  </si>
  <si>
    <t>6/2/22</t>
  </si>
  <si>
    <t>6/2/23</t>
  </si>
  <si>
    <t>6/2/24</t>
  </si>
  <si>
    <t>6/2/26</t>
  </si>
  <si>
    <t>6/2/27</t>
  </si>
  <si>
    <t>6/2/28</t>
  </si>
  <si>
    <t>6/2/29</t>
  </si>
  <si>
    <t>6/2/13</t>
  </si>
  <si>
    <t>عدم الالتزام بالشروط أو المتطلبات أو التعاميم المتعلقة بعبوات الأعلاف المنشورة على موقع الهيئة</t>
  </si>
  <si>
    <t>رابعًا: المختبرات الخاصة لتحليل الأعلاف</t>
  </si>
  <si>
    <t>الفصل الثاني: المختبرات الخاصة لتحليل الأعلاف</t>
  </si>
  <si>
    <t>إجراء اختبارات غير منصوص عليها بالترخيص</t>
  </si>
  <si>
    <t>للمنتج (بما لا يزيد عن  50.000 ريال)</t>
  </si>
  <si>
    <t>للمنتج( بما لا يزيد عن  30.000 ريال)</t>
  </si>
  <si>
    <t>لكل حالة عدم التزام (بما لا يزيد عن  50.000 ريال)</t>
  </si>
  <si>
    <t>لكل حالة عدم التزام
( بما لا يزيد عن  50.000 ريال)</t>
  </si>
  <si>
    <t>للمنتج ( بما لا يزيد عن  500.000 ريال)</t>
  </si>
  <si>
    <t>للمنتج ( بما لا يزيد عن  1000.000 ريال)</t>
  </si>
  <si>
    <t>للمنتج ( بما لا يزيد عن  300.000 ريال)</t>
  </si>
  <si>
    <t>للمنتج ( بما لا يزيد عن  250.000 ريال)</t>
  </si>
  <si>
    <t>للمنتج ( بما لا يزيد عن  200.000 ريال)</t>
  </si>
  <si>
    <t>للمنتج ( بما لا يزيد عن  150.000 ريال)</t>
  </si>
  <si>
    <t>لكل جهاز
( بما لا يزيد عن  30.000 ريال)</t>
  </si>
  <si>
    <t>للمنتج ( بما لا يزيد عن  50.000 ريال)</t>
  </si>
  <si>
    <t>لكل حالة عدم التزام
( بما لا يزيد عن  40.000 ريال)</t>
  </si>
  <si>
    <t>لكل حالة عدم التزام
( بما لا يزيد عن  30.000 ريال)</t>
  </si>
  <si>
    <t>لكل حالة عدم التزام
( بما لا يزيد عن  20.000 ريال)</t>
  </si>
  <si>
    <t>لكل عامل
( بما لا يزيد عن  20.000 ريال)</t>
  </si>
  <si>
    <t>لكل عامل
( بما لا يزيد عن  10.000 ريال)</t>
  </si>
  <si>
    <t>للمنتج( بما لا يزيد عن  50.000 ريال)</t>
  </si>
  <si>
    <t>لكل حالة عدم التزام (بما لا يزيد عن  30.000 ريال)</t>
  </si>
  <si>
    <t>لكل جهاز ( بما لا يزيد عن  20.000 ريال)</t>
  </si>
  <si>
    <t>للمنتج ( بما لا يزيد عن  30.000 ريال)</t>
  </si>
  <si>
    <t>لكل حالة عدم التزام (بما لا يزيد عن  20.000 ريال)</t>
  </si>
  <si>
    <t>لكل عامل (بما لا يزيد عن  20.000 ريال)</t>
  </si>
  <si>
    <t>لكل عامل (بما لا يزيد عن  10.000 ريال)</t>
  </si>
  <si>
    <t>للمنتج( بما لا يزيد عن  10.000 ريال)</t>
  </si>
  <si>
    <t>لكل حالة عدم التزام( بما لا يزيد عن  50.000 ريال)</t>
  </si>
  <si>
    <t>لكل حالة عدم التزام ( بما لا يزيد عن  20.000 ريال)</t>
  </si>
  <si>
    <t>تداول أعلاف مغشوشة أو ضارة بالصحة أو غير صالحة للاستهلاك الحيواني</t>
  </si>
  <si>
    <t>تداول أعلاف مخالفة  للوائح أو التعاميم أو الاشتراطات الصادرة عن الهيئة</t>
  </si>
  <si>
    <t>عدم قيام المنشأة بالإجراءات اللازمة لاستدعاء الأعلاف فور  علمها أو  شكها أن الأعلاف  غير مطابقة للأنظمة أو اللوائح أو التعاميم أو الاشتراطات الصادرة عن الهيئة بما في ذلك استرجاعها في حالة وصولها إلى المستهلك</t>
  </si>
  <si>
    <t xml:space="preserve"> بطاقة التعبئة غير مطابقة للوائح أو التعاميم أو الاشتراطات الصادرة عن الهيئة </t>
  </si>
  <si>
    <t>عدم الإلتزام باشتراطات تداول الأعلاف حسب طبيعتها (تبريد/ تجميد/ جاف)</t>
  </si>
  <si>
    <t>وضع إحدى علامات الجودة أو شعارات معينة بدون الحصول عليها أو يكون وضعها مخالفاً للأنظمة أو اللوائح أو التعاميم أو الاشتراطات الصادرة عن الهيئة أو لم تعد سارية</t>
  </si>
  <si>
    <t>الفصل الرابع: المنشأة والعاملون</t>
  </si>
  <si>
    <t>وجود الآفات أو الحشرات أو الحيوانات أو أجزائها أو فضلاتها بالقرب من خطوط الإنتاج أو على المنتجات</t>
  </si>
  <si>
    <t>وجود الآفات أو الحشرات أو الحيوانات أو أجزائها أو فضلاتها في المنشأة</t>
  </si>
  <si>
    <t>استخدام رافعات شوكية غير مطابقة للاشتراطات و المتطلبات الصادرة عن الهيئة</t>
  </si>
  <si>
    <t xml:space="preserve">ممارسة النشاط بعد قرار المنع أو إلغاء الترخيص من قبل الهيئة </t>
  </si>
  <si>
    <t xml:space="preserve">إعاقة عمل المفتش عن أداء مهامه التفتيشية </t>
  </si>
  <si>
    <t>تداول أعلاف مخالفة للوائح أو التعاميم أو الاشتراطات الصادرة عن الهيئة</t>
  </si>
  <si>
    <t>وجود الآفات أو الحشرات أو الحيوانات أو أجزائها أو فضلاتها بالقرب من منطقة التعبئة والتغليف أو على المنتجات</t>
  </si>
  <si>
    <t>ثالثاً : مستوردو الأعلاف</t>
  </si>
  <si>
    <t>عدم الحصول على إذن استيراد</t>
  </si>
  <si>
    <t xml:space="preserve">عدم قيام المنشأة بإبلاغ الهيئة فور علمها أو  شكها أن الأعلاف غير مطابقة للأنظمة أو اللوائح أو التعاميم أو الاشتراطات الصادرة عن الهيئة </t>
  </si>
  <si>
    <t>التأخر في إصدار نتائج الاختبارات للعينات المرسلة من الهيئة لمدة تزيد على 15 يوماً من تاريخ استلام العينات</t>
  </si>
  <si>
    <t xml:space="preserve">ممارسة النشاط بعد قرار المنع أوإلغاء الترخيص من قبل الهيئة </t>
  </si>
  <si>
    <t>وجود الآفات أو الحشرات أو الحيوانات أو أجزائها أو فضلاتها على الأعلاف</t>
  </si>
  <si>
    <t>التصرف في الأعلاف التي أمرت الهيئة بحجزها أو سحبها أو استرجاعها أو إتلافها أو فسحها بتعهد عدم التصرف دون موافقة الهيئة</t>
  </si>
  <si>
    <t>لكل فني ( بما لا يزيد عن 30.000 ريال)</t>
  </si>
  <si>
    <t xml:space="preserve">تداول أعلاف أو أي من مشتقاتها تحتوي على مواد محظورة أو محرمة أو سامة </t>
  </si>
  <si>
    <t>استخدام مياه أو ثلج غير صالحة للاستهلاك الحيواني في تصنيع أو نقل أو تخزين الأعلاف</t>
  </si>
  <si>
    <t>3/3/5</t>
  </si>
  <si>
    <t>لكل إعلان ( بما لا يزيد عن 50.000 ريال)</t>
  </si>
  <si>
    <t>لكل إعلان ( بما لا يزيد عن 30.000 ريال)</t>
  </si>
  <si>
    <t>لكل إعلان ( بما لا يزيد عن 20.000 ريال)</t>
  </si>
  <si>
    <t>لكل اختبار ( بما لا يزيد عن 150.000 ريال)</t>
  </si>
  <si>
    <t>لكل فني ( بما لا يزيد عن 50.000 ريال)</t>
  </si>
  <si>
    <t>لكل جهاز ( بما لا يزيد عن 50.000 ريال)</t>
  </si>
  <si>
    <t>لكل اختبار ( بما لا يزيد عن 1000.000 ريال)</t>
  </si>
  <si>
    <t>لكل اختبار ( بما لا يزيد عن 500.000 ريال)</t>
  </si>
  <si>
    <t>لكل اختبار ( بما لا يزيد عن 100.000 ريال)</t>
  </si>
  <si>
    <t>استخدام مياه أو ثلج غير صالحة للاستهلاك الحيواني في نقل وتخزين الأعلاف</t>
  </si>
  <si>
    <t>الفصل الثالث: المنشأة والعاملون</t>
  </si>
  <si>
    <t xml:space="preserve">الفصل الثالث: المنشأة والعاملون </t>
  </si>
  <si>
    <t>عدم تنفيذ أمر السحب أو الاستدعاء الصادر عن الهيئة</t>
  </si>
  <si>
    <t>منشآت صغيرة /  متناهية الصغر</t>
  </si>
  <si>
    <t>2/2/12</t>
  </si>
  <si>
    <t>خامسًا: المكاتب الاستشارية</t>
  </si>
  <si>
    <t>3/2/15</t>
  </si>
  <si>
    <t>1/3/12</t>
  </si>
  <si>
    <t>6/2/11</t>
  </si>
  <si>
    <t>6/4/3</t>
  </si>
  <si>
    <t xml:space="preserve">  عدم الالتزام باشتراطات ومتطلبات التخزين لدى الغير المنشورة على موقع الهيئة</t>
  </si>
  <si>
    <t>3/3/6</t>
  </si>
  <si>
    <t>4/3/8</t>
  </si>
  <si>
    <t>4/3/3</t>
  </si>
  <si>
    <t>5/2/3</t>
  </si>
  <si>
    <t>5/2/4</t>
  </si>
  <si>
    <t>5/2/5</t>
  </si>
  <si>
    <t>5/2/6</t>
  </si>
  <si>
    <t>الإعلان عن أعلاف أو التعديل عليه دون الحصول على (ترخيص) موافقة الهيئة</t>
  </si>
  <si>
    <t>5/2/8</t>
  </si>
  <si>
    <t>تقديم بيانات أو معلومات متعلقة بالمنشأة أو المنتج غير صحيحة</t>
  </si>
  <si>
    <t>6/4/7</t>
  </si>
  <si>
    <t>6/4/8</t>
  </si>
  <si>
    <t>تقديم بيانات أو معلومات متعلقة بالمنشأة غير صحيحة</t>
  </si>
  <si>
    <t>عدم التزام المنشأة بالتعهدات المقدمة إلى الهيئة</t>
  </si>
  <si>
    <t>لكل حالة عدم التزام
( بما لا يزيد عن 50.000 ريال)</t>
  </si>
  <si>
    <t>لكل حالة عدم التزام
( بما لا يزيد عن 20.000 ريال)</t>
  </si>
  <si>
    <t>السند النظامي</t>
  </si>
  <si>
    <t>إزالة أو تغطية أو تغيير أو مسح بيانات ملصق الإغلاق بعد إغلاق المنشأة من
قبل الهيئة</t>
  </si>
  <si>
    <t>2/5/1</t>
  </si>
  <si>
    <t>3/5/1</t>
  </si>
  <si>
    <t>4/5/1</t>
  </si>
  <si>
    <t>5/5/1</t>
  </si>
  <si>
    <t>6/5/1</t>
  </si>
  <si>
    <t>7/5/1</t>
  </si>
  <si>
    <t>8/5/1</t>
  </si>
  <si>
    <t>التلاعب بتواريخ صلاحية الأعلاف</t>
  </si>
  <si>
    <t xml:space="preserve">ممارسة النشاط خارج حدود المنشأة العلفية </t>
  </si>
  <si>
    <t>ممارسة النشاط خارج حدود المنشأة العلفية</t>
  </si>
  <si>
    <t>3/4/2</t>
  </si>
  <si>
    <t>4/4/2</t>
  </si>
  <si>
    <t>5/4/2</t>
  </si>
  <si>
    <t>7/4/2</t>
  </si>
  <si>
    <t>8/4/2</t>
  </si>
  <si>
    <t>عدم تقديم شهادة مطابقة من جهة معتمدة</t>
  </si>
  <si>
    <t>عدم الالتزام بالشروط أو المتطلبات أو التعاميم المتعلقة بتخزين ومعاملة
الأعلاف المنشورة على موقع الهيئة</t>
  </si>
  <si>
    <t>إزالة أو تغطية أو تغيير أو مسح بيانات ملصق الإغلاق بعد إغلاق المنشأة من قبل
الهيئة</t>
  </si>
  <si>
    <t>المادة الرابعة من نظام الأعلاف</t>
  </si>
  <si>
    <t>المادة  الثانية عشرة من نظام الاعلاف</t>
  </si>
  <si>
    <t>المادة السادسة من نظام الأعلاف</t>
  </si>
  <si>
    <t>المادة الخامسة عشرة من نظام الأعلاف</t>
  </si>
  <si>
    <t>المادة السابعة والعشرون من نظام الأعلاف</t>
  </si>
  <si>
    <t>المادة الثانية عشرة من نظام الأعلاف</t>
  </si>
  <si>
    <t>المادة الرابعة عشرة من نظام الأعلاف</t>
  </si>
  <si>
    <t>المادة السابعة من نظام الأعلاف</t>
  </si>
  <si>
    <t>المادة  الثانية عشرة من نظام الأعلاف</t>
  </si>
  <si>
    <t>التلاعب على تاريخ صلاحية الأعلاف</t>
  </si>
  <si>
    <t>المادة الخامسة من نظام الأعلاف</t>
  </si>
  <si>
    <t xml:space="preserve"> </t>
  </si>
  <si>
    <t>المادة الرابعة من نظام الاعلاف</t>
  </si>
  <si>
    <t>المادة السابعة   من نظام الاعلاف</t>
  </si>
  <si>
    <t>المادة السادسة عشرة من نظام الأعلاف</t>
  </si>
  <si>
    <t xml:space="preserve">المادة الخامسة من نظام الأعلاف </t>
  </si>
  <si>
    <t xml:space="preserve">المادة الخامسة عشرة من نظام الأعلاف </t>
  </si>
  <si>
    <t xml:space="preserve"> المادة السابعة والعشرون من نظام الاعلاف</t>
  </si>
  <si>
    <t>المادة الثانية عشرة  من نظام الأعلاف</t>
  </si>
  <si>
    <t xml:space="preserve"> المادة الثامنة عشرة من نظام الأعلاف</t>
  </si>
  <si>
    <t xml:space="preserve">المادة الرابعة من نظام الأعلاف
المادة الحادية والعشرون من نظام الأعلاف </t>
  </si>
  <si>
    <t xml:space="preserve"> المادة الرابعة والعشرون من نظام الأعلاف</t>
  </si>
  <si>
    <t xml:space="preserve">المادة الرابعة من نظام الأعلاف
المادة الخامسة من نظام الأعلاف
المادة الحادية والعشرون من نظام الأعلاف </t>
  </si>
  <si>
    <t xml:space="preserve">المادة السادسة من نظام الأعلاف  
المادة الحادية والعشرون من نظام الأعلاف </t>
  </si>
  <si>
    <t xml:space="preserve">المادة السادسة من نظام الأعلاف 
المادة الحادية والعشرون من نظام الأعلاف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</si>
</sst>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4" x14ac:knownFonts="1">
    <font>
      <sz val="11"/>
      <color theme="1"/>
      <name val="Arial"/>
      <family val="2"/>
      <scheme val="minor"/>
    </font>
    <font>
      <sz val="11"/>
      <name val="Arial"/>
      <family val="2"/>
      <scheme val="minor"/>
    </font>
    <font>
      <sz val="16"/>
      <name val="Sakkal Majalla"/>
    </font>
    <font>
      <sz val="12"/>
      <name val="Sakkal Majalla"/>
    </font>
    <font>
      <sz val="12"/>
      <name val="Arial"/>
      <family val="2"/>
      <scheme val="minor"/>
    </font>
    <font>
      <sz val="11"/>
      <color rgb="FF9C5700"/>
      <name val="Arial"/>
      <family val="2"/>
      <scheme val="minor"/>
    </font>
    <font>
      <b/>
      <sz val="16"/>
      <name val="Sakkal Majalla"/>
    </font>
    <font>
      <b/>
      <sz val="14"/>
      <name val="Sakkal Majalla"/>
    </font>
    <font>
      <sz val="14"/>
      <name val="Sakkal Majalla"/>
    </font>
    <font>
      <sz val="11"/>
      <color rgb="FF9C0006"/>
      <name val="Arial"/>
      <family val="2"/>
      <scheme val="minor"/>
    </font>
    <font>
      <sz val="14"/>
      <color theme="1"/>
      <name val="Sakkal Majalla"/>
    </font>
    <font>
      <sz val="16"/>
      <color theme="1"/>
      <name val="Sakkal Majalla"/>
    </font>
    <font>
      <b/>
      <sz val="14"/>
      <color theme="1"/>
      <name val="Sakkal Majalla"/>
    </font>
    <font>
      <b/>
      <sz val="16"/>
      <color theme="1"/>
      <name val="Sakkal Majalla"/>
    </font>
  </fonts>
  <fills count="9">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rgb="FFFFEB9C"/>
      </patternFill>
    </fill>
    <fill>
      <patternFill patternType="solid">
        <fgColor rgb="FFFFC7CE"/>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5" fillId="7" borderId="0" applyNumberFormat="0" applyBorder="0" applyAlignment="0" applyProtection="0"/>
    <xf numFmtId="0" fontId="9" fillId="8" borderId="0" applyNumberFormat="0" applyBorder="0" applyAlignment="0" applyProtection="0"/>
  </cellStyleXfs>
  <cellXfs count="138">
    <xf numFmtId="0" fontId="0" fillId="0" borderId="0" xfId="0"/>
    <xf numFmtId="0" fontId="0" fillId="0" borderId="0" xfId="0" applyAlignment="1">
      <alignment horizontal="center" vertical="center"/>
    </xf>
    <xf numFmtId="0" fontId="4" fillId="0" borderId="0" xfId="0" applyFont="1"/>
    <xf numFmtId="0" fontId="1" fillId="0" borderId="0" xfId="0" applyFont="1"/>
    <xf numFmtId="0" fontId="1" fillId="0" borderId="0" xfId="0" applyFont="1" applyAlignment="1">
      <alignment wrapText="1"/>
    </xf>
    <xf numFmtId="0" fontId="1" fillId="5" borderId="0" xfId="0" applyFont="1" applyFill="1"/>
    <xf numFmtId="0" fontId="1" fillId="5" borderId="0" xfId="0" applyFont="1" applyFill="1" applyAlignment="1">
      <alignment wrapText="1"/>
    </xf>
    <xf numFmtId="0" fontId="1" fillId="0" borderId="0" xfId="0" applyFont="1" applyAlignment="1">
      <alignment horizontal="center"/>
    </xf>
    <xf numFmtId="49" fontId="3" fillId="0" borderId="2" xfId="0" applyNumberFormat="1" applyFont="1" applyBorder="1" applyAlignment="1">
      <alignment horizontal="center" vertical="center" wrapText="1" readingOrder="2"/>
    </xf>
    <xf numFmtId="0" fontId="4" fillId="5" borderId="0" xfId="0" applyFont="1" applyFill="1" applyBorder="1"/>
    <xf numFmtId="49" fontId="3" fillId="5" borderId="0" xfId="0" applyNumberFormat="1" applyFont="1" applyFill="1" applyBorder="1" applyAlignment="1">
      <alignment horizontal="center" vertical="center" wrapText="1" readingOrder="2"/>
    </xf>
    <xf numFmtId="0" fontId="4" fillId="0" borderId="1" xfId="0" applyFont="1" applyBorder="1" applyAlignment="1">
      <alignment horizontal="center" vertical="center"/>
    </xf>
    <xf numFmtId="0" fontId="4" fillId="0" borderId="0" xfId="0" applyFont="1" applyBorder="1" applyAlignment="1">
      <alignment horizontal="center" vertical="center"/>
    </xf>
    <xf numFmtId="49" fontId="3" fillId="0" borderId="1" xfId="0" applyNumberFormat="1" applyFont="1" applyBorder="1" applyAlignment="1">
      <alignment horizontal="center" vertical="center" wrapText="1" readingOrder="2"/>
    </xf>
    <xf numFmtId="0" fontId="0" fillId="5" borderId="0" xfId="0" applyFill="1" applyBorder="1" applyAlignment="1">
      <alignment horizontal="center" vertical="center"/>
    </xf>
    <xf numFmtId="0" fontId="0" fillId="5" borderId="0" xfId="0" applyFill="1"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center" vertical="center"/>
    </xf>
    <xf numFmtId="0" fontId="4" fillId="5" borderId="0" xfId="0" applyFont="1" applyFill="1" applyBorder="1" applyAlignment="1">
      <alignment horizontal="center" vertical="center"/>
    </xf>
    <xf numFmtId="0" fontId="1" fillId="0" borderId="0" xfId="0" applyFont="1" applyAlignment="1">
      <alignment horizontal="center" vertical="center"/>
    </xf>
    <xf numFmtId="0" fontId="1" fillId="5" borderId="0" xfId="0" applyFont="1" applyFill="1" applyAlignment="1">
      <alignment horizontal="center" vertical="center"/>
    </xf>
    <xf numFmtId="0" fontId="1" fillId="5" borderId="0" xfId="0" applyFont="1" applyFill="1" applyAlignment="1">
      <alignment horizontal="center" vertical="center" wrapText="1"/>
    </xf>
    <xf numFmtId="0" fontId="1" fillId="5" borderId="0" xfId="0" applyFont="1" applyFill="1" applyBorder="1" applyAlignment="1">
      <alignment horizontal="center" vertical="center"/>
    </xf>
    <xf numFmtId="0" fontId="1" fillId="5" borderId="0" xfId="0" applyFont="1" applyFill="1" applyBorder="1" applyAlignment="1">
      <alignment horizontal="center" vertical="center" wrapText="1"/>
    </xf>
    <xf numFmtId="0" fontId="0" fillId="0" borderId="0" xfId="0" applyBorder="1" applyAlignment="1">
      <alignment horizontal="center" vertical="center"/>
    </xf>
    <xf numFmtId="0" fontId="1" fillId="0" borderId="0" xfId="0" applyFont="1" applyBorder="1" applyAlignment="1">
      <alignment horizontal="center" vertical="center" wrapText="1"/>
    </xf>
    <xf numFmtId="0" fontId="1" fillId="0" borderId="0" xfId="0" applyFont="1" applyBorder="1" applyAlignment="1">
      <alignment horizontal="center" vertical="center"/>
    </xf>
    <xf numFmtId="49" fontId="3" fillId="0" borderId="0" xfId="0" applyNumberFormat="1" applyFont="1" applyBorder="1" applyAlignment="1">
      <alignment horizontal="center" vertical="center" wrapText="1" readingOrder="2"/>
    </xf>
    <xf numFmtId="0" fontId="4" fillId="5" borderId="0" xfId="0" applyFont="1" applyFill="1"/>
    <xf numFmtId="0" fontId="4" fillId="5" borderId="0" xfId="0" applyFont="1" applyFill="1" applyAlignment="1">
      <alignment horizontal="center" vertical="center"/>
    </xf>
    <xf numFmtId="0" fontId="8" fillId="0" borderId="1"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Alignment="1">
      <alignment horizontal="center" vertical="center"/>
    </xf>
    <xf numFmtId="0" fontId="0" fillId="0" borderId="0" xfId="0" applyFill="1" applyAlignment="1">
      <alignment horizontal="center" vertical="center"/>
    </xf>
    <xf numFmtId="0" fontId="8" fillId="5" borderId="1" xfId="0" applyFont="1" applyFill="1" applyBorder="1" applyAlignment="1">
      <alignment horizontal="center" vertical="center" wrapText="1"/>
    </xf>
    <xf numFmtId="0" fontId="1" fillId="0" borderId="0" xfId="0" applyFont="1" applyFill="1" applyAlignment="1">
      <alignment wrapText="1"/>
    </xf>
    <xf numFmtId="0" fontId="0" fillId="0" borderId="0" xfId="0" applyFont="1" applyAlignment="1">
      <alignment horizontal="center" vertical="center"/>
    </xf>
    <xf numFmtId="0" fontId="8" fillId="0" borderId="1" xfId="0" applyFont="1" applyBorder="1" applyAlignment="1">
      <alignment horizontal="center" vertical="center" wrapText="1"/>
    </xf>
    <xf numFmtId="49" fontId="3" fillId="5" borderId="1" xfId="0" applyNumberFormat="1" applyFont="1" applyFill="1" applyBorder="1" applyAlignment="1">
      <alignment horizontal="center" vertical="center" wrapText="1" readingOrder="2"/>
    </xf>
    <xf numFmtId="49" fontId="8"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8" fillId="5" borderId="1"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0" fillId="5" borderId="1" xfId="0" applyFont="1" applyFill="1" applyBorder="1" applyAlignment="1">
      <alignment horizontal="center" vertical="center" readingOrder="2"/>
    </xf>
    <xf numFmtId="49" fontId="10" fillId="0" borderId="1" xfId="0" applyNumberFormat="1" applyFont="1" applyBorder="1" applyAlignment="1">
      <alignment horizontal="center" vertical="center" wrapText="1" readingOrder="2"/>
    </xf>
    <xf numFmtId="0" fontId="10" fillId="5"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49" fontId="10" fillId="0" borderId="1" xfId="0" applyNumberFormat="1" applyFont="1" applyBorder="1" applyAlignment="1">
      <alignment horizontal="center" vertical="center" wrapText="1"/>
    </xf>
    <xf numFmtId="164" fontId="8" fillId="6" borderId="1" xfId="0" applyNumberFormat="1" applyFont="1" applyFill="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8" fillId="0" borderId="1" xfId="0" applyFont="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10" fillId="0" borderId="1" xfId="0" applyFont="1" applyBorder="1" applyAlignment="1">
      <alignment horizontal="center" vertical="center" wrapText="1" readingOrder="2"/>
    </xf>
    <xf numFmtId="0" fontId="6" fillId="4" borderId="1" xfId="0" applyFont="1" applyFill="1" applyBorder="1" applyAlignment="1">
      <alignment horizontal="center" vertical="center" wrapText="1" readingOrder="2"/>
    </xf>
    <xf numFmtId="0" fontId="10" fillId="6" borderId="1" xfId="0" applyFont="1" applyFill="1" applyBorder="1" applyAlignment="1">
      <alignment horizontal="center" vertical="center" wrapText="1" readingOrder="2"/>
    </xf>
    <xf numFmtId="0" fontId="10" fillId="0" borderId="1" xfId="0" applyFont="1" applyFill="1" applyBorder="1" applyAlignment="1">
      <alignment horizontal="center" vertical="center" wrapText="1" readingOrder="2"/>
    </xf>
    <xf numFmtId="0" fontId="8" fillId="0" borderId="1" xfId="0" applyFont="1" applyFill="1" applyBorder="1" applyAlignment="1">
      <alignment horizontal="center" vertical="center" wrapText="1" readingOrder="2"/>
    </xf>
    <xf numFmtId="49" fontId="8" fillId="5" borderId="1" xfId="0" applyNumberFormat="1" applyFont="1" applyFill="1" applyBorder="1" applyAlignment="1">
      <alignment horizontal="center" vertical="center" wrapText="1" readingOrder="2"/>
    </xf>
    <xf numFmtId="49" fontId="10" fillId="5" borderId="1" xfId="0" applyNumberFormat="1" applyFont="1" applyFill="1" applyBorder="1" applyAlignment="1">
      <alignment horizontal="center" vertical="center" wrapText="1" readingOrder="2"/>
    </xf>
    <xf numFmtId="0" fontId="8" fillId="6" borderId="1" xfId="0" applyFont="1" applyFill="1" applyBorder="1" applyAlignment="1">
      <alignment horizontal="center" vertical="center" wrapText="1" readingOrder="2"/>
    </xf>
    <xf numFmtId="49" fontId="8" fillId="0" borderId="1" xfId="0" applyNumberFormat="1" applyFont="1" applyBorder="1" applyAlignment="1">
      <alignment horizontal="center" vertical="center" wrapText="1" readingOrder="2"/>
    </xf>
    <xf numFmtId="49" fontId="8" fillId="0" borderId="1" xfId="0" applyNumberFormat="1" applyFont="1" applyFill="1" applyBorder="1" applyAlignment="1">
      <alignment horizontal="center" vertical="center" wrapText="1" readingOrder="2"/>
    </xf>
    <xf numFmtId="0" fontId="7" fillId="4" borderId="1" xfId="0" applyFont="1" applyFill="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8" fillId="0" borderId="1" xfId="0" applyFont="1" applyBorder="1" applyAlignment="1">
      <alignment horizontal="center" vertical="center" wrapText="1" readingOrder="2"/>
    </xf>
    <xf numFmtId="49" fontId="8" fillId="5" borderId="1" xfId="0" applyNumberFormat="1" applyFont="1" applyFill="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10" fillId="0" borderId="1" xfId="0" applyFont="1" applyBorder="1" applyAlignment="1">
      <alignment horizontal="center" vertical="center" wrapText="1" readingOrder="2"/>
    </xf>
    <xf numFmtId="0" fontId="10" fillId="0" borderId="1" xfId="0" applyFont="1" applyFill="1" applyBorder="1" applyAlignment="1">
      <alignment horizontal="center" vertical="center" wrapText="1" readingOrder="2"/>
    </xf>
    <xf numFmtId="0" fontId="10" fillId="6" borderId="1" xfId="0" applyFont="1" applyFill="1" applyBorder="1" applyAlignment="1">
      <alignment horizontal="center" vertical="center" wrapText="1" readingOrder="2"/>
    </xf>
    <xf numFmtId="49" fontId="10" fillId="5" borderId="1" xfId="0" applyNumberFormat="1" applyFont="1" applyFill="1" applyBorder="1" applyAlignment="1">
      <alignment horizontal="center" vertical="center" wrapText="1" readingOrder="2"/>
    </xf>
    <xf numFmtId="0" fontId="8" fillId="6" borderId="1" xfId="0" applyFont="1" applyFill="1" applyBorder="1" applyAlignment="1">
      <alignment horizontal="center" vertical="center" wrapText="1" readingOrder="2"/>
    </xf>
    <xf numFmtId="0" fontId="10" fillId="0" borderId="1" xfId="0" applyFont="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8" fillId="0" borderId="1" xfId="0" applyFont="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6" fillId="4" borderId="1" xfId="0" applyFont="1" applyFill="1" applyBorder="1" applyAlignment="1">
      <alignment horizontal="center" vertical="center" wrapText="1" readingOrder="2"/>
    </xf>
    <xf numFmtId="0" fontId="10" fillId="6" borderId="1" xfId="0" applyFont="1" applyFill="1" applyBorder="1" applyAlignment="1">
      <alignment horizontal="center" vertical="center" wrapText="1" readingOrder="2"/>
    </xf>
    <xf numFmtId="0" fontId="10" fillId="0" borderId="1" xfId="0" applyFont="1" applyFill="1" applyBorder="1" applyAlignment="1">
      <alignment horizontal="center" vertical="center" wrapText="1" readingOrder="2"/>
    </xf>
    <xf numFmtId="0" fontId="8" fillId="0" borderId="1" xfId="0" applyFont="1" applyFill="1" applyBorder="1" applyAlignment="1">
      <alignment horizontal="center" vertical="center" wrapText="1" readingOrder="2"/>
    </xf>
    <xf numFmtId="49" fontId="8" fillId="5" borderId="1" xfId="0" applyNumberFormat="1" applyFont="1" applyFill="1" applyBorder="1" applyAlignment="1">
      <alignment horizontal="center" vertical="center" wrapText="1" readingOrder="2"/>
    </xf>
    <xf numFmtId="0" fontId="8" fillId="6" borderId="1" xfId="0" applyFont="1" applyFill="1" applyBorder="1" applyAlignment="1">
      <alignment horizontal="center" vertical="center" wrapText="1" readingOrder="2"/>
    </xf>
    <xf numFmtId="49" fontId="8" fillId="0" borderId="1" xfId="0" applyNumberFormat="1" applyFont="1" applyBorder="1" applyAlignment="1">
      <alignment horizontal="center" vertical="center" wrapText="1" readingOrder="2"/>
    </xf>
    <xf numFmtId="164" fontId="8" fillId="5" borderId="1" xfId="0" applyNumberFormat="1" applyFont="1" applyFill="1" applyBorder="1" applyAlignment="1">
      <alignment horizontal="center" vertical="center" wrapText="1" readingOrder="2"/>
    </xf>
    <xf numFmtId="0" fontId="8" fillId="4" borderId="1" xfId="0" applyFont="1" applyFill="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10" fillId="6" borderId="1" xfId="0" applyFont="1" applyFill="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10" fillId="6" borderId="1" xfId="0" applyFont="1" applyFill="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8" fillId="0" borderId="1" xfId="0" applyFont="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8" fillId="0" borderId="1" xfId="0" applyFont="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10" fillId="6" borderId="1" xfId="0" applyFont="1" applyFill="1" applyBorder="1" applyAlignment="1">
      <alignment horizontal="center" vertical="center" wrapText="1" readingOrder="2"/>
    </xf>
    <xf numFmtId="0" fontId="8" fillId="5" borderId="1" xfId="0" applyFont="1" applyFill="1" applyBorder="1" applyAlignment="1">
      <alignment horizontal="center" vertical="center" wrapText="1" readingOrder="2"/>
    </xf>
    <xf numFmtId="49" fontId="8" fillId="5" borderId="1" xfId="0" applyNumberFormat="1" applyFont="1" applyFill="1" applyBorder="1" applyAlignment="1">
      <alignment horizontal="center" vertical="center" wrapText="1" readingOrder="2"/>
    </xf>
    <xf numFmtId="0" fontId="10" fillId="0" borderId="1" xfId="0" applyFont="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10" fillId="6" borderId="1" xfId="0" applyFont="1" applyFill="1" applyBorder="1" applyAlignment="1">
      <alignment horizontal="center" vertical="center" wrapText="1" readingOrder="2"/>
    </xf>
    <xf numFmtId="0" fontId="8" fillId="6"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11" fillId="3" borderId="1" xfId="0" applyFont="1" applyFill="1" applyBorder="1" applyAlignment="1">
      <alignment horizontal="center" vertical="center" wrapText="1" readingOrder="2"/>
    </xf>
    <xf numFmtId="0" fontId="8" fillId="5" borderId="1" xfId="0" applyFont="1" applyFill="1" applyBorder="1" applyAlignment="1">
      <alignment horizontal="center" vertical="center" wrapText="1" readingOrder="2"/>
    </xf>
    <xf numFmtId="0" fontId="8" fillId="0" borderId="1" xfId="0" applyFont="1" applyBorder="1" applyAlignment="1">
      <alignment horizontal="center" vertical="center" wrapText="1" readingOrder="2"/>
    </xf>
    <xf numFmtId="0" fontId="8" fillId="0" borderId="1" xfId="0" applyFont="1" applyFill="1" applyBorder="1" applyAlignment="1">
      <alignment horizontal="center" vertical="center" wrapText="1" readingOrder="2"/>
    </xf>
    <xf numFmtId="0" fontId="10" fillId="5" borderId="5" xfId="0" applyFont="1" applyFill="1" applyBorder="1" applyAlignment="1">
      <alignment horizontal="center" vertical="center" wrapText="1" readingOrder="2"/>
    </xf>
    <xf numFmtId="0" fontId="10" fillId="5" borderId="6" xfId="0" applyFont="1" applyFill="1" applyBorder="1" applyAlignment="1">
      <alignment horizontal="center" vertical="center" wrapText="1" readingOrder="2"/>
    </xf>
    <xf numFmtId="0" fontId="10" fillId="0" borderId="1" xfId="0" applyFont="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8" fillId="0" borderId="5" xfId="0" applyFont="1" applyBorder="1" applyAlignment="1">
      <alignment horizontal="center" vertical="center" wrapText="1" readingOrder="2"/>
    </xf>
    <xf numFmtId="0" fontId="8" fillId="0" borderId="6" xfId="0" applyFont="1" applyBorder="1" applyAlignment="1">
      <alignment horizontal="center" vertical="center" wrapText="1" readingOrder="2"/>
    </xf>
    <xf numFmtId="0" fontId="6" fillId="4" borderId="1" xfId="0" applyFont="1" applyFill="1" applyBorder="1" applyAlignment="1">
      <alignment horizontal="center" vertical="center" wrapText="1" readingOrder="2"/>
    </xf>
    <xf numFmtId="0" fontId="10" fillId="6" borderId="1" xfId="0" applyFont="1" applyFill="1" applyBorder="1" applyAlignment="1">
      <alignment horizontal="center" vertical="center" wrapText="1" readingOrder="2"/>
    </xf>
    <xf numFmtId="0" fontId="10" fillId="5" borderId="3" xfId="0" applyFont="1" applyFill="1" applyBorder="1" applyAlignment="1">
      <alignment horizontal="center" vertical="center" wrapText="1" readingOrder="2"/>
    </xf>
    <xf numFmtId="0" fontId="10" fillId="5" borderId="4" xfId="0" applyFont="1" applyFill="1" applyBorder="1" applyAlignment="1">
      <alignment horizontal="center" vertical="center" wrapText="1" readingOrder="2"/>
    </xf>
    <xf numFmtId="0" fontId="10" fillId="5" borderId="2" xfId="0" applyFont="1" applyFill="1" applyBorder="1" applyAlignment="1">
      <alignment horizontal="center" vertical="center" wrapText="1" readingOrder="2"/>
    </xf>
    <xf numFmtId="0" fontId="12" fillId="4" borderId="1" xfId="0" applyFont="1" applyFill="1" applyBorder="1" applyAlignment="1">
      <alignment horizontal="center" vertical="center" wrapText="1" readingOrder="2"/>
    </xf>
    <xf numFmtId="0" fontId="2" fillId="2" borderId="1" xfId="0" applyFont="1" applyFill="1" applyBorder="1" applyAlignment="1">
      <alignment horizontal="center" vertical="center" wrapText="1" readingOrder="2"/>
    </xf>
    <xf numFmtId="0" fontId="10" fillId="0" borderId="1" xfId="0" applyFont="1" applyFill="1" applyBorder="1" applyAlignment="1">
      <alignment horizontal="center" vertical="center" wrapText="1" readingOrder="2"/>
    </xf>
    <xf numFmtId="49" fontId="8" fillId="5" borderId="1" xfId="0" applyNumberFormat="1" applyFont="1" applyFill="1" applyBorder="1" applyAlignment="1">
      <alignment horizontal="center" vertical="center" wrapText="1" readingOrder="2"/>
    </xf>
    <xf numFmtId="0" fontId="4" fillId="0" borderId="1" xfId="2" applyFont="1" applyFill="1" applyBorder="1" applyAlignment="1">
      <alignment horizontal="center" vertical="center" wrapText="1" readingOrder="2"/>
    </xf>
    <xf numFmtId="0" fontId="6" fillId="2" borderId="1" xfId="0" applyFont="1" applyFill="1" applyBorder="1" applyAlignment="1">
      <alignment horizontal="center" vertical="center" wrapText="1" readingOrder="2"/>
    </xf>
    <xf numFmtId="0" fontId="8" fillId="6" borderId="1" xfId="0" applyFont="1" applyFill="1" applyBorder="1" applyAlignment="1">
      <alignment horizontal="center" vertical="center" wrapText="1" readingOrder="2"/>
    </xf>
    <xf numFmtId="49" fontId="10" fillId="5" borderId="1" xfId="0" applyNumberFormat="1" applyFont="1" applyFill="1" applyBorder="1" applyAlignment="1">
      <alignment horizontal="center" vertical="center" wrapText="1" readingOrder="2"/>
    </xf>
    <xf numFmtId="49" fontId="8" fillId="0" borderId="1" xfId="0" applyNumberFormat="1" applyFont="1" applyBorder="1" applyAlignment="1">
      <alignment horizontal="center" vertical="center" wrapText="1" readingOrder="2"/>
    </xf>
    <xf numFmtId="0" fontId="13" fillId="2" borderId="1" xfId="0" applyFont="1" applyFill="1" applyBorder="1" applyAlignment="1">
      <alignment horizontal="center" vertical="center" wrapText="1" readingOrder="2"/>
    </xf>
    <xf numFmtId="164" fontId="8" fillId="0" borderId="1" xfId="0" applyNumberFormat="1" applyFont="1" applyBorder="1" applyAlignment="1">
      <alignment horizontal="center" vertical="center" wrapText="1" readingOrder="2"/>
    </xf>
    <xf numFmtId="164" fontId="8" fillId="5" borderId="1" xfId="0" applyNumberFormat="1" applyFont="1" applyFill="1" applyBorder="1" applyAlignment="1">
      <alignment horizontal="center" vertical="center" wrapText="1" readingOrder="2"/>
    </xf>
    <xf numFmtId="0" fontId="10" fillId="2" borderId="1" xfId="0" applyFont="1" applyFill="1" applyBorder="1" applyAlignment="1">
      <alignment horizontal="center" vertical="center" wrapText="1" readingOrder="2"/>
    </xf>
    <xf numFmtId="0" fontId="8" fillId="4" borderId="1" xfId="0" applyFont="1" applyFill="1" applyBorder="1" applyAlignment="1">
      <alignment horizontal="center" vertical="center" wrapText="1" readingOrder="2"/>
    </xf>
    <xf numFmtId="49" fontId="8" fillId="0" borderId="1" xfId="0" applyNumberFormat="1" applyFont="1" applyFill="1" applyBorder="1" applyAlignment="1">
      <alignment horizontal="center" vertical="center" wrapText="1" readingOrder="2"/>
    </xf>
    <xf numFmtId="0" fontId="7" fillId="2" borderId="1" xfId="0" applyFont="1" applyFill="1" applyBorder="1" applyAlignment="1">
      <alignment horizontal="center" vertical="center" wrapText="1" readingOrder="2"/>
    </xf>
    <xf numFmtId="0" fontId="7" fillId="4" borderId="1" xfId="0" applyFont="1" applyFill="1" applyBorder="1" applyAlignment="1">
      <alignment horizontal="center" vertical="center" wrapText="1" readingOrder="2"/>
    </xf>
  </cellXfs>
  <cellStyles count="3">
    <cellStyle name="Neutral 2" xfId="1" xr:uid="{00000000-0005-0000-0000-000001000000}"/>
    <cellStyle name="سيئ" xfId="2" builtinId="27"/>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544"/>
  <sheetViews>
    <sheetView rightToLeft="1" tabSelected="1" topLeftCell="A97" zoomScale="80" zoomScaleNormal="80" workbookViewId="0">
      <selection activeCell="H111" sqref="H111:K111"/>
    </sheetView>
  </sheetViews>
  <sheetFormatPr defaultColWidth="9.125" defaultRowHeight="15" x14ac:dyDescent="0.2"/>
  <cols>
    <col min="1" max="1" width="8.75" style="11" customWidth="1"/>
    <col min="2" max="2" width="55.625" style="11" customWidth="1"/>
    <col min="3" max="3" width="10.125" style="11" customWidth="1"/>
    <col min="4" max="4" width="5.625" style="11" bestFit="1" customWidth="1"/>
    <col min="5" max="5" width="6.25" style="11" bestFit="1" customWidth="1"/>
    <col min="6" max="6" width="10" style="11" customWidth="1"/>
    <col min="7" max="7" width="10.375" style="11" customWidth="1"/>
    <col min="8" max="8" width="5.625" style="11" bestFit="1" customWidth="1"/>
    <col min="9" max="9" width="6.25" style="11" bestFit="1" customWidth="1"/>
    <col min="10" max="10" width="6.125" style="11" bestFit="1" customWidth="1"/>
    <col min="11" max="11" width="5.75" style="11" bestFit="1" customWidth="1"/>
    <col min="12" max="12" width="5.625" style="11" bestFit="1" customWidth="1"/>
    <col min="13" max="13" width="6.25" style="11" bestFit="1" customWidth="1"/>
    <col min="14" max="14" width="6.125" style="11" bestFit="1" customWidth="1"/>
    <col min="15" max="15" width="10.625" style="11" customWidth="1"/>
    <col min="16" max="16" width="13.625" style="11" customWidth="1"/>
    <col min="17" max="17" width="22.375" style="11" bestFit="1" customWidth="1"/>
    <col min="18" max="18" width="30.75" style="11" customWidth="1"/>
    <col min="19" max="19" width="30.875" style="18" customWidth="1"/>
    <col min="20" max="23" width="9.125" style="18"/>
    <col min="24" max="16384" width="9.125" style="17"/>
  </cols>
  <sheetData>
    <row r="1" spans="1:23" ht="21.75" customHeight="1" x14ac:dyDescent="0.2">
      <c r="A1" s="122" t="s">
        <v>85</v>
      </c>
      <c r="B1" s="122"/>
      <c r="C1" s="122"/>
      <c r="D1" s="122"/>
      <c r="E1" s="122"/>
      <c r="F1" s="122"/>
      <c r="G1" s="122"/>
      <c r="H1" s="122"/>
      <c r="I1" s="122"/>
      <c r="J1" s="122"/>
      <c r="K1" s="122"/>
      <c r="L1" s="122"/>
      <c r="M1" s="122"/>
      <c r="N1" s="122"/>
      <c r="O1" s="122"/>
      <c r="P1" s="122"/>
      <c r="Q1" s="122"/>
      <c r="R1" s="122"/>
    </row>
    <row r="2" spans="1:23" ht="33.75" customHeight="1" x14ac:dyDescent="0.2">
      <c r="A2" s="116" t="s">
        <v>4</v>
      </c>
      <c r="B2" s="116" t="s">
        <v>3</v>
      </c>
      <c r="C2" s="116" t="s">
        <v>136</v>
      </c>
      <c r="D2" s="116" t="s">
        <v>2</v>
      </c>
      <c r="E2" s="116"/>
      <c r="F2" s="116"/>
      <c r="G2" s="116"/>
      <c r="H2" s="116" t="s">
        <v>1</v>
      </c>
      <c r="I2" s="116"/>
      <c r="J2" s="116"/>
      <c r="K2" s="116"/>
      <c r="L2" s="121" t="s">
        <v>458</v>
      </c>
      <c r="M2" s="121"/>
      <c r="N2" s="121"/>
      <c r="O2" s="121"/>
      <c r="P2" s="116" t="s">
        <v>0</v>
      </c>
      <c r="Q2" s="116" t="s">
        <v>25</v>
      </c>
      <c r="R2" s="116" t="s">
        <v>482</v>
      </c>
    </row>
    <row r="3" spans="1:23" ht="57.75" customHeight="1" x14ac:dyDescent="0.2">
      <c r="A3" s="116"/>
      <c r="B3" s="116"/>
      <c r="C3" s="116"/>
      <c r="D3" s="53" t="s">
        <v>8</v>
      </c>
      <c r="E3" s="53" t="s">
        <v>7</v>
      </c>
      <c r="F3" s="53" t="s">
        <v>6</v>
      </c>
      <c r="G3" s="53" t="s">
        <v>5</v>
      </c>
      <c r="H3" s="53" t="s">
        <v>8</v>
      </c>
      <c r="I3" s="53" t="s">
        <v>7</v>
      </c>
      <c r="J3" s="53" t="s">
        <v>6</v>
      </c>
      <c r="K3" s="53" t="s">
        <v>5</v>
      </c>
      <c r="L3" s="53" t="s">
        <v>8</v>
      </c>
      <c r="M3" s="53" t="s">
        <v>7</v>
      </c>
      <c r="N3" s="53" t="s">
        <v>6</v>
      </c>
      <c r="O3" s="53" t="s">
        <v>5</v>
      </c>
      <c r="P3" s="116"/>
      <c r="Q3" s="116"/>
      <c r="R3" s="116"/>
    </row>
    <row r="4" spans="1:23" s="19" customFormat="1" ht="53.25" customHeight="1" x14ac:dyDescent="0.2">
      <c r="A4" s="116"/>
      <c r="B4" s="116"/>
      <c r="C4" s="116"/>
      <c r="D4" s="53" t="s">
        <v>8</v>
      </c>
      <c r="E4" s="53" t="s">
        <v>7</v>
      </c>
      <c r="F4" s="53" t="s">
        <v>6</v>
      </c>
      <c r="G4" s="53" t="s">
        <v>5</v>
      </c>
      <c r="H4" s="53" t="s">
        <v>8</v>
      </c>
      <c r="I4" s="53" t="s">
        <v>7</v>
      </c>
      <c r="J4" s="53" t="s">
        <v>6</v>
      </c>
      <c r="K4" s="53" t="s">
        <v>5</v>
      </c>
      <c r="L4" s="53" t="s">
        <v>8</v>
      </c>
      <c r="M4" s="53" t="s">
        <v>7</v>
      </c>
      <c r="N4" s="53" t="s">
        <v>6</v>
      </c>
      <c r="O4" s="53" t="s">
        <v>5</v>
      </c>
      <c r="P4" s="116"/>
      <c r="Q4" s="116"/>
      <c r="R4" s="116"/>
      <c r="S4" s="22"/>
      <c r="T4" s="22"/>
      <c r="U4" s="22"/>
      <c r="V4" s="22"/>
      <c r="W4" s="22"/>
    </row>
    <row r="5" spans="1:23" ht="33.75" customHeight="1" x14ac:dyDescent="0.2">
      <c r="A5" s="105" t="s">
        <v>128</v>
      </c>
      <c r="B5" s="105"/>
      <c r="C5" s="105"/>
      <c r="D5" s="105"/>
      <c r="E5" s="105"/>
      <c r="F5" s="105"/>
      <c r="G5" s="105"/>
      <c r="H5" s="105"/>
      <c r="I5" s="105"/>
      <c r="J5" s="105"/>
      <c r="K5" s="105"/>
      <c r="L5" s="105"/>
      <c r="M5" s="105"/>
      <c r="N5" s="105"/>
      <c r="O5" s="105"/>
      <c r="P5" s="105"/>
      <c r="Q5" s="105"/>
      <c r="R5" s="105"/>
    </row>
    <row r="6" spans="1:23" ht="21.75" x14ac:dyDescent="0.2">
      <c r="A6" s="51" t="s">
        <v>156</v>
      </c>
      <c r="B6" s="51" t="s">
        <v>133</v>
      </c>
      <c r="C6" s="37" t="s">
        <v>13</v>
      </c>
      <c r="D6" s="107">
        <v>30000</v>
      </c>
      <c r="E6" s="107"/>
      <c r="F6" s="107"/>
      <c r="G6" s="107"/>
      <c r="H6" s="107">
        <f>D6-(D6*20/100)</f>
        <v>24000</v>
      </c>
      <c r="I6" s="107"/>
      <c r="J6" s="107"/>
      <c r="K6" s="107"/>
      <c r="L6" s="107">
        <f>D6-(D6*40/100)</f>
        <v>18000</v>
      </c>
      <c r="M6" s="107"/>
      <c r="N6" s="107"/>
      <c r="O6" s="107"/>
      <c r="P6" s="50" t="s">
        <v>9</v>
      </c>
      <c r="Q6" s="59" t="s">
        <v>23</v>
      </c>
      <c r="R6" s="59" t="s">
        <v>502</v>
      </c>
    </row>
    <row r="7" spans="1:23" ht="48.75" customHeight="1" x14ac:dyDescent="0.2">
      <c r="A7" s="50" t="s">
        <v>157</v>
      </c>
      <c r="B7" s="50" t="s">
        <v>79</v>
      </c>
      <c r="C7" s="37" t="s">
        <v>13</v>
      </c>
      <c r="D7" s="107">
        <v>5000</v>
      </c>
      <c r="E7" s="107"/>
      <c r="F7" s="107"/>
      <c r="G7" s="107"/>
      <c r="H7" s="107">
        <f>D7-(D7*20/100)</f>
        <v>4000</v>
      </c>
      <c r="I7" s="107"/>
      <c r="J7" s="107"/>
      <c r="K7" s="107"/>
      <c r="L7" s="107">
        <f>D7-(D7*40/100)</f>
        <v>3000</v>
      </c>
      <c r="M7" s="107"/>
      <c r="N7" s="107"/>
      <c r="O7" s="107"/>
      <c r="P7" s="50" t="s">
        <v>9</v>
      </c>
      <c r="Q7" s="59" t="s">
        <v>23</v>
      </c>
      <c r="R7" s="71" t="s">
        <v>502</v>
      </c>
    </row>
    <row r="8" spans="1:23" ht="21.75" customHeight="1" x14ac:dyDescent="0.2">
      <c r="A8" s="108" t="s">
        <v>158</v>
      </c>
      <c r="B8" s="108" t="s">
        <v>80</v>
      </c>
      <c r="C8" s="50" t="s">
        <v>14</v>
      </c>
      <c r="D8" s="50">
        <v>5000</v>
      </c>
      <c r="E8" s="50">
        <f>MROUND(D8-(D8*10/100),50)</f>
        <v>4500</v>
      </c>
      <c r="F8" s="50">
        <f>MROUND(D8-(D8*20/100),50)</f>
        <v>4000</v>
      </c>
      <c r="G8" s="50">
        <f>MROUND(D8-(D8*30/100),50)</f>
        <v>3500</v>
      </c>
      <c r="H8" s="50">
        <f>MROUND(D8-(D8*10/100),50)</f>
        <v>4500</v>
      </c>
      <c r="I8" s="50">
        <f>MROUND(H8-(H8*10/100),50)</f>
        <v>4050</v>
      </c>
      <c r="J8" s="50">
        <f>MROUND(H8-(H8*20/100),50)</f>
        <v>3600</v>
      </c>
      <c r="K8" s="50">
        <f>MROUND(H8-(H8*30/100),50)</f>
        <v>3150</v>
      </c>
      <c r="L8" s="50">
        <f>MROUND(D8-(D8*20/100),50)</f>
        <v>4000</v>
      </c>
      <c r="M8" s="50">
        <f>MROUND(L8-(L8*10/100),50)</f>
        <v>3600</v>
      </c>
      <c r="N8" s="50">
        <f>MROUND(L8-(L8*20/100),50)</f>
        <v>3200</v>
      </c>
      <c r="O8" s="50">
        <f>MROUND(L8-(L8*30/100),50)</f>
        <v>2800</v>
      </c>
      <c r="P8" s="108" t="s">
        <v>10</v>
      </c>
      <c r="Q8" s="117" t="s">
        <v>23</v>
      </c>
      <c r="R8" s="117" t="s">
        <v>502</v>
      </c>
    </row>
    <row r="9" spans="1:23" ht="21.75" x14ac:dyDescent="0.2">
      <c r="A9" s="108"/>
      <c r="B9" s="108"/>
      <c r="C9" s="50" t="s">
        <v>15</v>
      </c>
      <c r="D9" s="50">
        <f>D8*50/100</f>
        <v>2500</v>
      </c>
      <c r="E9" s="51">
        <f t="shared" ref="E9:O9" si="0">MROUND(E8*50/100,50)</f>
        <v>2250</v>
      </c>
      <c r="F9" s="51">
        <f t="shared" si="0"/>
        <v>2000</v>
      </c>
      <c r="G9" s="51">
        <f t="shared" si="0"/>
        <v>1750</v>
      </c>
      <c r="H9" s="51">
        <f t="shared" si="0"/>
        <v>2250</v>
      </c>
      <c r="I9" s="51">
        <f t="shared" si="0"/>
        <v>2050</v>
      </c>
      <c r="J9" s="51">
        <f t="shared" si="0"/>
        <v>1800</v>
      </c>
      <c r="K9" s="51">
        <f t="shared" si="0"/>
        <v>1600</v>
      </c>
      <c r="L9" s="51">
        <f t="shared" si="0"/>
        <v>2000</v>
      </c>
      <c r="M9" s="51">
        <f t="shared" si="0"/>
        <v>1800</v>
      </c>
      <c r="N9" s="51">
        <f t="shared" si="0"/>
        <v>1600</v>
      </c>
      <c r="O9" s="51">
        <f t="shared" si="0"/>
        <v>1400</v>
      </c>
      <c r="P9" s="108"/>
      <c r="Q9" s="117"/>
      <c r="R9" s="117"/>
    </row>
    <row r="10" spans="1:23" ht="21.75" x14ac:dyDescent="0.2">
      <c r="A10" s="50" t="s">
        <v>159</v>
      </c>
      <c r="B10" s="50" t="s">
        <v>493</v>
      </c>
      <c r="C10" s="59" t="s">
        <v>24</v>
      </c>
      <c r="D10" s="107">
        <v>2000</v>
      </c>
      <c r="E10" s="107"/>
      <c r="F10" s="107"/>
      <c r="G10" s="107"/>
      <c r="H10" s="107">
        <f>D10-(D10*20/100)</f>
        <v>1600</v>
      </c>
      <c r="I10" s="107"/>
      <c r="J10" s="107"/>
      <c r="K10" s="107"/>
      <c r="L10" s="107">
        <f>D10-(D10*40/100)</f>
        <v>1200</v>
      </c>
      <c r="M10" s="107"/>
      <c r="N10" s="107"/>
      <c r="O10" s="107"/>
      <c r="P10" s="50" t="s">
        <v>9</v>
      </c>
      <c r="Q10" s="54" t="s">
        <v>23</v>
      </c>
      <c r="R10" s="71" t="s">
        <v>502</v>
      </c>
    </row>
    <row r="11" spans="1:23" ht="21.75" customHeight="1" x14ac:dyDescent="0.2">
      <c r="A11" s="50" t="s">
        <v>160</v>
      </c>
      <c r="B11" s="50" t="s">
        <v>92</v>
      </c>
      <c r="C11" s="59" t="s">
        <v>24</v>
      </c>
      <c r="D11" s="107">
        <v>5000</v>
      </c>
      <c r="E11" s="107"/>
      <c r="F11" s="107"/>
      <c r="G11" s="107"/>
      <c r="H11" s="107">
        <f>D11-(D11*20/100)</f>
        <v>4000</v>
      </c>
      <c r="I11" s="107"/>
      <c r="J11" s="107"/>
      <c r="K11" s="107"/>
      <c r="L11" s="107">
        <f>D11-(D11*40/100)</f>
        <v>3000</v>
      </c>
      <c r="M11" s="107"/>
      <c r="N11" s="107"/>
      <c r="O11" s="107"/>
      <c r="P11" s="50" t="s">
        <v>9</v>
      </c>
      <c r="Q11" s="54" t="s">
        <v>393</v>
      </c>
      <c r="R11" s="54" t="s">
        <v>503</v>
      </c>
    </row>
    <row r="12" spans="1:23" ht="27" customHeight="1" x14ac:dyDescent="0.2">
      <c r="A12" s="50" t="s">
        <v>161</v>
      </c>
      <c r="B12" s="50" t="s">
        <v>93</v>
      </c>
      <c r="C12" s="59" t="s">
        <v>24</v>
      </c>
      <c r="D12" s="107">
        <v>1000</v>
      </c>
      <c r="E12" s="107"/>
      <c r="F12" s="107"/>
      <c r="G12" s="107"/>
      <c r="H12" s="107">
        <f>D12-(D12*20/100)</f>
        <v>800</v>
      </c>
      <c r="I12" s="107"/>
      <c r="J12" s="107"/>
      <c r="K12" s="107"/>
      <c r="L12" s="107">
        <f>D12-(D12*40/100)</f>
        <v>600</v>
      </c>
      <c r="M12" s="107"/>
      <c r="N12" s="107"/>
      <c r="O12" s="107"/>
      <c r="P12" s="50" t="s">
        <v>9</v>
      </c>
      <c r="Q12" s="54" t="s">
        <v>394</v>
      </c>
      <c r="R12" s="87" t="s">
        <v>503</v>
      </c>
    </row>
    <row r="13" spans="1:23" s="4" customFormat="1" ht="26.25" customHeight="1" x14ac:dyDescent="0.2">
      <c r="A13" s="124" t="s">
        <v>162</v>
      </c>
      <c r="B13" s="107" t="s">
        <v>94</v>
      </c>
      <c r="C13" s="50" t="s">
        <v>59</v>
      </c>
      <c r="D13" s="50">
        <v>3000</v>
      </c>
      <c r="E13" s="50">
        <f>MROUND(D13-(D13*10/100),50)</f>
        <v>2700</v>
      </c>
      <c r="F13" s="50">
        <f>MROUND(D13-(D13*20/100),50)</f>
        <v>2400</v>
      </c>
      <c r="G13" s="50">
        <f>MROUND(D13-(D13*30/100),50)</f>
        <v>2100</v>
      </c>
      <c r="H13" s="50">
        <f>MROUND(D13-(D13*10/100),50)</f>
        <v>2700</v>
      </c>
      <c r="I13" s="50">
        <f>MROUND(H13-(H13*10/100),50)</f>
        <v>2450</v>
      </c>
      <c r="J13" s="50">
        <f>MROUND(H13-(H13*20/100),50)</f>
        <v>2150</v>
      </c>
      <c r="K13" s="50">
        <f>MROUND(H13-(H13*30/100),50)</f>
        <v>1900</v>
      </c>
      <c r="L13" s="50">
        <f>MROUND(D13-(D13*20/100),50)</f>
        <v>2400</v>
      </c>
      <c r="M13" s="50">
        <f>MROUND(L13-(L13*10/100),50)</f>
        <v>2150</v>
      </c>
      <c r="N13" s="50">
        <f>MROUND(L13-(L13*20/100),50)</f>
        <v>1900</v>
      </c>
      <c r="O13" s="50">
        <f>MROUND(L13-(L13*30/100),50)</f>
        <v>1700</v>
      </c>
      <c r="P13" s="108" t="s">
        <v>10</v>
      </c>
      <c r="Q13" s="112" t="s">
        <v>23</v>
      </c>
      <c r="R13" s="113" t="s">
        <v>502</v>
      </c>
    </row>
    <row r="14" spans="1:23" s="16" customFormat="1" ht="18" customHeight="1" x14ac:dyDescent="0.2">
      <c r="A14" s="124"/>
      <c r="B14" s="107"/>
      <c r="C14" s="50" t="s">
        <v>16</v>
      </c>
      <c r="D14" s="50">
        <f>D13*50/100</f>
        <v>1500</v>
      </c>
      <c r="E14" s="51">
        <f t="shared" ref="E14:O14" si="1">MROUND(E13*50/100,50)</f>
        <v>1350</v>
      </c>
      <c r="F14" s="51">
        <f t="shared" si="1"/>
        <v>1200</v>
      </c>
      <c r="G14" s="51">
        <f t="shared" si="1"/>
        <v>1050</v>
      </c>
      <c r="H14" s="51">
        <f t="shared" si="1"/>
        <v>1350</v>
      </c>
      <c r="I14" s="51">
        <f t="shared" si="1"/>
        <v>1250</v>
      </c>
      <c r="J14" s="51">
        <f t="shared" si="1"/>
        <v>1100</v>
      </c>
      <c r="K14" s="51">
        <f t="shared" si="1"/>
        <v>950</v>
      </c>
      <c r="L14" s="51">
        <f t="shared" si="1"/>
        <v>1200</v>
      </c>
      <c r="M14" s="51">
        <f t="shared" si="1"/>
        <v>1100</v>
      </c>
      <c r="N14" s="51">
        <f t="shared" si="1"/>
        <v>950</v>
      </c>
      <c r="O14" s="51">
        <f t="shared" si="1"/>
        <v>850</v>
      </c>
      <c r="P14" s="108"/>
      <c r="Q14" s="112"/>
      <c r="R14" s="113"/>
      <c r="S14" s="23"/>
      <c r="T14" s="23"/>
      <c r="U14" s="23"/>
      <c r="V14" s="23"/>
      <c r="W14" s="23"/>
    </row>
    <row r="15" spans="1:23" s="16" customFormat="1" ht="18" customHeight="1" x14ac:dyDescent="0.2">
      <c r="A15" s="124" t="s">
        <v>163</v>
      </c>
      <c r="B15" s="107" t="s">
        <v>95</v>
      </c>
      <c r="C15" s="50" t="s">
        <v>14</v>
      </c>
      <c r="D15" s="50">
        <v>5000</v>
      </c>
      <c r="E15" s="50">
        <f>MROUND(D15-(D15*10/100),50)</f>
        <v>4500</v>
      </c>
      <c r="F15" s="50">
        <f>MROUND(D15-(D15*20/100),50)</f>
        <v>4000</v>
      </c>
      <c r="G15" s="50">
        <f>MROUND(D15-(D15*30/100),50)</f>
        <v>3500</v>
      </c>
      <c r="H15" s="50">
        <f>MROUND(D15-(D15*10/100),50)</f>
        <v>4500</v>
      </c>
      <c r="I15" s="50">
        <f>MROUND(H15-(H15*10/100),50)</f>
        <v>4050</v>
      </c>
      <c r="J15" s="50">
        <f>MROUND(H15-(H15*20/100),50)</f>
        <v>3600</v>
      </c>
      <c r="K15" s="50">
        <f>MROUND(H15-(H15*30/100),50)</f>
        <v>3150</v>
      </c>
      <c r="L15" s="50">
        <f>MROUND(D15-(D15*20/100),50)</f>
        <v>4000</v>
      </c>
      <c r="M15" s="50">
        <f>MROUND(L15-(L15*10/100),50)</f>
        <v>3600</v>
      </c>
      <c r="N15" s="50">
        <f>MROUND(L15-(L15*20/100),50)</f>
        <v>3200</v>
      </c>
      <c r="O15" s="50">
        <f>MROUND(L15-(L15*30/100),50)</f>
        <v>2800</v>
      </c>
      <c r="P15" s="108" t="s">
        <v>10</v>
      </c>
      <c r="Q15" s="117" t="s">
        <v>395</v>
      </c>
      <c r="R15" s="117" t="s">
        <v>502</v>
      </c>
      <c r="S15" s="23"/>
      <c r="T15" s="23"/>
      <c r="U15" s="23"/>
      <c r="V15" s="23"/>
      <c r="W15" s="23"/>
    </row>
    <row r="16" spans="1:23" ht="33.75" customHeight="1" x14ac:dyDescent="0.2">
      <c r="A16" s="124"/>
      <c r="B16" s="107"/>
      <c r="C16" s="50" t="s">
        <v>16</v>
      </c>
      <c r="D16" s="50">
        <f>D15*50/100</f>
        <v>2500</v>
      </c>
      <c r="E16" s="51">
        <f t="shared" ref="E16:O16" si="2">MROUND(E15*50/100,50)</f>
        <v>2250</v>
      </c>
      <c r="F16" s="51">
        <f t="shared" si="2"/>
        <v>2000</v>
      </c>
      <c r="G16" s="51">
        <f t="shared" si="2"/>
        <v>1750</v>
      </c>
      <c r="H16" s="51">
        <f t="shared" si="2"/>
        <v>2250</v>
      </c>
      <c r="I16" s="51">
        <f t="shared" si="2"/>
        <v>2050</v>
      </c>
      <c r="J16" s="51">
        <f t="shared" si="2"/>
        <v>1800</v>
      </c>
      <c r="K16" s="51">
        <f t="shared" si="2"/>
        <v>1600</v>
      </c>
      <c r="L16" s="51">
        <f t="shared" si="2"/>
        <v>2000</v>
      </c>
      <c r="M16" s="51">
        <f t="shared" si="2"/>
        <v>1800</v>
      </c>
      <c r="N16" s="51">
        <f t="shared" si="2"/>
        <v>1600</v>
      </c>
      <c r="O16" s="51">
        <f t="shared" si="2"/>
        <v>1400</v>
      </c>
      <c r="P16" s="108"/>
      <c r="Q16" s="117"/>
      <c r="R16" s="117"/>
    </row>
    <row r="17" spans="1:19" ht="23.25" customHeight="1" x14ac:dyDescent="0.2">
      <c r="A17" s="105" t="s">
        <v>96</v>
      </c>
      <c r="B17" s="105"/>
      <c r="C17" s="105"/>
      <c r="D17" s="105"/>
      <c r="E17" s="105"/>
      <c r="F17" s="105"/>
      <c r="G17" s="105"/>
      <c r="H17" s="105"/>
      <c r="I17" s="105"/>
      <c r="J17" s="105"/>
      <c r="K17" s="105"/>
      <c r="L17" s="105"/>
      <c r="M17" s="105"/>
      <c r="N17" s="105"/>
      <c r="O17" s="105"/>
      <c r="P17" s="105"/>
      <c r="Q17" s="105"/>
      <c r="R17" s="105"/>
    </row>
    <row r="18" spans="1:19" ht="43.5" customHeight="1" x14ac:dyDescent="0.2">
      <c r="A18" s="108" t="s">
        <v>164</v>
      </c>
      <c r="B18" s="108" t="s">
        <v>67</v>
      </c>
      <c r="C18" s="50" t="s">
        <v>14</v>
      </c>
      <c r="D18" s="50">
        <v>5000</v>
      </c>
      <c r="E18" s="50">
        <f>MROUND(D18-(D18*10/100),50)</f>
        <v>4500</v>
      </c>
      <c r="F18" s="50">
        <f>MROUND(D18-(D18*20/100),50)</f>
        <v>4000</v>
      </c>
      <c r="G18" s="50">
        <f>MROUND(D18-(D18*30/100),50)</f>
        <v>3500</v>
      </c>
      <c r="H18" s="50">
        <f>MROUND(D18-(D18*10/100),50)</f>
        <v>4500</v>
      </c>
      <c r="I18" s="50">
        <f>MROUND(H18-(H18*10/100),50)</f>
        <v>4050</v>
      </c>
      <c r="J18" s="50">
        <f>MROUND(H18-(H18*20/100),50)</f>
        <v>3600</v>
      </c>
      <c r="K18" s="50">
        <f>MROUND(H18-(H18*30/100),50)</f>
        <v>3150</v>
      </c>
      <c r="L18" s="50">
        <f>MROUND(D18-(D18*20/100),50)</f>
        <v>4000</v>
      </c>
      <c r="M18" s="50">
        <f>MROUND(L18-(L18*10/100),50)</f>
        <v>3600</v>
      </c>
      <c r="N18" s="50">
        <f>MROUND(L18-(L18*20/100),50)</f>
        <v>3200</v>
      </c>
      <c r="O18" s="50">
        <f>MROUND(L18-(L18*30/100),50)</f>
        <v>2800</v>
      </c>
      <c r="P18" s="108" t="s">
        <v>10</v>
      </c>
      <c r="Q18" s="112" t="s">
        <v>23</v>
      </c>
      <c r="R18" s="112" t="s">
        <v>507</v>
      </c>
      <c r="S18" s="23"/>
    </row>
    <row r="19" spans="1:19" ht="21.75" x14ac:dyDescent="0.2">
      <c r="A19" s="108"/>
      <c r="B19" s="108"/>
      <c r="C19" s="50" t="s">
        <v>15</v>
      </c>
      <c r="D19" s="50">
        <f>D18*50/100</f>
        <v>2500</v>
      </c>
      <c r="E19" s="51">
        <f t="shared" ref="E19:O19" si="3">MROUND(E18*50/100,50)</f>
        <v>2250</v>
      </c>
      <c r="F19" s="51">
        <f t="shared" si="3"/>
        <v>2000</v>
      </c>
      <c r="G19" s="51">
        <f t="shared" si="3"/>
        <v>1750</v>
      </c>
      <c r="H19" s="51">
        <f t="shared" si="3"/>
        <v>2250</v>
      </c>
      <c r="I19" s="51">
        <f t="shared" si="3"/>
        <v>2050</v>
      </c>
      <c r="J19" s="51">
        <f t="shared" si="3"/>
        <v>1800</v>
      </c>
      <c r="K19" s="51">
        <f t="shared" si="3"/>
        <v>1600</v>
      </c>
      <c r="L19" s="51">
        <f t="shared" si="3"/>
        <v>2000</v>
      </c>
      <c r="M19" s="51">
        <f t="shared" si="3"/>
        <v>1800</v>
      </c>
      <c r="N19" s="51">
        <f t="shared" si="3"/>
        <v>1600</v>
      </c>
      <c r="O19" s="51">
        <f t="shared" si="3"/>
        <v>1400</v>
      </c>
      <c r="P19" s="108"/>
      <c r="Q19" s="112"/>
      <c r="R19" s="112"/>
      <c r="S19" s="23"/>
    </row>
    <row r="20" spans="1:19" ht="43.5" x14ac:dyDescent="0.2">
      <c r="A20" s="51" t="s">
        <v>165</v>
      </c>
      <c r="B20" s="51" t="s">
        <v>48</v>
      </c>
      <c r="C20" s="51" t="s">
        <v>13</v>
      </c>
      <c r="D20" s="107">
        <v>1000</v>
      </c>
      <c r="E20" s="107">
        <f>D20-(D20*10/100)</f>
        <v>900</v>
      </c>
      <c r="F20" s="107">
        <f>D20-(D20*20/100)</f>
        <v>800</v>
      </c>
      <c r="G20" s="107">
        <f>D20-(D20*30/100)</f>
        <v>700</v>
      </c>
      <c r="H20" s="107">
        <f>D20-(D20*20/100)</f>
        <v>800</v>
      </c>
      <c r="I20" s="107">
        <f>H20-(H20*10/100)</f>
        <v>720</v>
      </c>
      <c r="J20" s="107">
        <f>H20-(H20*20/100)</f>
        <v>640</v>
      </c>
      <c r="K20" s="107">
        <f>H20-(H20*30/100)</f>
        <v>560</v>
      </c>
      <c r="L20" s="107">
        <v>640</v>
      </c>
      <c r="M20" s="107">
        <f>L20-(L20*10/100)</f>
        <v>576</v>
      </c>
      <c r="N20" s="107">
        <f>L20-(L20*20/100)</f>
        <v>512</v>
      </c>
      <c r="O20" s="107">
        <f>L20-(L20*30/100)</f>
        <v>448</v>
      </c>
      <c r="P20" s="50" t="s">
        <v>9</v>
      </c>
      <c r="Q20" s="49" t="s">
        <v>441</v>
      </c>
      <c r="R20" s="97" t="s">
        <v>507</v>
      </c>
      <c r="S20" s="23"/>
    </row>
    <row r="21" spans="1:19" ht="21.75" x14ac:dyDescent="0.2">
      <c r="A21" s="125" t="s">
        <v>166</v>
      </c>
      <c r="B21" s="125" t="s">
        <v>18</v>
      </c>
      <c r="C21" s="50" t="s">
        <v>14</v>
      </c>
      <c r="D21" s="50">
        <v>2000</v>
      </c>
      <c r="E21" s="50">
        <f>MROUND(D21-(D21*10/100),50)</f>
        <v>1800</v>
      </c>
      <c r="F21" s="50">
        <f>MROUND(D21-(D21*20/100),50)</f>
        <v>1600</v>
      </c>
      <c r="G21" s="50">
        <f>MROUND(D21-(D21*30/100),50)</f>
        <v>1400</v>
      </c>
      <c r="H21" s="50">
        <f>MROUND(D21-(D21*10/100),50)</f>
        <v>1800</v>
      </c>
      <c r="I21" s="50">
        <f>MROUND(H21-(H21*10/100),50)</f>
        <v>1600</v>
      </c>
      <c r="J21" s="50">
        <f>MROUND(H21-(H21*20/100),50)</f>
        <v>1450</v>
      </c>
      <c r="K21" s="50">
        <f>MROUND(H21-(H21*30/100),50)</f>
        <v>1250</v>
      </c>
      <c r="L21" s="50">
        <f>MROUND(D21-(D21*20/100),50)</f>
        <v>1600</v>
      </c>
      <c r="M21" s="50">
        <f>MROUND(L21-(L21*10/100),50)</f>
        <v>1450</v>
      </c>
      <c r="N21" s="50">
        <f>MROUND(L21-(L21*20/100),50)</f>
        <v>1300</v>
      </c>
      <c r="O21" s="50">
        <f>MROUND(L21-(L21*30/100),50)</f>
        <v>1100</v>
      </c>
      <c r="P21" s="108" t="s">
        <v>10</v>
      </c>
      <c r="Q21" s="112" t="s">
        <v>23</v>
      </c>
      <c r="R21" s="112" t="s">
        <v>507</v>
      </c>
      <c r="S21" s="23"/>
    </row>
    <row r="22" spans="1:19" s="4" customFormat="1" ht="18" customHeight="1" x14ac:dyDescent="0.2">
      <c r="A22" s="125"/>
      <c r="B22" s="125"/>
      <c r="C22" s="50" t="s">
        <v>15</v>
      </c>
      <c r="D22" s="50">
        <f>D21*50/100</f>
        <v>1000</v>
      </c>
      <c r="E22" s="51">
        <f t="shared" ref="E22:O22" si="4">MROUND(E21*50/100,50)</f>
        <v>900</v>
      </c>
      <c r="F22" s="51">
        <f t="shared" si="4"/>
        <v>800</v>
      </c>
      <c r="G22" s="51">
        <f t="shared" si="4"/>
        <v>700</v>
      </c>
      <c r="H22" s="51">
        <f t="shared" si="4"/>
        <v>900</v>
      </c>
      <c r="I22" s="51">
        <f t="shared" si="4"/>
        <v>800</v>
      </c>
      <c r="J22" s="51">
        <f t="shared" si="4"/>
        <v>750</v>
      </c>
      <c r="K22" s="51">
        <f t="shared" si="4"/>
        <v>650</v>
      </c>
      <c r="L22" s="51">
        <f t="shared" si="4"/>
        <v>800</v>
      </c>
      <c r="M22" s="51">
        <f t="shared" si="4"/>
        <v>750</v>
      </c>
      <c r="N22" s="51">
        <f t="shared" si="4"/>
        <v>650</v>
      </c>
      <c r="O22" s="51">
        <f t="shared" si="4"/>
        <v>550</v>
      </c>
      <c r="P22" s="108"/>
      <c r="Q22" s="112"/>
      <c r="R22" s="112"/>
      <c r="S22" s="23"/>
    </row>
    <row r="23" spans="1:19" s="4" customFormat="1" ht="18" customHeight="1" x14ac:dyDescent="0.2">
      <c r="A23" s="108" t="s">
        <v>167</v>
      </c>
      <c r="B23" s="108" t="s">
        <v>51</v>
      </c>
      <c r="C23" s="50" t="s">
        <v>14</v>
      </c>
      <c r="D23" s="50">
        <v>3000</v>
      </c>
      <c r="E23" s="50">
        <f>MROUND(D23-(D23*10/100),50)</f>
        <v>2700</v>
      </c>
      <c r="F23" s="50">
        <f>MROUND(D23-(D23*20/100),50)</f>
        <v>2400</v>
      </c>
      <c r="G23" s="50">
        <f>MROUND(D23-(D23*30/100),50)</f>
        <v>2100</v>
      </c>
      <c r="H23" s="50">
        <f>MROUND(D23-(D23*10/100),50)</f>
        <v>2700</v>
      </c>
      <c r="I23" s="50">
        <f>MROUND(H23-(H23*10/100),50)</f>
        <v>2450</v>
      </c>
      <c r="J23" s="50">
        <f>MROUND(H23-(H23*20/100),50)</f>
        <v>2150</v>
      </c>
      <c r="K23" s="50">
        <f>MROUND(H23-(H23*30/100),50)</f>
        <v>1900</v>
      </c>
      <c r="L23" s="50">
        <f>MROUND(D23-(D23*20/100),50)</f>
        <v>2400</v>
      </c>
      <c r="M23" s="50">
        <f>MROUND(L23-(L23*10/100),50)</f>
        <v>2150</v>
      </c>
      <c r="N23" s="50">
        <f>MROUND(L23-(L23*20/100),50)</f>
        <v>1900</v>
      </c>
      <c r="O23" s="50">
        <f>MROUND(L23-(L23*30/100),50)</f>
        <v>1700</v>
      </c>
      <c r="P23" s="108" t="s">
        <v>10</v>
      </c>
      <c r="Q23" s="112" t="s">
        <v>23</v>
      </c>
      <c r="R23" s="112" t="s">
        <v>507</v>
      </c>
      <c r="S23" s="23"/>
    </row>
    <row r="24" spans="1:19" ht="29.25" customHeight="1" x14ac:dyDescent="0.2">
      <c r="A24" s="108"/>
      <c r="B24" s="108"/>
      <c r="C24" s="50" t="s">
        <v>16</v>
      </c>
      <c r="D24" s="50">
        <f>D23*50/100</f>
        <v>1500</v>
      </c>
      <c r="E24" s="51">
        <f t="shared" ref="E24:O24" si="5">MROUND(E23*50/100,50)</f>
        <v>1350</v>
      </c>
      <c r="F24" s="51">
        <f t="shared" si="5"/>
        <v>1200</v>
      </c>
      <c r="G24" s="51">
        <f t="shared" si="5"/>
        <v>1050</v>
      </c>
      <c r="H24" s="51">
        <f t="shared" si="5"/>
        <v>1350</v>
      </c>
      <c r="I24" s="51">
        <f t="shared" si="5"/>
        <v>1250</v>
      </c>
      <c r="J24" s="51">
        <f t="shared" si="5"/>
        <v>1100</v>
      </c>
      <c r="K24" s="51">
        <f t="shared" si="5"/>
        <v>950</v>
      </c>
      <c r="L24" s="51">
        <f t="shared" si="5"/>
        <v>1200</v>
      </c>
      <c r="M24" s="51">
        <f t="shared" si="5"/>
        <v>1100</v>
      </c>
      <c r="N24" s="51">
        <f t="shared" si="5"/>
        <v>950</v>
      </c>
      <c r="O24" s="51">
        <f t="shared" si="5"/>
        <v>850</v>
      </c>
      <c r="P24" s="108"/>
      <c r="Q24" s="112"/>
      <c r="R24" s="112"/>
      <c r="S24" s="23"/>
    </row>
    <row r="25" spans="1:19" s="4" customFormat="1" ht="28.5" customHeight="1" x14ac:dyDescent="0.2">
      <c r="A25" s="50" t="s">
        <v>168</v>
      </c>
      <c r="B25" s="50" t="s">
        <v>21</v>
      </c>
      <c r="C25" s="51" t="s">
        <v>13</v>
      </c>
      <c r="D25" s="107">
        <v>6000</v>
      </c>
      <c r="E25" s="107">
        <f>D25-(D25*10/100)</f>
        <v>5400</v>
      </c>
      <c r="F25" s="107">
        <f>D25-(D25*20/100)</f>
        <v>4800</v>
      </c>
      <c r="G25" s="107">
        <f>D25-(D25*30/100)</f>
        <v>4200</v>
      </c>
      <c r="H25" s="107">
        <f>D25-(D25*20/100)</f>
        <v>4800</v>
      </c>
      <c r="I25" s="107"/>
      <c r="J25" s="107"/>
      <c r="K25" s="107"/>
      <c r="L25" s="107">
        <f>D25-(D25*40/100)</f>
        <v>3600</v>
      </c>
      <c r="M25" s="107"/>
      <c r="N25" s="107"/>
      <c r="O25" s="107"/>
      <c r="P25" s="50" t="s">
        <v>9</v>
      </c>
      <c r="Q25" s="54" t="s">
        <v>23</v>
      </c>
      <c r="R25" s="98" t="s">
        <v>507</v>
      </c>
      <c r="S25" s="23"/>
    </row>
    <row r="26" spans="1:19" ht="27" customHeight="1" x14ac:dyDescent="0.2">
      <c r="A26" s="51" t="s">
        <v>169</v>
      </c>
      <c r="B26" s="51" t="s">
        <v>22</v>
      </c>
      <c r="C26" s="59" t="s">
        <v>24</v>
      </c>
      <c r="D26" s="107">
        <v>50000</v>
      </c>
      <c r="E26" s="107">
        <f>D26-(D26*10/100)</f>
        <v>45000</v>
      </c>
      <c r="F26" s="107">
        <f>D26-(D26*20/100)</f>
        <v>40000</v>
      </c>
      <c r="G26" s="107">
        <f>D26-(D26*30/100)</f>
        <v>35000</v>
      </c>
      <c r="H26" s="107">
        <f t="shared" ref="H26" si="6">D26-(D26*20/100)</f>
        <v>40000</v>
      </c>
      <c r="I26" s="107"/>
      <c r="J26" s="107"/>
      <c r="K26" s="107"/>
      <c r="L26" s="107">
        <f t="shared" ref="L26" si="7">D26-(D26*40/100)</f>
        <v>30000</v>
      </c>
      <c r="M26" s="107"/>
      <c r="N26" s="107"/>
      <c r="O26" s="107"/>
      <c r="P26" s="50" t="s">
        <v>9</v>
      </c>
      <c r="Q26" s="54" t="s">
        <v>23</v>
      </c>
      <c r="R26" s="98" t="s">
        <v>507</v>
      </c>
      <c r="S26" s="23"/>
    </row>
    <row r="27" spans="1:19" ht="27" customHeight="1" x14ac:dyDescent="0.2">
      <c r="A27" s="50" t="s">
        <v>170</v>
      </c>
      <c r="B27" s="50" t="s">
        <v>19</v>
      </c>
      <c r="C27" s="51" t="s">
        <v>13</v>
      </c>
      <c r="D27" s="107">
        <v>10000</v>
      </c>
      <c r="E27" s="107">
        <f>D27-(D27*10/100)</f>
        <v>9000</v>
      </c>
      <c r="F27" s="107">
        <f>D27-(D27*20/100)</f>
        <v>8000</v>
      </c>
      <c r="G27" s="107">
        <f>D27-(D27*30/100)</f>
        <v>7000</v>
      </c>
      <c r="H27" s="107">
        <f>D27-(D27*20/100)</f>
        <v>8000</v>
      </c>
      <c r="I27" s="107"/>
      <c r="J27" s="107"/>
      <c r="K27" s="107"/>
      <c r="L27" s="107">
        <f>D27-(D27*40/100)</f>
        <v>6000</v>
      </c>
      <c r="M27" s="107"/>
      <c r="N27" s="107"/>
      <c r="O27" s="107"/>
      <c r="P27" s="50" t="s">
        <v>9</v>
      </c>
      <c r="Q27" s="54" t="s">
        <v>23</v>
      </c>
      <c r="R27" s="98" t="s">
        <v>507</v>
      </c>
      <c r="S27" s="23"/>
    </row>
    <row r="28" spans="1:19" ht="27" customHeight="1" x14ac:dyDescent="0.2">
      <c r="A28" s="50" t="s">
        <v>171</v>
      </c>
      <c r="B28" s="50" t="s">
        <v>17</v>
      </c>
      <c r="C28" s="51" t="s">
        <v>13</v>
      </c>
      <c r="D28" s="107">
        <v>5000</v>
      </c>
      <c r="E28" s="107">
        <f>D28-(D28*10/100)</f>
        <v>4500</v>
      </c>
      <c r="F28" s="107">
        <f>D28-(D28*20/100)</f>
        <v>4000</v>
      </c>
      <c r="G28" s="107">
        <f>D28-(D28*30/100)</f>
        <v>3500</v>
      </c>
      <c r="H28" s="107">
        <f>D28-(D28*20/100)</f>
        <v>4000</v>
      </c>
      <c r="I28" s="107"/>
      <c r="J28" s="107"/>
      <c r="K28" s="107"/>
      <c r="L28" s="107">
        <f>D28-(D28*40/100)</f>
        <v>3000</v>
      </c>
      <c r="M28" s="107"/>
      <c r="N28" s="107"/>
      <c r="O28" s="107"/>
      <c r="P28" s="50" t="s">
        <v>9</v>
      </c>
      <c r="Q28" s="54" t="s">
        <v>23</v>
      </c>
      <c r="R28" s="98" t="s">
        <v>507</v>
      </c>
      <c r="S28" s="23"/>
    </row>
    <row r="29" spans="1:19" s="4" customFormat="1" ht="27" customHeight="1" x14ac:dyDescent="0.2">
      <c r="A29" s="108" t="s">
        <v>172</v>
      </c>
      <c r="B29" s="108" t="s">
        <v>97</v>
      </c>
      <c r="C29" s="50" t="s">
        <v>14</v>
      </c>
      <c r="D29" s="50">
        <v>5000</v>
      </c>
      <c r="E29" s="50">
        <f>MROUND(D29-(D29*10/100),50)</f>
        <v>4500</v>
      </c>
      <c r="F29" s="50">
        <f>MROUND(D29-(D29*20/100),50)</f>
        <v>4000</v>
      </c>
      <c r="G29" s="50">
        <f>MROUND(D29-(D29*30/100),50)</f>
        <v>3500</v>
      </c>
      <c r="H29" s="50">
        <f>MROUND(D29-(D29*10/100),50)</f>
        <v>4500</v>
      </c>
      <c r="I29" s="50">
        <f>MROUND(H29-(H29*10/100),50)</f>
        <v>4050</v>
      </c>
      <c r="J29" s="50">
        <f>MROUND(H29-(H29*20/100),50)</f>
        <v>3600</v>
      </c>
      <c r="K29" s="50">
        <f>MROUND(H29-(H29*30/100),50)</f>
        <v>3150</v>
      </c>
      <c r="L29" s="50">
        <f>MROUND(D29-(D29*20/100),50)</f>
        <v>4000</v>
      </c>
      <c r="M29" s="50">
        <f>MROUND(L29-(L29*10/100),50)</f>
        <v>3600</v>
      </c>
      <c r="N29" s="50">
        <f>MROUND(L29-(L29*20/100),50)</f>
        <v>3200</v>
      </c>
      <c r="O29" s="50">
        <f>MROUND(L29-(L29*30/100),50)</f>
        <v>2800</v>
      </c>
      <c r="P29" s="108" t="s">
        <v>10</v>
      </c>
      <c r="Q29" s="112" t="s">
        <v>396</v>
      </c>
      <c r="R29" s="112" t="s">
        <v>507</v>
      </c>
      <c r="S29" s="23"/>
    </row>
    <row r="30" spans="1:19" s="4" customFormat="1" ht="27" customHeight="1" x14ac:dyDescent="0.2">
      <c r="A30" s="108"/>
      <c r="B30" s="108"/>
      <c r="C30" s="50" t="s">
        <v>15</v>
      </c>
      <c r="D30" s="50">
        <f>D29*50/100</f>
        <v>2500</v>
      </c>
      <c r="E30" s="51">
        <f t="shared" ref="E30:O30" si="8">MROUND(E29*50/100,50)</f>
        <v>2250</v>
      </c>
      <c r="F30" s="51">
        <f t="shared" si="8"/>
        <v>2000</v>
      </c>
      <c r="G30" s="51">
        <f t="shared" si="8"/>
        <v>1750</v>
      </c>
      <c r="H30" s="51">
        <f t="shared" si="8"/>
        <v>2250</v>
      </c>
      <c r="I30" s="51">
        <f t="shared" si="8"/>
        <v>2050</v>
      </c>
      <c r="J30" s="51">
        <f t="shared" si="8"/>
        <v>1800</v>
      </c>
      <c r="K30" s="51">
        <f t="shared" si="8"/>
        <v>1600</v>
      </c>
      <c r="L30" s="51">
        <f t="shared" si="8"/>
        <v>2000</v>
      </c>
      <c r="M30" s="51">
        <f t="shared" si="8"/>
        <v>1800</v>
      </c>
      <c r="N30" s="51">
        <f t="shared" si="8"/>
        <v>1600</v>
      </c>
      <c r="O30" s="51">
        <f t="shared" si="8"/>
        <v>1400</v>
      </c>
      <c r="P30" s="108"/>
      <c r="Q30" s="112"/>
      <c r="R30" s="112"/>
      <c r="S30" s="23"/>
    </row>
    <row r="31" spans="1:19" s="4" customFormat="1" ht="32.25" customHeight="1" x14ac:dyDescent="0.2">
      <c r="A31" s="108" t="s">
        <v>173</v>
      </c>
      <c r="B31" s="108" t="s">
        <v>98</v>
      </c>
      <c r="C31" s="50" t="s">
        <v>14</v>
      </c>
      <c r="D31" s="50">
        <v>5000</v>
      </c>
      <c r="E31" s="50">
        <f>MROUND(D31-(D31*10/100),50)</f>
        <v>4500</v>
      </c>
      <c r="F31" s="50">
        <f>MROUND(D31-(D31*20/100),50)</f>
        <v>4000</v>
      </c>
      <c r="G31" s="50">
        <f>MROUND(D31-(D31*30/100),50)</f>
        <v>3500</v>
      </c>
      <c r="H31" s="50">
        <f>MROUND(D31-(D31*10/100),50)</f>
        <v>4500</v>
      </c>
      <c r="I31" s="50">
        <f>MROUND(H31-(H31*10/100),50)</f>
        <v>4050</v>
      </c>
      <c r="J31" s="50">
        <f>MROUND(H31-(H31*20/100),50)</f>
        <v>3600</v>
      </c>
      <c r="K31" s="50">
        <f>MROUND(H31-(H31*30/100),50)</f>
        <v>3150</v>
      </c>
      <c r="L31" s="50">
        <f>MROUND(D31-(D31*20/100),50)</f>
        <v>4000</v>
      </c>
      <c r="M31" s="50">
        <f>MROUND(L31-(L31*10/100),50)</f>
        <v>3600</v>
      </c>
      <c r="N31" s="50">
        <f>MROUND(L31-(L31*20/100),50)</f>
        <v>3200</v>
      </c>
      <c r="O31" s="50">
        <f>MROUND(L31-(L31*30/100),50)</f>
        <v>2800</v>
      </c>
      <c r="P31" s="108" t="s">
        <v>10</v>
      </c>
      <c r="Q31" s="112" t="s">
        <v>396</v>
      </c>
      <c r="R31" s="112" t="s">
        <v>507</v>
      </c>
      <c r="S31" s="23"/>
    </row>
    <row r="32" spans="1:19" ht="24" customHeight="1" x14ac:dyDescent="0.2">
      <c r="A32" s="108"/>
      <c r="B32" s="108"/>
      <c r="C32" s="50" t="s">
        <v>15</v>
      </c>
      <c r="D32" s="50">
        <f>D31*50/100</f>
        <v>2500</v>
      </c>
      <c r="E32" s="51">
        <f t="shared" ref="E32:O32" si="9">MROUND(E31*50/100,50)</f>
        <v>2250</v>
      </c>
      <c r="F32" s="51">
        <f t="shared" si="9"/>
        <v>2000</v>
      </c>
      <c r="G32" s="51">
        <f t="shared" si="9"/>
        <v>1750</v>
      </c>
      <c r="H32" s="51">
        <f t="shared" si="9"/>
        <v>2250</v>
      </c>
      <c r="I32" s="51">
        <f t="shared" si="9"/>
        <v>2050</v>
      </c>
      <c r="J32" s="51">
        <f t="shared" si="9"/>
        <v>1800</v>
      </c>
      <c r="K32" s="51">
        <f t="shared" si="9"/>
        <v>1600</v>
      </c>
      <c r="L32" s="51">
        <f t="shared" si="9"/>
        <v>2000</v>
      </c>
      <c r="M32" s="51">
        <f t="shared" si="9"/>
        <v>1800</v>
      </c>
      <c r="N32" s="51">
        <f t="shared" si="9"/>
        <v>1600</v>
      </c>
      <c r="O32" s="51">
        <f t="shared" si="9"/>
        <v>1400</v>
      </c>
      <c r="P32" s="108"/>
      <c r="Q32" s="112"/>
      <c r="R32" s="112"/>
      <c r="S32" s="23"/>
    </row>
    <row r="33" spans="1:23" ht="23.25" customHeight="1" x14ac:dyDescent="0.2">
      <c r="A33" s="105" t="s">
        <v>30</v>
      </c>
      <c r="B33" s="105"/>
      <c r="C33" s="105"/>
      <c r="D33" s="105"/>
      <c r="E33" s="105"/>
      <c r="F33" s="105"/>
      <c r="G33" s="105"/>
      <c r="H33" s="105"/>
      <c r="I33" s="105"/>
      <c r="J33" s="105"/>
      <c r="K33" s="105"/>
      <c r="L33" s="105"/>
      <c r="M33" s="105"/>
      <c r="N33" s="105"/>
      <c r="O33" s="105"/>
      <c r="P33" s="105"/>
      <c r="Q33" s="105"/>
      <c r="R33" s="105"/>
      <c r="S33" s="23"/>
    </row>
    <row r="34" spans="1:23" ht="43.5" x14ac:dyDescent="0.2">
      <c r="A34" s="37" t="s">
        <v>174</v>
      </c>
      <c r="B34" s="42" t="s">
        <v>420</v>
      </c>
      <c r="C34" s="37" t="s">
        <v>13</v>
      </c>
      <c r="D34" s="107">
        <v>80000</v>
      </c>
      <c r="E34" s="107"/>
      <c r="F34" s="107"/>
      <c r="G34" s="107"/>
      <c r="H34" s="107">
        <f t="shared" ref="H34:H43" si="10">D34-(D34*20/100)</f>
        <v>64000</v>
      </c>
      <c r="I34" s="107"/>
      <c r="J34" s="107"/>
      <c r="K34" s="107"/>
      <c r="L34" s="107">
        <f t="shared" ref="L34:L43" si="11">D34-(D34*40/100)</f>
        <v>48000</v>
      </c>
      <c r="M34" s="107"/>
      <c r="N34" s="107"/>
      <c r="O34" s="107"/>
      <c r="P34" s="50" t="s">
        <v>9</v>
      </c>
      <c r="Q34" s="49" t="s">
        <v>397</v>
      </c>
      <c r="R34" s="49" t="s">
        <v>505</v>
      </c>
      <c r="S34" s="23"/>
    </row>
    <row r="35" spans="1:23" s="32" customFormat="1" ht="43.5" x14ac:dyDescent="0.2">
      <c r="A35" s="51" t="s">
        <v>175</v>
      </c>
      <c r="B35" s="49" t="s">
        <v>442</v>
      </c>
      <c r="C35" s="37" t="s">
        <v>13</v>
      </c>
      <c r="D35" s="107">
        <v>400000</v>
      </c>
      <c r="E35" s="107">
        <f>D35-(D35*10/100)</f>
        <v>360000</v>
      </c>
      <c r="F35" s="107">
        <f>D35-(D35*20/100)</f>
        <v>320000</v>
      </c>
      <c r="G35" s="107">
        <f>D35-(D35*30/100)</f>
        <v>280000</v>
      </c>
      <c r="H35" s="107">
        <f t="shared" si="10"/>
        <v>320000</v>
      </c>
      <c r="I35" s="107"/>
      <c r="J35" s="107"/>
      <c r="K35" s="107"/>
      <c r="L35" s="107">
        <f t="shared" si="11"/>
        <v>240000</v>
      </c>
      <c r="M35" s="107"/>
      <c r="N35" s="107"/>
      <c r="O35" s="107"/>
      <c r="P35" s="50" t="s">
        <v>9</v>
      </c>
      <c r="Q35" s="49" t="s">
        <v>398</v>
      </c>
      <c r="R35" s="66" t="s">
        <v>505</v>
      </c>
      <c r="S35" s="31"/>
      <c r="T35" s="31"/>
      <c r="U35" s="31"/>
      <c r="V35" s="31"/>
      <c r="W35" s="31"/>
    </row>
    <row r="36" spans="1:23" ht="43.5" x14ac:dyDescent="0.2">
      <c r="A36" s="56" t="s">
        <v>176</v>
      </c>
      <c r="B36" s="55" t="s">
        <v>36</v>
      </c>
      <c r="C36" s="30" t="s">
        <v>13</v>
      </c>
      <c r="D36" s="109">
        <v>48000</v>
      </c>
      <c r="E36" s="109">
        <f>D36-(D36*10/100)</f>
        <v>43200</v>
      </c>
      <c r="F36" s="109">
        <f>D36-(D36*20/100)</f>
        <v>38400</v>
      </c>
      <c r="G36" s="109">
        <f>D36-(D36*30/100)</f>
        <v>33600</v>
      </c>
      <c r="H36" s="109">
        <f t="shared" si="10"/>
        <v>38400</v>
      </c>
      <c r="I36" s="109"/>
      <c r="J36" s="109"/>
      <c r="K36" s="109"/>
      <c r="L36" s="109">
        <f t="shared" si="11"/>
        <v>28800</v>
      </c>
      <c r="M36" s="109"/>
      <c r="N36" s="109"/>
      <c r="O36" s="109"/>
      <c r="P36" s="56" t="s">
        <v>9</v>
      </c>
      <c r="Q36" s="55" t="s">
        <v>397</v>
      </c>
      <c r="R36" s="66" t="s">
        <v>505</v>
      </c>
    </row>
    <row r="37" spans="1:23" ht="64.5" customHeight="1" x14ac:dyDescent="0.2">
      <c r="A37" s="37" t="s">
        <v>177</v>
      </c>
      <c r="B37" s="42" t="s">
        <v>443</v>
      </c>
      <c r="C37" s="37" t="s">
        <v>13</v>
      </c>
      <c r="D37" s="107">
        <v>24000</v>
      </c>
      <c r="E37" s="107">
        <f>D37-(D37*10/100)</f>
        <v>21600</v>
      </c>
      <c r="F37" s="107">
        <f>D37-(D37*20/100)</f>
        <v>19200</v>
      </c>
      <c r="G37" s="107">
        <f>D37-(D37*30/100)</f>
        <v>16800</v>
      </c>
      <c r="H37" s="107">
        <f t="shared" si="10"/>
        <v>19200</v>
      </c>
      <c r="I37" s="107"/>
      <c r="J37" s="107"/>
      <c r="K37" s="107"/>
      <c r="L37" s="107">
        <f t="shared" si="11"/>
        <v>14400</v>
      </c>
      <c r="M37" s="107"/>
      <c r="N37" s="107"/>
      <c r="O37" s="107"/>
      <c r="P37" s="50" t="s">
        <v>9</v>
      </c>
      <c r="Q37" s="49" t="s">
        <v>399</v>
      </c>
      <c r="R37" s="66" t="s">
        <v>505</v>
      </c>
    </row>
    <row r="38" spans="1:23" ht="43.5" x14ac:dyDescent="0.2">
      <c r="A38" s="37" t="s">
        <v>178</v>
      </c>
      <c r="B38" s="42" t="s">
        <v>34</v>
      </c>
      <c r="C38" s="37" t="s">
        <v>13</v>
      </c>
      <c r="D38" s="107">
        <v>20000</v>
      </c>
      <c r="E38" s="107"/>
      <c r="F38" s="107"/>
      <c r="G38" s="107"/>
      <c r="H38" s="107">
        <f t="shared" si="10"/>
        <v>16000</v>
      </c>
      <c r="I38" s="107"/>
      <c r="J38" s="107"/>
      <c r="K38" s="107"/>
      <c r="L38" s="107">
        <f t="shared" si="11"/>
        <v>12000</v>
      </c>
      <c r="M38" s="107"/>
      <c r="N38" s="107"/>
      <c r="O38" s="107"/>
      <c r="P38" s="50" t="s">
        <v>9</v>
      </c>
      <c r="Q38" s="49" t="s">
        <v>400</v>
      </c>
      <c r="R38" s="66" t="s">
        <v>505</v>
      </c>
    </row>
    <row r="39" spans="1:23" s="35" customFormat="1" ht="60.75" customHeight="1" x14ac:dyDescent="0.2">
      <c r="A39" s="34" t="s">
        <v>179</v>
      </c>
      <c r="B39" s="45" t="s">
        <v>62</v>
      </c>
      <c r="C39" s="37" t="s">
        <v>13</v>
      </c>
      <c r="D39" s="107">
        <v>18000</v>
      </c>
      <c r="E39" s="107">
        <f>D39-(D39*10/100)</f>
        <v>16200</v>
      </c>
      <c r="F39" s="107">
        <f>D39-(D39*20/100)</f>
        <v>14400</v>
      </c>
      <c r="G39" s="107">
        <f>D39-(D39*30/100)</f>
        <v>12600</v>
      </c>
      <c r="H39" s="107">
        <f t="shared" si="10"/>
        <v>14400</v>
      </c>
      <c r="I39" s="107"/>
      <c r="J39" s="107"/>
      <c r="K39" s="107"/>
      <c r="L39" s="107">
        <f t="shared" si="11"/>
        <v>10800</v>
      </c>
      <c r="M39" s="107"/>
      <c r="N39" s="107"/>
      <c r="O39" s="107"/>
      <c r="P39" s="50" t="s">
        <v>9</v>
      </c>
      <c r="Q39" s="49" t="s">
        <v>401</v>
      </c>
      <c r="R39" s="66" t="s">
        <v>505</v>
      </c>
    </row>
    <row r="40" spans="1:23" s="19" customFormat="1" ht="118.5" customHeight="1" x14ac:dyDescent="0.2">
      <c r="A40" s="56" t="s">
        <v>180</v>
      </c>
      <c r="B40" s="55" t="s">
        <v>135</v>
      </c>
      <c r="C40" s="56" t="s">
        <v>24</v>
      </c>
      <c r="D40" s="109">
        <v>100000</v>
      </c>
      <c r="E40" s="109"/>
      <c r="F40" s="109"/>
      <c r="G40" s="109"/>
      <c r="H40" s="109">
        <f t="shared" si="10"/>
        <v>80000</v>
      </c>
      <c r="I40" s="109"/>
      <c r="J40" s="109"/>
      <c r="K40" s="109"/>
      <c r="L40" s="109">
        <f t="shared" si="11"/>
        <v>60000</v>
      </c>
      <c r="M40" s="109"/>
      <c r="N40" s="109"/>
      <c r="O40" s="109"/>
      <c r="P40" s="56" t="s">
        <v>9</v>
      </c>
      <c r="Q40" s="55" t="s">
        <v>23</v>
      </c>
      <c r="R40" s="89" t="s">
        <v>506</v>
      </c>
      <c r="S40" s="22"/>
      <c r="T40" s="22"/>
      <c r="U40" s="22"/>
      <c r="V40" s="22"/>
      <c r="W40" s="22"/>
    </row>
    <row r="41" spans="1:23" ht="43.5" x14ac:dyDescent="0.2">
      <c r="A41" s="51" t="s">
        <v>181</v>
      </c>
      <c r="B41" s="49" t="s">
        <v>511</v>
      </c>
      <c r="C41" s="59" t="s">
        <v>24</v>
      </c>
      <c r="D41" s="107">
        <v>18000</v>
      </c>
      <c r="E41" s="107">
        <f>D41-(D41*10/100)</f>
        <v>16200</v>
      </c>
      <c r="F41" s="107">
        <f>D41-(D41*20/100)</f>
        <v>14400</v>
      </c>
      <c r="G41" s="107">
        <f>D41-(D41*30/100)</f>
        <v>12600</v>
      </c>
      <c r="H41" s="107">
        <f t="shared" si="10"/>
        <v>14400</v>
      </c>
      <c r="I41" s="107"/>
      <c r="J41" s="107"/>
      <c r="K41" s="107"/>
      <c r="L41" s="107">
        <f t="shared" si="11"/>
        <v>10800</v>
      </c>
      <c r="M41" s="107"/>
      <c r="N41" s="107"/>
      <c r="O41" s="107"/>
      <c r="P41" s="50" t="s">
        <v>9</v>
      </c>
      <c r="Q41" s="49" t="s">
        <v>401</v>
      </c>
      <c r="R41" s="66" t="s">
        <v>505</v>
      </c>
    </row>
    <row r="42" spans="1:23" s="4" customFormat="1" ht="40.5" customHeight="1" x14ac:dyDescent="0.2">
      <c r="A42" s="34" t="s">
        <v>182</v>
      </c>
      <c r="B42" s="34" t="s">
        <v>63</v>
      </c>
      <c r="C42" s="37" t="s">
        <v>13</v>
      </c>
      <c r="D42" s="107">
        <v>16000</v>
      </c>
      <c r="E42" s="107"/>
      <c r="F42" s="107"/>
      <c r="G42" s="107"/>
      <c r="H42" s="107">
        <f t="shared" si="10"/>
        <v>12800</v>
      </c>
      <c r="I42" s="107"/>
      <c r="J42" s="107"/>
      <c r="K42" s="107"/>
      <c r="L42" s="107">
        <f t="shared" si="11"/>
        <v>9600</v>
      </c>
      <c r="M42" s="107"/>
      <c r="N42" s="107"/>
      <c r="O42" s="107"/>
      <c r="P42" s="50" t="s">
        <v>9</v>
      </c>
      <c r="Q42" s="49" t="s">
        <v>401</v>
      </c>
      <c r="R42" s="66" t="s">
        <v>505</v>
      </c>
    </row>
    <row r="43" spans="1:23" s="16" customFormat="1" ht="45" customHeight="1" x14ac:dyDescent="0.2">
      <c r="A43" s="56" t="s">
        <v>183</v>
      </c>
      <c r="B43" s="56" t="s">
        <v>113</v>
      </c>
      <c r="C43" s="56" t="s">
        <v>24</v>
      </c>
      <c r="D43" s="109">
        <v>15000</v>
      </c>
      <c r="E43" s="109">
        <f>D43-(D43*10/100)</f>
        <v>13500</v>
      </c>
      <c r="F43" s="109">
        <f>D43-(D43*20/100)</f>
        <v>12000</v>
      </c>
      <c r="G43" s="109">
        <f>D43-(D43*30/100)</f>
        <v>10500</v>
      </c>
      <c r="H43" s="109">
        <f t="shared" si="10"/>
        <v>12000</v>
      </c>
      <c r="I43" s="109"/>
      <c r="J43" s="109"/>
      <c r="K43" s="109"/>
      <c r="L43" s="109">
        <f t="shared" si="11"/>
        <v>9000</v>
      </c>
      <c r="M43" s="109"/>
      <c r="N43" s="109"/>
      <c r="O43" s="109"/>
      <c r="P43" s="56" t="s">
        <v>9</v>
      </c>
      <c r="Q43" s="55" t="s">
        <v>402</v>
      </c>
      <c r="R43" s="66" t="s">
        <v>505</v>
      </c>
      <c r="S43" s="23"/>
      <c r="T43" s="23"/>
      <c r="U43" s="23"/>
      <c r="V43" s="23"/>
      <c r="W43" s="23"/>
    </row>
    <row r="44" spans="1:23" s="16" customFormat="1" ht="21.75" x14ac:dyDescent="0.2">
      <c r="A44" s="108" t="s">
        <v>184</v>
      </c>
      <c r="B44" s="108" t="s">
        <v>60</v>
      </c>
      <c r="C44" s="50" t="s">
        <v>14</v>
      </c>
      <c r="D44" s="50">
        <v>5000</v>
      </c>
      <c r="E44" s="50">
        <f>MROUND(D44-(D44*10/100),50)</f>
        <v>4500</v>
      </c>
      <c r="F44" s="50">
        <f>MROUND(D44-(D44*20/100),50)</f>
        <v>4000</v>
      </c>
      <c r="G44" s="50">
        <f>MROUND(D44-(D44*30/100),50)</f>
        <v>3500</v>
      </c>
      <c r="H44" s="50">
        <f>MROUND(D44-(D44*10/100),50)</f>
        <v>4500</v>
      </c>
      <c r="I44" s="50">
        <f>MROUND(H44-(H44*10/100),50)</f>
        <v>4050</v>
      </c>
      <c r="J44" s="50">
        <f>MROUND(H44-(H44*20/100),50)</f>
        <v>3600</v>
      </c>
      <c r="K44" s="50">
        <f>MROUND(H44-(H44*30/100),50)</f>
        <v>3150</v>
      </c>
      <c r="L44" s="50">
        <f>MROUND(D44-(D44*20/100),50)</f>
        <v>4000</v>
      </c>
      <c r="M44" s="50">
        <f>MROUND(L44-(L44*10/100),50)</f>
        <v>3600</v>
      </c>
      <c r="N44" s="50">
        <f>MROUND(L44-(L44*20/100),50)</f>
        <v>3200</v>
      </c>
      <c r="O44" s="50">
        <f>MROUND(L44-(L44*30/100),50)</f>
        <v>2800</v>
      </c>
      <c r="P44" s="108" t="s">
        <v>10</v>
      </c>
      <c r="Q44" s="112" t="s">
        <v>23</v>
      </c>
      <c r="R44" s="112" t="s">
        <v>512</v>
      </c>
      <c r="S44" s="23"/>
      <c r="T44" s="23"/>
      <c r="U44" s="23"/>
      <c r="V44" s="23"/>
      <c r="W44" s="23"/>
    </row>
    <row r="45" spans="1:23" ht="21.75" x14ac:dyDescent="0.2">
      <c r="A45" s="108"/>
      <c r="B45" s="108"/>
      <c r="C45" s="50" t="s">
        <v>16</v>
      </c>
      <c r="D45" s="50">
        <f>D44*50/100</f>
        <v>2500</v>
      </c>
      <c r="E45" s="51">
        <f t="shared" ref="E45:O45" si="12">MROUND(E44*50/100,50)</f>
        <v>2250</v>
      </c>
      <c r="F45" s="51">
        <f t="shared" si="12"/>
        <v>2000</v>
      </c>
      <c r="G45" s="51">
        <f t="shared" si="12"/>
        <v>1750</v>
      </c>
      <c r="H45" s="51">
        <f t="shared" si="12"/>
        <v>2250</v>
      </c>
      <c r="I45" s="51">
        <f t="shared" si="12"/>
        <v>2050</v>
      </c>
      <c r="J45" s="51">
        <f t="shared" si="12"/>
        <v>1800</v>
      </c>
      <c r="K45" s="51">
        <f t="shared" si="12"/>
        <v>1600</v>
      </c>
      <c r="L45" s="51">
        <f t="shared" si="12"/>
        <v>2000</v>
      </c>
      <c r="M45" s="51">
        <f t="shared" si="12"/>
        <v>1800</v>
      </c>
      <c r="N45" s="51">
        <f t="shared" si="12"/>
        <v>1600</v>
      </c>
      <c r="O45" s="51">
        <f t="shared" si="12"/>
        <v>1400</v>
      </c>
      <c r="P45" s="108"/>
      <c r="Q45" s="112"/>
      <c r="R45" s="112"/>
    </row>
    <row r="46" spans="1:23" s="4" customFormat="1" ht="43.5" x14ac:dyDescent="0.2">
      <c r="A46" s="61" t="s">
        <v>462</v>
      </c>
      <c r="B46" s="37" t="s">
        <v>99</v>
      </c>
      <c r="C46" s="37" t="s">
        <v>13</v>
      </c>
      <c r="D46" s="107">
        <v>24000</v>
      </c>
      <c r="E46" s="107">
        <f>D46-(D46*10/100)</f>
        <v>21600</v>
      </c>
      <c r="F46" s="107">
        <f>D46-(D46*20/100)</f>
        <v>19200</v>
      </c>
      <c r="G46" s="107">
        <f>D46-(D46*30/100)</f>
        <v>16800</v>
      </c>
      <c r="H46" s="107">
        <f>D46-(D46*20/100)</f>
        <v>19200</v>
      </c>
      <c r="I46" s="107"/>
      <c r="J46" s="107"/>
      <c r="K46" s="107"/>
      <c r="L46" s="107">
        <f>D46-(D46*40/100)</f>
        <v>14400</v>
      </c>
      <c r="M46" s="107"/>
      <c r="N46" s="107"/>
      <c r="O46" s="107"/>
      <c r="P46" s="50" t="s">
        <v>9</v>
      </c>
      <c r="Q46" s="49" t="s">
        <v>23</v>
      </c>
      <c r="R46" s="66" t="s">
        <v>505</v>
      </c>
    </row>
    <row r="47" spans="1:23" s="29" customFormat="1" ht="43.5" x14ac:dyDescent="0.2">
      <c r="A47" s="61" t="s">
        <v>185</v>
      </c>
      <c r="B47" s="51" t="s">
        <v>100</v>
      </c>
      <c r="C47" s="59" t="s">
        <v>24</v>
      </c>
      <c r="D47" s="107">
        <v>16000</v>
      </c>
      <c r="E47" s="107"/>
      <c r="F47" s="107"/>
      <c r="G47" s="107"/>
      <c r="H47" s="107">
        <f t="shared" ref="H47" si="13">D47-(D47*20/100)</f>
        <v>12800</v>
      </c>
      <c r="I47" s="107"/>
      <c r="J47" s="107"/>
      <c r="K47" s="107"/>
      <c r="L47" s="107">
        <f t="shared" ref="L47" si="14">D47-(D47*40/100)</f>
        <v>9600</v>
      </c>
      <c r="M47" s="107"/>
      <c r="N47" s="107"/>
      <c r="O47" s="107"/>
      <c r="P47" s="50" t="s">
        <v>9</v>
      </c>
      <c r="Q47" s="49" t="s">
        <v>23</v>
      </c>
      <c r="R47" s="66" t="s">
        <v>509</v>
      </c>
      <c r="S47" s="18"/>
      <c r="T47" s="18"/>
      <c r="U47" s="18"/>
      <c r="V47" s="18"/>
      <c r="W47" s="18"/>
    </row>
    <row r="48" spans="1:23" s="29" customFormat="1" ht="40.5" customHeight="1" x14ac:dyDescent="0.2">
      <c r="A48" s="61" t="s">
        <v>186</v>
      </c>
      <c r="B48" s="45" t="s">
        <v>421</v>
      </c>
      <c r="C48" s="34" t="s">
        <v>13</v>
      </c>
      <c r="D48" s="107">
        <v>16000</v>
      </c>
      <c r="E48" s="107">
        <f>D48-(D48*10/100)</f>
        <v>14400</v>
      </c>
      <c r="F48" s="107">
        <f>D48-(D48*20/100)</f>
        <v>12800</v>
      </c>
      <c r="G48" s="107">
        <f>D48-(D48*30/100)</f>
        <v>11200</v>
      </c>
      <c r="H48" s="107">
        <f>D48-(D48*20/100)</f>
        <v>12800</v>
      </c>
      <c r="I48" s="107"/>
      <c r="J48" s="107"/>
      <c r="K48" s="107"/>
      <c r="L48" s="107">
        <f>D48-(D48*40/100)</f>
        <v>9600</v>
      </c>
      <c r="M48" s="107"/>
      <c r="N48" s="107"/>
      <c r="O48" s="107"/>
      <c r="P48" s="51" t="s">
        <v>9</v>
      </c>
      <c r="Q48" s="49" t="s">
        <v>401</v>
      </c>
      <c r="R48" s="66" t="s">
        <v>505</v>
      </c>
      <c r="S48" s="18"/>
      <c r="T48" s="18"/>
      <c r="U48" s="18"/>
      <c r="V48" s="18"/>
      <c r="W48" s="18"/>
    </row>
    <row r="49" spans="1:23" ht="21.75" x14ac:dyDescent="0.2">
      <c r="A49" s="61" t="s">
        <v>187</v>
      </c>
      <c r="B49" s="34" t="s">
        <v>32</v>
      </c>
      <c r="C49" s="51" t="s">
        <v>24</v>
      </c>
      <c r="D49" s="107">
        <v>5000</v>
      </c>
      <c r="E49" s="107">
        <f t="shared" ref="E49" si="15">D49-(D49*10/100)</f>
        <v>4500</v>
      </c>
      <c r="F49" s="107">
        <f t="shared" ref="F49" si="16">D49-(D49*20/100)</f>
        <v>4000</v>
      </c>
      <c r="G49" s="107">
        <f t="shared" ref="G49" si="17">D49-(D49*30/100)</f>
        <v>3500</v>
      </c>
      <c r="H49" s="107">
        <f t="shared" ref="H49" si="18">D49-(D49*20/100)</f>
        <v>4000</v>
      </c>
      <c r="I49" s="107"/>
      <c r="J49" s="107"/>
      <c r="K49" s="107"/>
      <c r="L49" s="107">
        <f t="shared" ref="L49" si="19">D49-(D49*40/100)</f>
        <v>3000</v>
      </c>
      <c r="M49" s="107"/>
      <c r="N49" s="107"/>
      <c r="O49" s="107"/>
      <c r="P49" s="51" t="s">
        <v>9</v>
      </c>
      <c r="Q49" s="49" t="s">
        <v>23</v>
      </c>
      <c r="R49" s="94" t="s">
        <v>521</v>
      </c>
      <c r="S49" s="9"/>
    </row>
    <row r="50" spans="1:23" ht="21.75" x14ac:dyDescent="0.2">
      <c r="A50" s="124" t="s">
        <v>188</v>
      </c>
      <c r="B50" s="107" t="s">
        <v>72</v>
      </c>
      <c r="C50" s="50" t="s">
        <v>14</v>
      </c>
      <c r="D50" s="50">
        <v>3000</v>
      </c>
      <c r="E50" s="50">
        <f>MROUND(D50-(D50*10/100),50)</f>
        <v>2700</v>
      </c>
      <c r="F50" s="50">
        <f>MROUND(D50-(D50*20/100),50)</f>
        <v>2400</v>
      </c>
      <c r="G50" s="50">
        <f>MROUND(D50-(D50*30/100),50)</f>
        <v>2100</v>
      </c>
      <c r="H50" s="50">
        <f>MROUND(D50-(D50*10/100),50)</f>
        <v>2700</v>
      </c>
      <c r="I50" s="50">
        <f>MROUND(H50-(H50*10/100),50)</f>
        <v>2450</v>
      </c>
      <c r="J50" s="50">
        <f>MROUND(H50-(H50*20/100),50)</f>
        <v>2150</v>
      </c>
      <c r="K50" s="50">
        <f>MROUND(H50-(H50*30/100),50)</f>
        <v>1900</v>
      </c>
      <c r="L50" s="50">
        <f>MROUND(D50-(D50*20/100),50)</f>
        <v>2400</v>
      </c>
      <c r="M50" s="50">
        <f>MROUND(L50-(L50*10/100),50)</f>
        <v>2150</v>
      </c>
      <c r="N50" s="50">
        <f>MROUND(L50-(L50*20/100),50)</f>
        <v>1900</v>
      </c>
      <c r="O50" s="50">
        <f>MROUND(L50-(L50*30/100),50)</f>
        <v>1700</v>
      </c>
      <c r="P50" s="108" t="s">
        <v>10</v>
      </c>
      <c r="Q50" s="113" t="s">
        <v>403</v>
      </c>
      <c r="R50" s="113" t="s">
        <v>507</v>
      </c>
    </row>
    <row r="51" spans="1:23" s="28" customFormat="1" ht="21.75" x14ac:dyDescent="0.2">
      <c r="A51" s="124"/>
      <c r="B51" s="107"/>
      <c r="C51" s="50" t="s">
        <v>16</v>
      </c>
      <c r="D51" s="50">
        <f>D50*50/100</f>
        <v>1500</v>
      </c>
      <c r="E51" s="50">
        <f t="shared" ref="E51:O51" si="20">MROUND(E50*50/100,50)</f>
        <v>1350</v>
      </c>
      <c r="F51" s="50">
        <f t="shared" si="20"/>
        <v>1200</v>
      </c>
      <c r="G51" s="50">
        <f t="shared" si="20"/>
        <v>1050</v>
      </c>
      <c r="H51" s="50">
        <f t="shared" si="20"/>
        <v>1350</v>
      </c>
      <c r="I51" s="50">
        <f t="shared" si="20"/>
        <v>1250</v>
      </c>
      <c r="J51" s="50">
        <f t="shared" si="20"/>
        <v>1100</v>
      </c>
      <c r="K51" s="50">
        <f t="shared" si="20"/>
        <v>950</v>
      </c>
      <c r="L51" s="50">
        <f t="shared" si="20"/>
        <v>1200</v>
      </c>
      <c r="M51" s="50">
        <f t="shared" si="20"/>
        <v>1100</v>
      </c>
      <c r="N51" s="50">
        <f t="shared" si="20"/>
        <v>950</v>
      </c>
      <c r="O51" s="50">
        <f t="shared" si="20"/>
        <v>850</v>
      </c>
      <c r="P51" s="108"/>
      <c r="Q51" s="113"/>
      <c r="R51" s="113"/>
      <c r="S51" s="9"/>
      <c r="T51" s="9"/>
      <c r="U51" s="9"/>
      <c r="V51" s="9"/>
    </row>
    <row r="52" spans="1:23" s="28" customFormat="1" ht="21.75" x14ac:dyDescent="0.2">
      <c r="A52" s="124" t="s">
        <v>189</v>
      </c>
      <c r="B52" s="107" t="s">
        <v>64</v>
      </c>
      <c r="C52" s="51" t="s">
        <v>14</v>
      </c>
      <c r="D52" s="51">
        <v>5000</v>
      </c>
      <c r="E52" s="51">
        <f>MROUND(D52-(D52*10/100),50)</f>
        <v>4500</v>
      </c>
      <c r="F52" s="51">
        <f>MROUND(D52-(D52*20/100),50)</f>
        <v>4000</v>
      </c>
      <c r="G52" s="51">
        <f>MROUND(D52-(D52*30/100),50)</f>
        <v>3500</v>
      </c>
      <c r="H52" s="51">
        <f>MROUND(D52-(D52*10/100),50)</f>
        <v>4500</v>
      </c>
      <c r="I52" s="51">
        <f>MROUND(H52-(H52*10/100),50)</f>
        <v>4050</v>
      </c>
      <c r="J52" s="51">
        <f>MROUND(H52-(H52*20/100),50)</f>
        <v>3600</v>
      </c>
      <c r="K52" s="51">
        <f>MROUND(H52-(H52*30/100),50)</f>
        <v>3150</v>
      </c>
      <c r="L52" s="51">
        <f>MROUND(D52-(D52*20/100),50)</f>
        <v>4000</v>
      </c>
      <c r="M52" s="51">
        <f>MROUND(L52-(L52*10/100),50)</f>
        <v>3600</v>
      </c>
      <c r="N52" s="51">
        <f>MROUND(L52-(L52*20/100),50)</f>
        <v>3200</v>
      </c>
      <c r="O52" s="51">
        <f>MROUND(L52-(L52*30/100),50)</f>
        <v>2800</v>
      </c>
      <c r="P52" s="107" t="s">
        <v>10</v>
      </c>
      <c r="Q52" s="113" t="s">
        <v>23</v>
      </c>
      <c r="R52" s="113" t="s">
        <v>507</v>
      </c>
      <c r="S52" s="9"/>
      <c r="T52" s="9"/>
      <c r="U52" s="9"/>
      <c r="V52" s="9"/>
    </row>
    <row r="53" spans="1:23" s="28" customFormat="1" ht="61.5" customHeight="1" x14ac:dyDescent="0.2">
      <c r="A53" s="124"/>
      <c r="B53" s="107"/>
      <c r="C53" s="51" t="s">
        <v>15</v>
      </c>
      <c r="D53" s="51">
        <f>D52*50/100</f>
        <v>2500</v>
      </c>
      <c r="E53" s="51">
        <f t="shared" ref="E53:O53" si="21">MROUND(E52*50/100,50)</f>
        <v>2250</v>
      </c>
      <c r="F53" s="51">
        <f t="shared" si="21"/>
        <v>2000</v>
      </c>
      <c r="G53" s="51">
        <f t="shared" si="21"/>
        <v>1750</v>
      </c>
      <c r="H53" s="51">
        <f t="shared" si="21"/>
        <v>2250</v>
      </c>
      <c r="I53" s="51">
        <f t="shared" si="21"/>
        <v>2050</v>
      </c>
      <c r="J53" s="51">
        <f t="shared" si="21"/>
        <v>1800</v>
      </c>
      <c r="K53" s="51">
        <f t="shared" si="21"/>
        <v>1600</v>
      </c>
      <c r="L53" s="51">
        <f t="shared" si="21"/>
        <v>2000</v>
      </c>
      <c r="M53" s="51">
        <f t="shared" si="21"/>
        <v>1800</v>
      </c>
      <c r="N53" s="51">
        <f t="shared" si="21"/>
        <v>1600</v>
      </c>
      <c r="O53" s="51">
        <f t="shared" si="21"/>
        <v>1400</v>
      </c>
      <c r="P53" s="107"/>
      <c r="Q53" s="113"/>
      <c r="R53" s="113"/>
      <c r="S53" s="9"/>
      <c r="T53" s="9"/>
      <c r="U53" s="9"/>
      <c r="V53" s="9"/>
    </row>
    <row r="54" spans="1:23" s="28" customFormat="1" ht="43.5" x14ac:dyDescent="0.2">
      <c r="A54" s="61" t="s">
        <v>190</v>
      </c>
      <c r="B54" s="51" t="s">
        <v>65</v>
      </c>
      <c r="C54" s="34" t="s">
        <v>13</v>
      </c>
      <c r="D54" s="107">
        <v>5000</v>
      </c>
      <c r="E54" s="107">
        <f t="shared" ref="E54" si="22">D54-(D54*10/100)</f>
        <v>4500</v>
      </c>
      <c r="F54" s="107">
        <f t="shared" ref="F54" si="23">D54-(D54*20/100)</f>
        <v>4000</v>
      </c>
      <c r="G54" s="107">
        <f t="shared" ref="G54" si="24">D54-(D54*30/100)</f>
        <v>3500</v>
      </c>
      <c r="H54" s="107">
        <f t="shared" ref="H54" si="25">D54-(D54*20/100)</f>
        <v>4000</v>
      </c>
      <c r="I54" s="107"/>
      <c r="J54" s="107"/>
      <c r="K54" s="107"/>
      <c r="L54" s="107">
        <f t="shared" ref="L54" si="26">D54-(D54*40/100)</f>
        <v>3000</v>
      </c>
      <c r="M54" s="107"/>
      <c r="N54" s="107"/>
      <c r="O54" s="107"/>
      <c r="P54" s="51" t="s">
        <v>9</v>
      </c>
      <c r="Q54" s="52" t="s">
        <v>23</v>
      </c>
      <c r="R54" s="63" t="s">
        <v>507</v>
      </c>
      <c r="S54" s="9"/>
      <c r="T54" s="9"/>
      <c r="U54" s="9"/>
      <c r="V54" s="9"/>
    </row>
    <row r="55" spans="1:23" s="28" customFormat="1" ht="43.5" x14ac:dyDescent="0.2">
      <c r="A55" s="61" t="s">
        <v>191</v>
      </c>
      <c r="B55" s="55" t="s">
        <v>436</v>
      </c>
      <c r="C55" s="34" t="s">
        <v>13</v>
      </c>
      <c r="D55" s="107">
        <v>20000</v>
      </c>
      <c r="E55" s="107">
        <f t="shared" ref="E55" si="27">D55-(D55*10/100)</f>
        <v>18000</v>
      </c>
      <c r="F55" s="107">
        <f t="shared" ref="F55" si="28">D55-(D55*20/100)</f>
        <v>16000</v>
      </c>
      <c r="G55" s="107">
        <f t="shared" ref="G55" si="29">D55-(D55*30/100)</f>
        <v>14000</v>
      </c>
      <c r="H55" s="107">
        <f t="shared" ref="H55" si="30">D55-(D55*20/100)</f>
        <v>16000</v>
      </c>
      <c r="I55" s="107"/>
      <c r="J55" s="107"/>
      <c r="K55" s="107"/>
      <c r="L55" s="107">
        <f t="shared" ref="L55" si="31">D55-(D55*40/100)</f>
        <v>12000</v>
      </c>
      <c r="M55" s="107"/>
      <c r="N55" s="107"/>
      <c r="O55" s="107"/>
      <c r="P55" s="51" t="s">
        <v>9</v>
      </c>
      <c r="Q55" s="52" t="s">
        <v>23</v>
      </c>
      <c r="R55" s="68" t="s">
        <v>508</v>
      </c>
      <c r="S55" s="9"/>
      <c r="T55" s="9"/>
      <c r="U55" s="9"/>
      <c r="V55" s="9"/>
    </row>
    <row r="56" spans="1:23" s="4" customFormat="1" ht="65.25" x14ac:dyDescent="0.2">
      <c r="A56" s="61" t="s">
        <v>192</v>
      </c>
      <c r="B56" s="55" t="s">
        <v>422</v>
      </c>
      <c r="C56" s="34" t="s">
        <v>13</v>
      </c>
      <c r="D56" s="107">
        <v>24000</v>
      </c>
      <c r="E56" s="107">
        <f t="shared" ref="E56" si="32">D56-(D56*10/100)</f>
        <v>21600</v>
      </c>
      <c r="F56" s="107">
        <f t="shared" ref="F56" si="33">D56-(D56*20/100)</f>
        <v>19200</v>
      </c>
      <c r="G56" s="107">
        <f t="shared" ref="G56" si="34">D56-(D56*30/100)</f>
        <v>16800</v>
      </c>
      <c r="H56" s="107">
        <f t="shared" ref="H56" si="35">D56-(D56*20/100)</f>
        <v>19200</v>
      </c>
      <c r="I56" s="107"/>
      <c r="J56" s="107"/>
      <c r="K56" s="107"/>
      <c r="L56" s="107">
        <f t="shared" ref="L56" si="36">D56-(D56*40/100)</f>
        <v>14400</v>
      </c>
      <c r="M56" s="107"/>
      <c r="N56" s="107"/>
      <c r="O56" s="107"/>
      <c r="P56" s="51" t="s">
        <v>9</v>
      </c>
      <c r="Q56" s="52" t="s">
        <v>23</v>
      </c>
      <c r="R56" s="68" t="s">
        <v>508</v>
      </c>
    </row>
    <row r="57" spans="1:23" s="4" customFormat="1" ht="21.75" x14ac:dyDescent="0.2">
      <c r="A57" s="61" t="s">
        <v>193</v>
      </c>
      <c r="B57" s="49" t="s">
        <v>457</v>
      </c>
      <c r="C57" s="51" t="s">
        <v>24</v>
      </c>
      <c r="D57" s="107">
        <v>40000</v>
      </c>
      <c r="E57" s="107">
        <f t="shared" ref="E57" si="37">D57-(D57*10/100)</f>
        <v>36000</v>
      </c>
      <c r="F57" s="107">
        <f t="shared" ref="F57" si="38">D57-(D57*20/100)</f>
        <v>32000</v>
      </c>
      <c r="G57" s="107">
        <f t="shared" ref="G57" si="39">D57-(D57*30/100)</f>
        <v>28000</v>
      </c>
      <c r="H57" s="107">
        <f t="shared" ref="H57" si="40">D57-(D57*20/100)</f>
        <v>32000</v>
      </c>
      <c r="I57" s="107"/>
      <c r="J57" s="107"/>
      <c r="K57" s="107"/>
      <c r="L57" s="107">
        <f t="shared" ref="L57" si="41">D57-(D57*40/100)</f>
        <v>24000</v>
      </c>
      <c r="M57" s="107"/>
      <c r="N57" s="107"/>
      <c r="O57" s="107"/>
      <c r="P57" s="51" t="s">
        <v>9</v>
      </c>
      <c r="Q57" s="49" t="s">
        <v>23</v>
      </c>
      <c r="R57" s="68" t="s">
        <v>508</v>
      </c>
    </row>
    <row r="58" spans="1:23" s="6" customFormat="1" ht="39.950000000000003" customHeight="1" x14ac:dyDescent="0.2">
      <c r="A58" s="61" t="s">
        <v>256</v>
      </c>
      <c r="B58" s="56" t="s">
        <v>101</v>
      </c>
      <c r="C58" s="51" t="s">
        <v>24</v>
      </c>
      <c r="D58" s="107">
        <v>15000</v>
      </c>
      <c r="E58" s="107"/>
      <c r="F58" s="107"/>
      <c r="G58" s="107"/>
      <c r="H58" s="107">
        <v>12000</v>
      </c>
      <c r="I58" s="107"/>
      <c r="J58" s="107"/>
      <c r="K58" s="107"/>
      <c r="L58" s="107">
        <v>9600</v>
      </c>
      <c r="M58" s="107"/>
      <c r="N58" s="107"/>
      <c r="O58" s="107"/>
      <c r="P58" s="51" t="s">
        <v>9</v>
      </c>
      <c r="Q58" s="49" t="s">
        <v>23</v>
      </c>
      <c r="R58" s="68" t="s">
        <v>508</v>
      </c>
    </row>
    <row r="59" spans="1:23" s="21" customFormat="1" ht="39.950000000000003" customHeight="1" x14ac:dyDescent="0.2">
      <c r="A59" s="61" t="s">
        <v>257</v>
      </c>
      <c r="B59" s="51" t="s">
        <v>116</v>
      </c>
      <c r="C59" s="51" t="s">
        <v>24</v>
      </c>
      <c r="D59" s="107">
        <v>5000</v>
      </c>
      <c r="E59" s="107">
        <f t="shared" ref="E59:E60" si="42">D59-(D59*10/100)</f>
        <v>4500</v>
      </c>
      <c r="F59" s="107">
        <f t="shared" ref="F59:F60" si="43">D59-(D59*20/100)</f>
        <v>4000</v>
      </c>
      <c r="G59" s="107">
        <f t="shared" ref="G59:G60" si="44">D59-(D59*30/100)</f>
        <v>3500</v>
      </c>
      <c r="H59" s="107">
        <f>D59-(D59*20/100)</f>
        <v>4000</v>
      </c>
      <c r="I59" s="107"/>
      <c r="J59" s="107"/>
      <c r="K59" s="107"/>
      <c r="L59" s="107">
        <f>D59-(D59*40/100)</f>
        <v>3000</v>
      </c>
      <c r="M59" s="107"/>
      <c r="N59" s="107"/>
      <c r="O59" s="107"/>
      <c r="P59" s="51" t="s">
        <v>9</v>
      </c>
      <c r="Q59" s="43" t="s">
        <v>404</v>
      </c>
      <c r="R59" s="66" t="s">
        <v>505</v>
      </c>
    </row>
    <row r="60" spans="1:23" ht="21.75" customHeight="1" x14ac:dyDescent="0.2">
      <c r="A60" s="61" t="s">
        <v>194</v>
      </c>
      <c r="B60" s="51" t="s">
        <v>129</v>
      </c>
      <c r="C60" s="51" t="s">
        <v>24</v>
      </c>
      <c r="D60" s="107">
        <v>5000</v>
      </c>
      <c r="E60" s="107">
        <f t="shared" si="42"/>
        <v>4500</v>
      </c>
      <c r="F60" s="107">
        <f t="shared" si="43"/>
        <v>4000</v>
      </c>
      <c r="G60" s="107">
        <f t="shared" si="44"/>
        <v>3500</v>
      </c>
      <c r="H60" s="107">
        <f>D60-(D60*20/100)</f>
        <v>4000</v>
      </c>
      <c r="I60" s="107"/>
      <c r="J60" s="107"/>
      <c r="K60" s="107"/>
      <c r="L60" s="107">
        <f>D60-(D60*40/100)</f>
        <v>3000</v>
      </c>
      <c r="M60" s="107"/>
      <c r="N60" s="107"/>
      <c r="O60" s="107"/>
      <c r="P60" s="51" t="s">
        <v>9</v>
      </c>
      <c r="Q60" s="43" t="s">
        <v>404</v>
      </c>
      <c r="R60" s="66" t="s">
        <v>505</v>
      </c>
    </row>
    <row r="61" spans="1:23" ht="21.75" x14ac:dyDescent="0.2">
      <c r="A61" s="124" t="s">
        <v>195</v>
      </c>
      <c r="B61" s="113" t="s">
        <v>423</v>
      </c>
      <c r="C61" s="50" t="s">
        <v>14</v>
      </c>
      <c r="D61" s="50">
        <v>1000</v>
      </c>
      <c r="E61" s="50">
        <f t="shared" ref="E61" si="45">MROUND(D61-(D61*10/100),50)</f>
        <v>900</v>
      </c>
      <c r="F61" s="50">
        <f t="shared" ref="F61" si="46">MROUND(D61-(D61*20/100),50)</f>
        <v>800</v>
      </c>
      <c r="G61" s="50">
        <f t="shared" ref="G61" si="47">MROUND(D61-(D61*30/100),50)</f>
        <v>700</v>
      </c>
      <c r="H61" s="50">
        <f t="shared" ref="H61" si="48">MROUND(D61-(D61*10/100),50)</f>
        <v>900</v>
      </c>
      <c r="I61" s="50">
        <f t="shared" ref="I61" si="49">MROUND(H61-(H61*10/100),50)</f>
        <v>800</v>
      </c>
      <c r="J61" s="50">
        <f t="shared" ref="J61" si="50">MROUND(H61-(H61*20/100),50)</f>
        <v>700</v>
      </c>
      <c r="K61" s="50">
        <f t="shared" ref="K61" si="51">MROUND(H61-(H61*30/100),50)</f>
        <v>650</v>
      </c>
      <c r="L61" s="50">
        <f t="shared" ref="L61" si="52">MROUND(D61-(D61*20/100),50)</f>
        <v>800</v>
      </c>
      <c r="M61" s="50">
        <f t="shared" ref="M61" si="53">MROUND(L61-(L61*10/100),50)</f>
        <v>700</v>
      </c>
      <c r="N61" s="50">
        <f t="shared" ref="N61" si="54">MROUND(L61-(L61*20/100),50)</f>
        <v>650</v>
      </c>
      <c r="O61" s="50">
        <f t="shared" ref="O61" si="55">MROUND(L61-(L61*30/100),50)</f>
        <v>550</v>
      </c>
      <c r="P61" s="108" t="s">
        <v>10</v>
      </c>
      <c r="Q61" s="113" t="s">
        <v>394</v>
      </c>
      <c r="R61" s="113" t="s">
        <v>516</v>
      </c>
    </row>
    <row r="62" spans="1:23" s="16" customFormat="1" ht="41.25" customHeight="1" x14ac:dyDescent="0.2">
      <c r="A62" s="124"/>
      <c r="B62" s="113"/>
      <c r="C62" s="50" t="s">
        <v>15</v>
      </c>
      <c r="D62" s="50">
        <f t="shared" ref="D62" si="56">D61*50/100</f>
        <v>500</v>
      </c>
      <c r="E62" s="50">
        <f t="shared" ref="E62:O62" si="57">MROUND(E61*50/100,50)</f>
        <v>450</v>
      </c>
      <c r="F62" s="50">
        <f t="shared" si="57"/>
        <v>400</v>
      </c>
      <c r="G62" s="50">
        <f t="shared" si="57"/>
        <v>350</v>
      </c>
      <c r="H62" s="50">
        <f t="shared" si="57"/>
        <v>450</v>
      </c>
      <c r="I62" s="50">
        <f t="shared" si="57"/>
        <v>400</v>
      </c>
      <c r="J62" s="50">
        <f t="shared" si="57"/>
        <v>350</v>
      </c>
      <c r="K62" s="50">
        <f t="shared" si="57"/>
        <v>350</v>
      </c>
      <c r="L62" s="50">
        <f t="shared" si="57"/>
        <v>400</v>
      </c>
      <c r="M62" s="50">
        <f t="shared" si="57"/>
        <v>350</v>
      </c>
      <c r="N62" s="50">
        <f t="shared" si="57"/>
        <v>350</v>
      </c>
      <c r="O62" s="50">
        <f t="shared" si="57"/>
        <v>300</v>
      </c>
      <c r="P62" s="108"/>
      <c r="Q62" s="113"/>
      <c r="R62" s="113"/>
      <c r="S62" s="23"/>
      <c r="T62" s="23"/>
      <c r="U62" s="23"/>
      <c r="V62" s="23"/>
      <c r="W62" s="23"/>
    </row>
    <row r="63" spans="1:23" ht="39.75" customHeight="1" x14ac:dyDescent="0.2">
      <c r="A63" s="61" t="s">
        <v>196</v>
      </c>
      <c r="B63" s="51" t="s">
        <v>74</v>
      </c>
      <c r="C63" s="59" t="s">
        <v>24</v>
      </c>
      <c r="D63" s="107">
        <v>20000</v>
      </c>
      <c r="E63" s="107">
        <f t="shared" ref="E63" si="58">D63-(D63*10/100)</f>
        <v>18000</v>
      </c>
      <c r="F63" s="107">
        <f t="shared" ref="F63" si="59">D63-(D63*20/100)</f>
        <v>16000</v>
      </c>
      <c r="G63" s="107">
        <f t="shared" ref="G63" si="60">D63-(D63*30/100)</f>
        <v>14000</v>
      </c>
      <c r="H63" s="107">
        <f>D63-(D63*20/100)</f>
        <v>16000</v>
      </c>
      <c r="I63" s="107"/>
      <c r="J63" s="107"/>
      <c r="K63" s="107"/>
      <c r="L63" s="107">
        <f>D63-(D63*40/100)</f>
        <v>12000</v>
      </c>
      <c r="M63" s="107"/>
      <c r="N63" s="107"/>
      <c r="O63" s="107"/>
      <c r="P63" s="50" t="s">
        <v>9</v>
      </c>
      <c r="Q63" s="52" t="s">
        <v>23</v>
      </c>
      <c r="R63" s="63" t="s">
        <v>505</v>
      </c>
    </row>
    <row r="64" spans="1:23" s="16" customFormat="1" ht="18" customHeight="1" x14ac:dyDescent="0.2">
      <c r="A64" s="61" t="s">
        <v>197</v>
      </c>
      <c r="B64" s="42" t="s">
        <v>424</v>
      </c>
      <c r="C64" s="37" t="s">
        <v>13</v>
      </c>
      <c r="D64" s="107">
        <v>10000</v>
      </c>
      <c r="E64" s="107">
        <f t="shared" ref="E64" si="61">D64-(D64*10/100)</f>
        <v>9000</v>
      </c>
      <c r="F64" s="107">
        <f t="shared" ref="F64" si="62">D64-(D64*20/100)</f>
        <v>8000</v>
      </c>
      <c r="G64" s="107">
        <f t="shared" ref="G64" si="63">D64-(D64*30/100)</f>
        <v>7000</v>
      </c>
      <c r="H64" s="107">
        <f>D64-(D64*20/100)</f>
        <v>8000</v>
      </c>
      <c r="I64" s="107"/>
      <c r="J64" s="107"/>
      <c r="K64" s="107"/>
      <c r="L64" s="107">
        <f>D64-(D64*40/100)</f>
        <v>6000</v>
      </c>
      <c r="M64" s="107"/>
      <c r="N64" s="107"/>
      <c r="O64" s="107"/>
      <c r="P64" s="50" t="s">
        <v>9</v>
      </c>
      <c r="Q64" s="52" t="s">
        <v>23</v>
      </c>
      <c r="R64" s="63" t="s">
        <v>505</v>
      </c>
      <c r="S64" s="23"/>
      <c r="T64" s="23"/>
      <c r="U64" s="23"/>
      <c r="V64" s="23"/>
      <c r="W64" s="23"/>
    </row>
    <row r="65" spans="1:23" s="16" customFormat="1" ht="18" customHeight="1" x14ac:dyDescent="0.2">
      <c r="A65" s="124" t="s">
        <v>198</v>
      </c>
      <c r="B65" s="108" t="s">
        <v>26</v>
      </c>
      <c r="C65" s="50" t="s">
        <v>14</v>
      </c>
      <c r="D65" s="50">
        <v>5000</v>
      </c>
      <c r="E65" s="50">
        <f>MROUND(D65-(D65*10/100),50)</f>
        <v>4500</v>
      </c>
      <c r="F65" s="50">
        <f>MROUND(D65-(D65*20/100),50)</f>
        <v>4000</v>
      </c>
      <c r="G65" s="50">
        <f>MROUND(D65-(D65*30/100),50)</f>
        <v>3500</v>
      </c>
      <c r="H65" s="50">
        <f>MROUND(D65-(D65*10/100),50)</f>
        <v>4500</v>
      </c>
      <c r="I65" s="50">
        <f>MROUND(H65-(H65*10/100),50)</f>
        <v>4050</v>
      </c>
      <c r="J65" s="50">
        <f>MROUND(H65-(H65*20/100),50)</f>
        <v>3600</v>
      </c>
      <c r="K65" s="50">
        <f>MROUND(H65-(H65*30/100),50)</f>
        <v>3150</v>
      </c>
      <c r="L65" s="50">
        <f>MROUND(D65-(D65*20/100),50)</f>
        <v>4000</v>
      </c>
      <c r="M65" s="50">
        <f>MROUND(L65-(L65*10/100),50)</f>
        <v>3600</v>
      </c>
      <c r="N65" s="50">
        <f>MROUND(L65-(L65*20/100),50)</f>
        <v>3200</v>
      </c>
      <c r="O65" s="50">
        <f>MROUND(L65-(L65*30/100),50)</f>
        <v>2800</v>
      </c>
      <c r="P65" s="108" t="s">
        <v>10</v>
      </c>
      <c r="Q65" s="112" t="s">
        <v>23</v>
      </c>
      <c r="R65" s="112" t="s">
        <v>505</v>
      </c>
      <c r="S65" s="23"/>
      <c r="T65" s="23"/>
      <c r="U65" s="23"/>
      <c r="V65" s="23"/>
      <c r="W65" s="23"/>
    </row>
    <row r="66" spans="1:23" s="4" customFormat="1" ht="18" customHeight="1" x14ac:dyDescent="0.2">
      <c r="A66" s="124"/>
      <c r="B66" s="108"/>
      <c r="C66" s="50" t="s">
        <v>16</v>
      </c>
      <c r="D66" s="50">
        <f t="shared" ref="D66" si="64">D65*50/100</f>
        <v>2500</v>
      </c>
      <c r="E66" s="51">
        <f t="shared" ref="E66:O66" si="65">MROUND(E65*50/100,50)</f>
        <v>2250</v>
      </c>
      <c r="F66" s="51">
        <f t="shared" si="65"/>
        <v>2000</v>
      </c>
      <c r="G66" s="51">
        <f t="shared" si="65"/>
        <v>1750</v>
      </c>
      <c r="H66" s="51">
        <f t="shared" si="65"/>
        <v>2250</v>
      </c>
      <c r="I66" s="51">
        <f t="shared" si="65"/>
        <v>2050</v>
      </c>
      <c r="J66" s="51">
        <f t="shared" si="65"/>
        <v>1800</v>
      </c>
      <c r="K66" s="51">
        <f t="shared" si="65"/>
        <v>1600</v>
      </c>
      <c r="L66" s="51">
        <f t="shared" si="65"/>
        <v>2000</v>
      </c>
      <c r="M66" s="51">
        <f t="shared" si="65"/>
        <v>1800</v>
      </c>
      <c r="N66" s="51">
        <f t="shared" si="65"/>
        <v>1600</v>
      </c>
      <c r="O66" s="51">
        <f t="shared" si="65"/>
        <v>1400</v>
      </c>
      <c r="P66" s="108"/>
      <c r="Q66" s="112"/>
      <c r="R66" s="112"/>
    </row>
    <row r="67" spans="1:23" s="4" customFormat="1" ht="21.75" x14ac:dyDescent="0.2">
      <c r="A67" s="124" t="s">
        <v>199</v>
      </c>
      <c r="B67" s="123" t="s">
        <v>425</v>
      </c>
      <c r="C67" s="51" t="s">
        <v>14</v>
      </c>
      <c r="D67" s="51">
        <v>5000</v>
      </c>
      <c r="E67" s="51">
        <f>MROUND(D67-(D67*10/100),50)</f>
        <v>4500</v>
      </c>
      <c r="F67" s="51">
        <f>MROUND(D67-(D67*20/100),50)</f>
        <v>4000</v>
      </c>
      <c r="G67" s="51">
        <f>MROUND(D67-(D67*30/100),50)</f>
        <v>3500</v>
      </c>
      <c r="H67" s="51">
        <f>MROUND(D67-(D67*10/100),50)</f>
        <v>4500</v>
      </c>
      <c r="I67" s="51">
        <f>MROUND(H67-(H67*10/100),50)</f>
        <v>4050</v>
      </c>
      <c r="J67" s="51">
        <f>MROUND(H67-(H67*20/100),50)</f>
        <v>3600</v>
      </c>
      <c r="K67" s="51">
        <f>MROUND(H67-(H67*30/100),50)</f>
        <v>3150</v>
      </c>
      <c r="L67" s="51">
        <f>MROUND(D67-(D67*20/100),50)</f>
        <v>4000</v>
      </c>
      <c r="M67" s="51">
        <f>MROUND(L67-(L67*10/100),50)</f>
        <v>3600</v>
      </c>
      <c r="N67" s="51">
        <f>MROUND(L67-(L67*20/100),50)</f>
        <v>3200</v>
      </c>
      <c r="O67" s="51">
        <f>MROUND(L67-(L67*30/100),50)</f>
        <v>2800</v>
      </c>
      <c r="P67" s="107" t="s">
        <v>10</v>
      </c>
      <c r="Q67" s="113" t="s">
        <v>23</v>
      </c>
      <c r="R67" s="113" t="s">
        <v>505</v>
      </c>
    </row>
    <row r="68" spans="1:23" s="4" customFormat="1" ht="42" customHeight="1" x14ac:dyDescent="0.2">
      <c r="A68" s="124"/>
      <c r="B68" s="123"/>
      <c r="C68" s="51" t="s">
        <v>16</v>
      </c>
      <c r="D68" s="51">
        <f t="shared" ref="D68" si="66">D67*50/100</f>
        <v>2500</v>
      </c>
      <c r="E68" s="51">
        <f t="shared" ref="E68:O68" si="67">MROUND(E67*50/100,50)</f>
        <v>2250</v>
      </c>
      <c r="F68" s="51">
        <f t="shared" si="67"/>
        <v>2000</v>
      </c>
      <c r="G68" s="51">
        <f t="shared" si="67"/>
        <v>1750</v>
      </c>
      <c r="H68" s="51">
        <f t="shared" si="67"/>
        <v>2250</v>
      </c>
      <c r="I68" s="51">
        <f t="shared" si="67"/>
        <v>2050</v>
      </c>
      <c r="J68" s="51">
        <f t="shared" si="67"/>
        <v>1800</v>
      </c>
      <c r="K68" s="51">
        <f t="shared" si="67"/>
        <v>1600</v>
      </c>
      <c r="L68" s="51">
        <f t="shared" si="67"/>
        <v>2000</v>
      </c>
      <c r="M68" s="51">
        <f t="shared" si="67"/>
        <v>1800</v>
      </c>
      <c r="N68" s="51">
        <f t="shared" si="67"/>
        <v>1600</v>
      </c>
      <c r="O68" s="51">
        <f t="shared" si="67"/>
        <v>1400</v>
      </c>
      <c r="P68" s="107"/>
      <c r="Q68" s="113"/>
      <c r="R68" s="113"/>
    </row>
    <row r="69" spans="1:23" s="6" customFormat="1" ht="18" customHeight="1" x14ac:dyDescent="0.2">
      <c r="A69" s="61" t="s">
        <v>200</v>
      </c>
      <c r="B69" s="49" t="s">
        <v>473</v>
      </c>
      <c r="C69" s="37" t="s">
        <v>13</v>
      </c>
      <c r="D69" s="107">
        <v>5000</v>
      </c>
      <c r="E69" s="107"/>
      <c r="F69" s="107"/>
      <c r="G69" s="107"/>
      <c r="H69" s="107">
        <f>D69-(D69*20/100)</f>
        <v>4000</v>
      </c>
      <c r="I69" s="107"/>
      <c r="J69" s="107"/>
      <c r="K69" s="107"/>
      <c r="L69" s="107">
        <f>D69-(D69*40/100)</f>
        <v>3000</v>
      </c>
      <c r="M69" s="107"/>
      <c r="N69" s="107"/>
      <c r="O69" s="107"/>
      <c r="P69" s="50" t="s">
        <v>9</v>
      </c>
      <c r="Q69" s="49" t="s">
        <v>445</v>
      </c>
      <c r="R69" s="49" t="s">
        <v>509</v>
      </c>
    </row>
    <row r="70" spans="1:23" s="6" customFormat="1" ht="40.5" customHeight="1" x14ac:dyDescent="0.2">
      <c r="A70" s="124" t="s">
        <v>201</v>
      </c>
      <c r="B70" s="113" t="s">
        <v>137</v>
      </c>
      <c r="C70" s="51" t="s">
        <v>14</v>
      </c>
      <c r="D70" s="51">
        <v>5000</v>
      </c>
      <c r="E70" s="51">
        <f>MROUND(D70-(D70*10/100),50)</f>
        <v>4500</v>
      </c>
      <c r="F70" s="51">
        <f>MROUND(D70-(D70*20/100),50)</f>
        <v>4000</v>
      </c>
      <c r="G70" s="51">
        <f>MROUND(D70-(D70*30/100),50)</f>
        <v>3500</v>
      </c>
      <c r="H70" s="51">
        <f>MROUND(D70-(D70*10/100),50)</f>
        <v>4500</v>
      </c>
      <c r="I70" s="51">
        <f>MROUND(H70-(H70*10/100),50)</f>
        <v>4050</v>
      </c>
      <c r="J70" s="51">
        <f>MROUND(H70-(H70*20/100),50)</f>
        <v>3600</v>
      </c>
      <c r="K70" s="51">
        <f>MROUND(H70-(H70*30/100),50)</f>
        <v>3150</v>
      </c>
      <c r="L70" s="51">
        <f>MROUND(D70-(D70*20/100),50)</f>
        <v>4000</v>
      </c>
      <c r="M70" s="51">
        <f>MROUND(L70-(L70*10/100),50)</f>
        <v>3600</v>
      </c>
      <c r="N70" s="51">
        <f>MROUND(L70-(L70*20/100),50)</f>
        <v>3200</v>
      </c>
      <c r="O70" s="51">
        <f>MROUND(L70-(L70*30/100),50)</f>
        <v>2800</v>
      </c>
      <c r="P70" s="107" t="s">
        <v>10</v>
      </c>
      <c r="Q70" s="113" t="s">
        <v>23</v>
      </c>
      <c r="R70" s="113" t="s">
        <v>509</v>
      </c>
    </row>
    <row r="71" spans="1:23" s="4" customFormat="1" ht="21.75" customHeight="1" x14ac:dyDescent="0.2">
      <c r="A71" s="124"/>
      <c r="B71" s="113"/>
      <c r="C71" s="51" t="s">
        <v>16</v>
      </c>
      <c r="D71" s="51">
        <f t="shared" ref="D71" si="68">D70*50/100</f>
        <v>2500</v>
      </c>
      <c r="E71" s="51">
        <f t="shared" ref="E71:O71" si="69">MROUND(E70*50/100,50)</f>
        <v>2250</v>
      </c>
      <c r="F71" s="51">
        <f t="shared" si="69"/>
        <v>2000</v>
      </c>
      <c r="G71" s="51">
        <f t="shared" si="69"/>
        <v>1750</v>
      </c>
      <c r="H71" s="51">
        <f t="shared" si="69"/>
        <v>2250</v>
      </c>
      <c r="I71" s="51">
        <f t="shared" si="69"/>
        <v>2050</v>
      </c>
      <c r="J71" s="51">
        <f t="shared" si="69"/>
        <v>1800</v>
      </c>
      <c r="K71" s="51">
        <f t="shared" si="69"/>
        <v>1600</v>
      </c>
      <c r="L71" s="51">
        <f t="shared" si="69"/>
        <v>2000</v>
      </c>
      <c r="M71" s="51">
        <f t="shared" si="69"/>
        <v>1800</v>
      </c>
      <c r="N71" s="51">
        <f t="shared" si="69"/>
        <v>1600</v>
      </c>
      <c r="O71" s="51">
        <f t="shared" si="69"/>
        <v>1400</v>
      </c>
      <c r="P71" s="107"/>
      <c r="Q71" s="113"/>
      <c r="R71" s="113"/>
    </row>
    <row r="72" spans="1:23" s="4" customFormat="1" ht="21.75" x14ac:dyDescent="0.2">
      <c r="A72" s="124" t="s">
        <v>202</v>
      </c>
      <c r="B72" s="113" t="s">
        <v>103</v>
      </c>
      <c r="C72" s="50" t="s">
        <v>14</v>
      </c>
      <c r="D72" s="51">
        <v>4000</v>
      </c>
      <c r="E72" s="50">
        <f>MROUND(D72-(D72*10/100),50)</f>
        <v>3600</v>
      </c>
      <c r="F72" s="50">
        <f>MROUND(D72-(D72*20/100),50)</f>
        <v>3200</v>
      </c>
      <c r="G72" s="50">
        <f>MROUND(D72-(D72*30/100),50)</f>
        <v>2800</v>
      </c>
      <c r="H72" s="50">
        <f>MROUND(D72-(D72*10/100),50)</f>
        <v>3600</v>
      </c>
      <c r="I72" s="50">
        <f>MROUND(H72-(H72*10/100),50)</f>
        <v>3250</v>
      </c>
      <c r="J72" s="50">
        <f>MROUND(H72-(H72*20/100),50)</f>
        <v>2900</v>
      </c>
      <c r="K72" s="50">
        <f>MROUND(H72-(H72*30/100),50)</f>
        <v>2500</v>
      </c>
      <c r="L72" s="50">
        <f>MROUND(D72-(D72*20/100),50)</f>
        <v>3200</v>
      </c>
      <c r="M72" s="50">
        <f>MROUND(L72-(L72*10/100),50)</f>
        <v>2900</v>
      </c>
      <c r="N72" s="50">
        <f>MROUND(L72-(L72*20/100),50)</f>
        <v>2550</v>
      </c>
      <c r="O72" s="50">
        <f>MROUND(L72-(L72*30/100),50)</f>
        <v>2250</v>
      </c>
      <c r="P72" s="108" t="s">
        <v>10</v>
      </c>
      <c r="Q72" s="112" t="s">
        <v>405</v>
      </c>
      <c r="R72" s="113" t="s">
        <v>505</v>
      </c>
    </row>
    <row r="73" spans="1:23" s="6" customFormat="1" ht="21.75" x14ac:dyDescent="0.2">
      <c r="A73" s="124"/>
      <c r="B73" s="113"/>
      <c r="C73" s="50" t="s">
        <v>16</v>
      </c>
      <c r="D73" s="50">
        <f>D72*50/100</f>
        <v>2000</v>
      </c>
      <c r="E73" s="50">
        <f t="shared" ref="E73:O73" si="70">MROUND(E72*50/100,50)</f>
        <v>1800</v>
      </c>
      <c r="F73" s="50">
        <f t="shared" si="70"/>
        <v>1600</v>
      </c>
      <c r="G73" s="50">
        <f t="shared" si="70"/>
        <v>1400</v>
      </c>
      <c r="H73" s="50">
        <f t="shared" si="70"/>
        <v>1800</v>
      </c>
      <c r="I73" s="50">
        <f t="shared" si="70"/>
        <v>1650</v>
      </c>
      <c r="J73" s="50">
        <f t="shared" si="70"/>
        <v>1450</v>
      </c>
      <c r="K73" s="50">
        <f t="shared" si="70"/>
        <v>1250</v>
      </c>
      <c r="L73" s="50">
        <f t="shared" si="70"/>
        <v>1600</v>
      </c>
      <c r="M73" s="50">
        <f t="shared" si="70"/>
        <v>1450</v>
      </c>
      <c r="N73" s="50">
        <f t="shared" si="70"/>
        <v>1300</v>
      </c>
      <c r="O73" s="50">
        <f t="shared" si="70"/>
        <v>1150</v>
      </c>
      <c r="P73" s="108"/>
      <c r="Q73" s="112"/>
      <c r="R73" s="113"/>
    </row>
    <row r="74" spans="1:23" s="6" customFormat="1" ht="21.75" customHeight="1" x14ac:dyDescent="0.2">
      <c r="A74" s="124" t="s">
        <v>255</v>
      </c>
      <c r="B74" s="113" t="s">
        <v>104</v>
      </c>
      <c r="C74" s="51" t="s">
        <v>14</v>
      </c>
      <c r="D74" s="51">
        <v>5000</v>
      </c>
      <c r="E74" s="51">
        <f>MROUND(D74-(D74*10/100),50)</f>
        <v>4500</v>
      </c>
      <c r="F74" s="51">
        <f>MROUND(D74-(D74*20/100),50)</f>
        <v>4000</v>
      </c>
      <c r="G74" s="51">
        <f>MROUND(D74-(D74*30/100),50)</f>
        <v>3500</v>
      </c>
      <c r="H74" s="51">
        <f>MROUND(D74-(D74*10/100),50)</f>
        <v>4500</v>
      </c>
      <c r="I74" s="51">
        <f>MROUND(H74-(H74*10/100),50)</f>
        <v>4050</v>
      </c>
      <c r="J74" s="51">
        <f>MROUND(H74-(H74*20/100),50)</f>
        <v>3600</v>
      </c>
      <c r="K74" s="51">
        <f>MROUND(H74-(H74*30/100),50)</f>
        <v>3150</v>
      </c>
      <c r="L74" s="51">
        <f>MROUND(D74-(D74*20/100),50)</f>
        <v>4000</v>
      </c>
      <c r="M74" s="51">
        <f>MROUND(L74-(L74*10/100),50)</f>
        <v>3600</v>
      </c>
      <c r="N74" s="51">
        <f>MROUND(L74-(L74*20/100),50)</f>
        <v>3200</v>
      </c>
      <c r="O74" s="51">
        <f>MROUND(L74-(L74*30/100),50)</f>
        <v>2800</v>
      </c>
      <c r="P74" s="107" t="s">
        <v>10</v>
      </c>
      <c r="Q74" s="112" t="s">
        <v>396</v>
      </c>
      <c r="R74" s="110" t="s">
        <v>505</v>
      </c>
    </row>
    <row r="75" spans="1:23" s="6" customFormat="1" ht="21.75" x14ac:dyDescent="0.2">
      <c r="A75" s="124"/>
      <c r="B75" s="113"/>
      <c r="C75" s="51" t="s">
        <v>16</v>
      </c>
      <c r="D75" s="51">
        <f t="shared" ref="D75" si="71">D74*50/100</f>
        <v>2500</v>
      </c>
      <c r="E75" s="51">
        <f t="shared" ref="E75:O75" si="72">MROUND(E74*50/100,50)</f>
        <v>2250</v>
      </c>
      <c r="F75" s="51">
        <f t="shared" si="72"/>
        <v>2000</v>
      </c>
      <c r="G75" s="51">
        <f t="shared" si="72"/>
        <v>1750</v>
      </c>
      <c r="H75" s="51">
        <f t="shared" si="72"/>
        <v>2250</v>
      </c>
      <c r="I75" s="51">
        <f t="shared" si="72"/>
        <v>2050</v>
      </c>
      <c r="J75" s="51">
        <f t="shared" si="72"/>
        <v>1800</v>
      </c>
      <c r="K75" s="51">
        <f t="shared" si="72"/>
        <v>1600</v>
      </c>
      <c r="L75" s="51">
        <f t="shared" si="72"/>
        <v>2000</v>
      </c>
      <c r="M75" s="51">
        <f t="shared" si="72"/>
        <v>1800</v>
      </c>
      <c r="N75" s="51">
        <f t="shared" si="72"/>
        <v>1600</v>
      </c>
      <c r="O75" s="51">
        <f t="shared" si="72"/>
        <v>1400</v>
      </c>
      <c r="P75" s="107"/>
      <c r="Q75" s="112"/>
      <c r="R75" s="111"/>
    </row>
    <row r="76" spans="1:23" s="4" customFormat="1" ht="43.5" x14ac:dyDescent="0.2">
      <c r="A76" s="61" t="s">
        <v>203</v>
      </c>
      <c r="B76" s="49" t="s">
        <v>389</v>
      </c>
      <c r="C76" s="59" t="s">
        <v>24</v>
      </c>
      <c r="D76" s="107">
        <v>5000</v>
      </c>
      <c r="E76" s="107"/>
      <c r="F76" s="107"/>
      <c r="G76" s="107"/>
      <c r="H76" s="107">
        <f>D76-(D76*20/100)</f>
        <v>4000</v>
      </c>
      <c r="I76" s="107"/>
      <c r="J76" s="107"/>
      <c r="K76" s="107"/>
      <c r="L76" s="107">
        <f>D76-(D76*40/100)</f>
        <v>3000</v>
      </c>
      <c r="M76" s="107"/>
      <c r="N76" s="107"/>
      <c r="O76" s="107"/>
      <c r="P76" s="50" t="s">
        <v>9</v>
      </c>
      <c r="Q76" s="52" t="s">
        <v>23</v>
      </c>
      <c r="R76" s="52" t="s">
        <v>505</v>
      </c>
    </row>
    <row r="77" spans="1:23" s="4" customFormat="1" ht="21.75" x14ac:dyDescent="0.2">
      <c r="A77" s="124" t="s">
        <v>204</v>
      </c>
      <c r="B77" s="113" t="s">
        <v>105</v>
      </c>
      <c r="C77" s="50" t="s">
        <v>14</v>
      </c>
      <c r="D77" s="50">
        <v>3000</v>
      </c>
      <c r="E77" s="50">
        <f>MROUND(D77-(D77*10/100),50)</f>
        <v>2700</v>
      </c>
      <c r="F77" s="50">
        <f>MROUND(D77-(D77*20/100),50)</f>
        <v>2400</v>
      </c>
      <c r="G77" s="50">
        <f>MROUND(D77-(D77*30/100),50)</f>
        <v>2100</v>
      </c>
      <c r="H77" s="50">
        <f>MROUND(D77-(D77*10/100),50)</f>
        <v>2700</v>
      </c>
      <c r="I77" s="50">
        <f>MROUND(H77-(H77*10/100),50)</f>
        <v>2450</v>
      </c>
      <c r="J77" s="50">
        <f>MROUND(H77-(H77*20/100),50)</f>
        <v>2150</v>
      </c>
      <c r="K77" s="50">
        <f>MROUND(H77-(H77*30/100),50)</f>
        <v>1900</v>
      </c>
      <c r="L77" s="50">
        <f>MROUND(D77-(D77*20/100),50)</f>
        <v>2400</v>
      </c>
      <c r="M77" s="50">
        <f>MROUND(L77-(L77*10/100),50)</f>
        <v>2150</v>
      </c>
      <c r="N77" s="50">
        <f>MROUND(L77-(L77*20/100),50)</f>
        <v>1900</v>
      </c>
      <c r="O77" s="50">
        <f>MROUND(L77-(L77*30/100),50)</f>
        <v>1700</v>
      </c>
      <c r="P77" s="108" t="s">
        <v>10</v>
      </c>
      <c r="Q77" s="112" t="s">
        <v>406</v>
      </c>
      <c r="R77" s="110" t="s">
        <v>512</v>
      </c>
    </row>
    <row r="78" spans="1:23" s="4" customFormat="1" ht="21.75" x14ac:dyDescent="0.2">
      <c r="A78" s="124"/>
      <c r="B78" s="113"/>
      <c r="C78" s="50" t="s">
        <v>16</v>
      </c>
      <c r="D78" s="50">
        <f>D77*50/100</f>
        <v>1500</v>
      </c>
      <c r="E78" s="51">
        <f t="shared" ref="E78:O78" si="73">MROUND(E77*50/100,50)</f>
        <v>1350</v>
      </c>
      <c r="F78" s="51">
        <f t="shared" si="73"/>
        <v>1200</v>
      </c>
      <c r="G78" s="51">
        <f t="shared" si="73"/>
        <v>1050</v>
      </c>
      <c r="H78" s="51">
        <f t="shared" si="73"/>
        <v>1350</v>
      </c>
      <c r="I78" s="51">
        <f t="shared" si="73"/>
        <v>1250</v>
      </c>
      <c r="J78" s="51">
        <f t="shared" si="73"/>
        <v>1100</v>
      </c>
      <c r="K78" s="51">
        <f t="shared" si="73"/>
        <v>950</v>
      </c>
      <c r="L78" s="51">
        <f t="shared" si="73"/>
        <v>1200</v>
      </c>
      <c r="M78" s="51">
        <f t="shared" si="73"/>
        <v>1100</v>
      </c>
      <c r="N78" s="51">
        <f t="shared" si="73"/>
        <v>950</v>
      </c>
      <c r="O78" s="51">
        <f t="shared" si="73"/>
        <v>850</v>
      </c>
      <c r="P78" s="108"/>
      <c r="Q78" s="112"/>
      <c r="R78" s="111"/>
    </row>
    <row r="79" spans="1:23" s="4" customFormat="1" ht="21.75" x14ac:dyDescent="0.2">
      <c r="A79" s="124" t="s">
        <v>205</v>
      </c>
      <c r="B79" s="113" t="s">
        <v>106</v>
      </c>
      <c r="C79" s="50" t="s">
        <v>14</v>
      </c>
      <c r="D79" s="50">
        <v>2000</v>
      </c>
      <c r="E79" s="50">
        <f>MROUND(D79-(D79*10/100),50)</f>
        <v>1800</v>
      </c>
      <c r="F79" s="50">
        <f>MROUND(D79-(D79*20/100),50)</f>
        <v>1600</v>
      </c>
      <c r="G79" s="50">
        <f>MROUND(D79-(D79*30/100),50)</f>
        <v>1400</v>
      </c>
      <c r="H79" s="50">
        <f>MROUND(D79-(D79*10/100),50)</f>
        <v>1800</v>
      </c>
      <c r="I79" s="50">
        <f>MROUND(H79-(H79*10/100),50)</f>
        <v>1600</v>
      </c>
      <c r="J79" s="50">
        <f>MROUND(H79-(H79*20/100),50)</f>
        <v>1450</v>
      </c>
      <c r="K79" s="50">
        <f>MROUND(H79-(H79*30/100),50)</f>
        <v>1250</v>
      </c>
      <c r="L79" s="50">
        <f>MROUND(D79-(D79*20/100),50)</f>
        <v>1600</v>
      </c>
      <c r="M79" s="50">
        <f>MROUND(L79-(L79*10/100),50)</f>
        <v>1450</v>
      </c>
      <c r="N79" s="50">
        <f>MROUND(L79-(L79*20/100),50)</f>
        <v>1300</v>
      </c>
      <c r="O79" s="50">
        <f>MROUND(L79-(L79*30/100),50)</f>
        <v>1100</v>
      </c>
      <c r="P79" s="108" t="s">
        <v>10</v>
      </c>
      <c r="Q79" s="112" t="s">
        <v>407</v>
      </c>
      <c r="R79" s="110" t="s">
        <v>509</v>
      </c>
    </row>
    <row r="80" spans="1:23" s="6" customFormat="1" ht="21.75" x14ac:dyDescent="0.2">
      <c r="A80" s="124"/>
      <c r="B80" s="113"/>
      <c r="C80" s="50" t="s">
        <v>16</v>
      </c>
      <c r="D80" s="50">
        <f>D79*50/100</f>
        <v>1000</v>
      </c>
      <c r="E80" s="51">
        <f t="shared" ref="E80:O80" si="74">MROUND(E79*50/100,50)</f>
        <v>900</v>
      </c>
      <c r="F80" s="51">
        <f t="shared" si="74"/>
        <v>800</v>
      </c>
      <c r="G80" s="51">
        <f t="shared" si="74"/>
        <v>700</v>
      </c>
      <c r="H80" s="51">
        <f t="shared" si="74"/>
        <v>900</v>
      </c>
      <c r="I80" s="51">
        <f t="shared" si="74"/>
        <v>800</v>
      </c>
      <c r="J80" s="51">
        <f t="shared" si="74"/>
        <v>750</v>
      </c>
      <c r="K80" s="51">
        <f t="shared" si="74"/>
        <v>650</v>
      </c>
      <c r="L80" s="51">
        <f t="shared" si="74"/>
        <v>800</v>
      </c>
      <c r="M80" s="51">
        <f t="shared" si="74"/>
        <v>750</v>
      </c>
      <c r="N80" s="51">
        <f t="shared" si="74"/>
        <v>650</v>
      </c>
      <c r="O80" s="51">
        <f t="shared" si="74"/>
        <v>550</v>
      </c>
      <c r="P80" s="108"/>
      <c r="Q80" s="112"/>
      <c r="R80" s="111"/>
    </row>
    <row r="81" spans="1:24" s="6" customFormat="1" ht="35.25" customHeight="1" x14ac:dyDescent="0.2">
      <c r="A81" s="124" t="s">
        <v>206</v>
      </c>
      <c r="B81" s="113" t="s">
        <v>107</v>
      </c>
      <c r="C81" s="51" t="s">
        <v>14</v>
      </c>
      <c r="D81" s="51">
        <v>3000</v>
      </c>
      <c r="E81" s="51">
        <f>MROUND(D81-(D81*10/100),50)</f>
        <v>2700</v>
      </c>
      <c r="F81" s="51">
        <f>MROUND(D81-(D81*20/100),50)</f>
        <v>2400</v>
      </c>
      <c r="G81" s="51">
        <f>MROUND(D81-(D81*30/100),50)</f>
        <v>2100</v>
      </c>
      <c r="H81" s="51">
        <f>MROUND(D81-(D81*10/100),50)</f>
        <v>2700</v>
      </c>
      <c r="I81" s="51">
        <f>MROUND(H81-(H81*10/100),50)</f>
        <v>2450</v>
      </c>
      <c r="J81" s="51">
        <f>MROUND(H81-(H81*20/100),50)</f>
        <v>2150</v>
      </c>
      <c r="K81" s="51">
        <f>MROUND(H81-(H81*30/100),50)</f>
        <v>1900</v>
      </c>
      <c r="L81" s="51">
        <f>MROUND(D81-(D81*20/100),50)</f>
        <v>2400</v>
      </c>
      <c r="M81" s="51">
        <f>MROUND(L81-(L81*10/100),50)</f>
        <v>2150</v>
      </c>
      <c r="N81" s="51">
        <f>MROUND(L81-(L81*20/100),50)</f>
        <v>1900</v>
      </c>
      <c r="O81" s="51">
        <f>MROUND(L81-(L81*30/100),50)</f>
        <v>1700</v>
      </c>
      <c r="P81" s="107" t="s">
        <v>10</v>
      </c>
      <c r="Q81" s="112" t="s">
        <v>406</v>
      </c>
      <c r="R81" s="112" t="s">
        <v>505</v>
      </c>
    </row>
    <row r="82" spans="1:24" s="13" customFormat="1" ht="21.75" x14ac:dyDescent="0.2">
      <c r="A82" s="124"/>
      <c r="B82" s="113"/>
      <c r="C82" s="51" t="s">
        <v>16</v>
      </c>
      <c r="D82" s="51">
        <f t="shared" ref="D82" si="75">D81*50/100</f>
        <v>1500</v>
      </c>
      <c r="E82" s="51">
        <f t="shared" ref="E82:O82" si="76">MROUND(E81*50/100,50)</f>
        <v>1350</v>
      </c>
      <c r="F82" s="51">
        <f t="shared" si="76"/>
        <v>1200</v>
      </c>
      <c r="G82" s="51">
        <f t="shared" si="76"/>
        <v>1050</v>
      </c>
      <c r="H82" s="51">
        <f t="shared" si="76"/>
        <v>1350</v>
      </c>
      <c r="I82" s="51">
        <f t="shared" si="76"/>
        <v>1250</v>
      </c>
      <c r="J82" s="51">
        <f t="shared" si="76"/>
        <v>1100</v>
      </c>
      <c r="K82" s="51">
        <f t="shared" si="76"/>
        <v>950</v>
      </c>
      <c r="L82" s="51">
        <f t="shared" si="76"/>
        <v>1200</v>
      </c>
      <c r="M82" s="51">
        <f t="shared" si="76"/>
        <v>1100</v>
      </c>
      <c r="N82" s="51">
        <f>MROUND(N81*50/100,50)</f>
        <v>950</v>
      </c>
      <c r="O82" s="51">
        <f t="shared" si="76"/>
        <v>850</v>
      </c>
      <c r="P82" s="107"/>
      <c r="Q82" s="112"/>
      <c r="R82" s="112"/>
      <c r="S82" s="10"/>
      <c r="T82" s="10"/>
      <c r="U82" s="10"/>
      <c r="V82" s="10"/>
      <c r="W82" s="10"/>
      <c r="X82" s="8"/>
    </row>
    <row r="83" spans="1:24" ht="43.5" x14ac:dyDescent="0.2">
      <c r="A83" s="61" t="s">
        <v>207</v>
      </c>
      <c r="B83" s="57" t="s">
        <v>75</v>
      </c>
      <c r="C83" s="60" t="s">
        <v>13</v>
      </c>
      <c r="D83" s="107">
        <v>5000</v>
      </c>
      <c r="E83" s="107"/>
      <c r="F83" s="107"/>
      <c r="G83" s="107"/>
      <c r="H83" s="107">
        <f>D83-(D83*20/100)</f>
        <v>4000</v>
      </c>
      <c r="I83" s="107"/>
      <c r="J83" s="107"/>
      <c r="K83" s="107"/>
      <c r="L83" s="107">
        <f>D83-(D83*40/100)</f>
        <v>3000</v>
      </c>
      <c r="M83" s="107"/>
      <c r="N83" s="107"/>
      <c r="O83" s="107"/>
      <c r="P83" s="60" t="s">
        <v>9</v>
      </c>
      <c r="Q83" s="44" t="s">
        <v>406</v>
      </c>
      <c r="R83" s="67" t="s">
        <v>505</v>
      </c>
    </row>
    <row r="84" spans="1:24" ht="21.75" x14ac:dyDescent="0.2">
      <c r="A84" s="124" t="s">
        <v>208</v>
      </c>
      <c r="B84" s="108" t="s">
        <v>12</v>
      </c>
      <c r="C84" s="50" t="s">
        <v>14</v>
      </c>
      <c r="D84" s="50">
        <v>5000</v>
      </c>
      <c r="E84" s="50">
        <f>MROUND(D84-(D84*10/100),50)</f>
        <v>4500</v>
      </c>
      <c r="F84" s="50">
        <f>MROUND(D84-(D84*20/100),50)</f>
        <v>4000</v>
      </c>
      <c r="G84" s="50">
        <f>MROUND(D84-(D84*30/100),50)</f>
        <v>3500</v>
      </c>
      <c r="H84" s="50">
        <f>MROUND(D84-(D84*10/100),50)</f>
        <v>4500</v>
      </c>
      <c r="I84" s="50">
        <f>MROUND(H84-(H84*10/100),50)</f>
        <v>4050</v>
      </c>
      <c r="J84" s="50">
        <f>MROUND(H84-(H84*20/100),50)</f>
        <v>3600</v>
      </c>
      <c r="K84" s="50">
        <f>MROUND(H84-(H84*30/100),50)</f>
        <v>3150</v>
      </c>
      <c r="L84" s="50">
        <f>MROUND(D84-(D84*20/100),50)</f>
        <v>4000</v>
      </c>
      <c r="M84" s="50">
        <f>MROUND(L84-(L84*10/100),50)</f>
        <v>3600</v>
      </c>
      <c r="N84" s="50">
        <f>MROUND(L84-(L84*20/100),50)</f>
        <v>3200</v>
      </c>
      <c r="O84" s="50">
        <f>MROUND(L84-(L84*30/100),50)</f>
        <v>2800</v>
      </c>
      <c r="P84" s="108" t="s">
        <v>10</v>
      </c>
      <c r="Q84" s="112" t="s">
        <v>23</v>
      </c>
      <c r="R84" s="113" t="s">
        <v>507</v>
      </c>
      <c r="S84" s="23"/>
    </row>
    <row r="85" spans="1:24" s="19" customFormat="1" ht="52.5" customHeight="1" x14ac:dyDescent="0.2">
      <c r="A85" s="124"/>
      <c r="B85" s="108"/>
      <c r="C85" s="50" t="s">
        <v>15</v>
      </c>
      <c r="D85" s="50">
        <f>D84*50/100</f>
        <v>2500</v>
      </c>
      <c r="E85" s="51">
        <f t="shared" ref="E85:O85" si="77">MROUND(E84*50/100,50)</f>
        <v>2250</v>
      </c>
      <c r="F85" s="51">
        <f t="shared" si="77"/>
        <v>2000</v>
      </c>
      <c r="G85" s="51">
        <f t="shared" si="77"/>
        <v>1750</v>
      </c>
      <c r="H85" s="51">
        <f t="shared" si="77"/>
        <v>2250</v>
      </c>
      <c r="I85" s="51">
        <f t="shared" si="77"/>
        <v>2050</v>
      </c>
      <c r="J85" s="51">
        <f t="shared" si="77"/>
        <v>1800</v>
      </c>
      <c r="K85" s="51">
        <f t="shared" si="77"/>
        <v>1600</v>
      </c>
      <c r="L85" s="51">
        <f t="shared" si="77"/>
        <v>2000</v>
      </c>
      <c r="M85" s="51">
        <f t="shared" si="77"/>
        <v>1800</v>
      </c>
      <c r="N85" s="51">
        <f t="shared" si="77"/>
        <v>1600</v>
      </c>
      <c r="O85" s="51">
        <f t="shared" si="77"/>
        <v>1400</v>
      </c>
      <c r="P85" s="108"/>
      <c r="Q85" s="112"/>
      <c r="R85" s="113"/>
      <c r="S85" s="23"/>
      <c r="T85" s="22"/>
      <c r="U85" s="22"/>
      <c r="V85" s="22"/>
      <c r="W85" s="22"/>
    </row>
    <row r="86" spans="1:24" s="16" customFormat="1" ht="23.25" x14ac:dyDescent="0.2">
      <c r="A86" s="106" t="s">
        <v>426</v>
      </c>
      <c r="B86" s="106"/>
      <c r="C86" s="106"/>
      <c r="D86" s="106"/>
      <c r="E86" s="106"/>
      <c r="F86" s="106"/>
      <c r="G86" s="106"/>
      <c r="H86" s="106"/>
      <c r="I86" s="106"/>
      <c r="J86" s="106"/>
      <c r="K86" s="106"/>
      <c r="L86" s="106"/>
      <c r="M86" s="106"/>
      <c r="N86" s="106"/>
      <c r="O86" s="106"/>
      <c r="P86" s="106"/>
      <c r="Q86" s="106"/>
      <c r="R86" s="106"/>
      <c r="S86" s="23"/>
      <c r="T86" s="23"/>
      <c r="U86" s="23"/>
      <c r="V86" s="23"/>
      <c r="W86" s="23"/>
    </row>
    <row r="87" spans="1:24" ht="42.75" customHeight="1" x14ac:dyDescent="0.2">
      <c r="A87" s="50" t="s">
        <v>209</v>
      </c>
      <c r="B87" s="52" t="s">
        <v>139</v>
      </c>
      <c r="C87" s="59" t="s">
        <v>24</v>
      </c>
      <c r="D87" s="107">
        <v>5000</v>
      </c>
      <c r="E87" s="107"/>
      <c r="F87" s="107"/>
      <c r="G87" s="107"/>
      <c r="H87" s="107">
        <f t="shared" ref="H87:H89" si="78">D87-(D87*20/100)</f>
        <v>4000</v>
      </c>
      <c r="I87" s="107"/>
      <c r="J87" s="107"/>
      <c r="K87" s="107"/>
      <c r="L87" s="107">
        <f t="shared" ref="L87:L89" si="79">D87-(D87*40/100)</f>
        <v>3000</v>
      </c>
      <c r="M87" s="107"/>
      <c r="N87" s="107"/>
      <c r="O87" s="107"/>
      <c r="P87" s="50" t="s">
        <v>9</v>
      </c>
      <c r="Q87" s="50" t="s">
        <v>23</v>
      </c>
      <c r="R87" s="50" t="s">
        <v>510</v>
      </c>
    </row>
    <row r="88" spans="1:24" ht="62.25" customHeight="1" x14ac:dyDescent="0.2">
      <c r="A88" s="37" t="s">
        <v>210</v>
      </c>
      <c r="B88" s="42" t="s">
        <v>427</v>
      </c>
      <c r="C88" s="37" t="s">
        <v>13</v>
      </c>
      <c r="D88" s="107">
        <v>10000</v>
      </c>
      <c r="E88" s="107">
        <f t="shared" ref="E88:E89" si="80">D88-(D88*10/100)</f>
        <v>9000</v>
      </c>
      <c r="F88" s="107">
        <f t="shared" ref="F88:F89" si="81">D88-(D88*20/100)</f>
        <v>8000</v>
      </c>
      <c r="G88" s="107">
        <f t="shared" ref="G88:G89" si="82">D88-(D88*30/100)</f>
        <v>7000</v>
      </c>
      <c r="H88" s="107">
        <f t="shared" si="78"/>
        <v>8000</v>
      </c>
      <c r="I88" s="107"/>
      <c r="J88" s="107"/>
      <c r="K88" s="107"/>
      <c r="L88" s="107">
        <f t="shared" si="79"/>
        <v>6000</v>
      </c>
      <c r="M88" s="107"/>
      <c r="N88" s="107"/>
      <c r="O88" s="107"/>
      <c r="P88" s="50" t="s">
        <v>9</v>
      </c>
      <c r="Q88" s="50" t="s">
        <v>23</v>
      </c>
      <c r="R88" s="64" t="s">
        <v>510</v>
      </c>
    </row>
    <row r="89" spans="1:24" ht="21.75" x14ac:dyDescent="0.2">
      <c r="A89" s="50" t="s">
        <v>211</v>
      </c>
      <c r="B89" s="52" t="s">
        <v>428</v>
      </c>
      <c r="C89" s="37" t="s">
        <v>13</v>
      </c>
      <c r="D89" s="107">
        <v>10000</v>
      </c>
      <c r="E89" s="107">
        <f t="shared" si="80"/>
        <v>9000</v>
      </c>
      <c r="F89" s="107">
        <f t="shared" si="81"/>
        <v>8000</v>
      </c>
      <c r="G89" s="107">
        <f t="shared" si="82"/>
        <v>7000</v>
      </c>
      <c r="H89" s="107">
        <f t="shared" si="78"/>
        <v>8000</v>
      </c>
      <c r="I89" s="107"/>
      <c r="J89" s="107"/>
      <c r="K89" s="107"/>
      <c r="L89" s="107">
        <f t="shared" si="79"/>
        <v>6000</v>
      </c>
      <c r="M89" s="107"/>
      <c r="N89" s="107"/>
      <c r="O89" s="107"/>
      <c r="P89" s="50" t="s">
        <v>9</v>
      </c>
      <c r="Q89" s="50" t="s">
        <v>23</v>
      </c>
      <c r="R89" s="64" t="s">
        <v>510</v>
      </c>
    </row>
    <row r="90" spans="1:24" ht="21.75" x14ac:dyDescent="0.2">
      <c r="A90" s="51" t="s">
        <v>212</v>
      </c>
      <c r="B90" s="51" t="s">
        <v>73</v>
      </c>
      <c r="C90" s="37" t="s">
        <v>13</v>
      </c>
      <c r="D90" s="107">
        <v>5000</v>
      </c>
      <c r="E90" s="107"/>
      <c r="F90" s="107"/>
      <c r="G90" s="107"/>
      <c r="H90" s="107">
        <f>D90-(D90*20/100)</f>
        <v>4000</v>
      </c>
      <c r="I90" s="107"/>
      <c r="J90" s="107"/>
      <c r="K90" s="107"/>
      <c r="L90" s="107">
        <f>D90-(D90*40/100)</f>
        <v>3000</v>
      </c>
      <c r="M90" s="107"/>
      <c r="N90" s="107"/>
      <c r="O90" s="107"/>
      <c r="P90" s="50" t="s">
        <v>9</v>
      </c>
      <c r="Q90" s="50" t="s">
        <v>23</v>
      </c>
      <c r="R90" s="64" t="s">
        <v>510</v>
      </c>
    </row>
    <row r="91" spans="1:24" s="19" customFormat="1" ht="47.25" customHeight="1" x14ac:dyDescent="0.2">
      <c r="A91" s="50" t="s">
        <v>213</v>
      </c>
      <c r="B91" s="50" t="s">
        <v>131</v>
      </c>
      <c r="C91" s="37" t="s">
        <v>13</v>
      </c>
      <c r="D91" s="107">
        <v>5000</v>
      </c>
      <c r="E91" s="107">
        <f t="shared" ref="E91" si="83">D91-(D91*10/100)</f>
        <v>4500</v>
      </c>
      <c r="F91" s="107">
        <f t="shared" ref="F91" si="84">D91-(D91*20/100)</f>
        <v>4000</v>
      </c>
      <c r="G91" s="107">
        <f t="shared" ref="G91" si="85">D91-(D91*30/100)</f>
        <v>3500</v>
      </c>
      <c r="H91" s="107">
        <f>D91-(D91*20/100)</f>
        <v>4000</v>
      </c>
      <c r="I91" s="107"/>
      <c r="J91" s="107"/>
      <c r="K91" s="107"/>
      <c r="L91" s="107">
        <f>D91-(D91*40/100)</f>
        <v>3000</v>
      </c>
      <c r="M91" s="107"/>
      <c r="N91" s="107"/>
      <c r="O91" s="107"/>
      <c r="P91" s="50" t="s">
        <v>9</v>
      </c>
      <c r="Q91" s="50" t="s">
        <v>23</v>
      </c>
      <c r="R91" s="64" t="s">
        <v>510</v>
      </c>
      <c r="S91" s="22"/>
      <c r="T91" s="22"/>
      <c r="U91" s="22"/>
      <c r="V91" s="22"/>
      <c r="W91" s="22"/>
    </row>
    <row r="92" spans="1:24" s="19" customFormat="1" ht="36.75" customHeight="1" x14ac:dyDescent="0.2">
      <c r="A92" s="59" t="s">
        <v>214</v>
      </c>
      <c r="B92" s="59" t="s">
        <v>28</v>
      </c>
      <c r="C92" s="59" t="s">
        <v>24</v>
      </c>
      <c r="D92" s="107">
        <v>2000</v>
      </c>
      <c r="E92" s="107"/>
      <c r="F92" s="107"/>
      <c r="G92" s="107"/>
      <c r="H92" s="107">
        <f>D92-(D92*20/100)</f>
        <v>1600</v>
      </c>
      <c r="I92" s="107"/>
      <c r="J92" s="107"/>
      <c r="K92" s="107"/>
      <c r="L92" s="107">
        <f>D92-(D92*40/100)</f>
        <v>1200</v>
      </c>
      <c r="M92" s="107"/>
      <c r="N92" s="107"/>
      <c r="O92" s="107"/>
      <c r="P92" s="50" t="s">
        <v>9</v>
      </c>
      <c r="Q92" s="54" t="s">
        <v>408</v>
      </c>
      <c r="R92" s="92" t="s">
        <v>510</v>
      </c>
      <c r="S92" s="22"/>
      <c r="T92" s="22"/>
      <c r="U92" s="22"/>
      <c r="V92" s="22"/>
      <c r="W92" s="22"/>
    </row>
    <row r="93" spans="1:24" s="19" customFormat="1" ht="18" customHeight="1" x14ac:dyDescent="0.2">
      <c r="A93" s="108" t="s">
        <v>215</v>
      </c>
      <c r="B93" s="108" t="s">
        <v>29</v>
      </c>
      <c r="C93" s="50" t="s">
        <v>14</v>
      </c>
      <c r="D93" s="50">
        <v>1000</v>
      </c>
      <c r="E93" s="50">
        <f>MROUND(D93-(D93*10/100),50)</f>
        <v>900</v>
      </c>
      <c r="F93" s="50">
        <f>MROUND(D93-(D93*20/100),50)</f>
        <v>800</v>
      </c>
      <c r="G93" s="50">
        <f>MROUND(D93-(D93*30/100),50)</f>
        <v>700</v>
      </c>
      <c r="H93" s="50">
        <f>MROUND(D93-(D93*10/100),50)</f>
        <v>900</v>
      </c>
      <c r="I93" s="50">
        <f>MROUND(H93-(H93*10/100),50)</f>
        <v>800</v>
      </c>
      <c r="J93" s="50">
        <f>MROUND(H93-(H93*20/100),50)</f>
        <v>700</v>
      </c>
      <c r="K93" s="50">
        <f>MROUND(H93-(H93*30/100),50)</f>
        <v>650</v>
      </c>
      <c r="L93" s="50">
        <f>MROUND(D93-(D93*20/100),50)</f>
        <v>800</v>
      </c>
      <c r="M93" s="50">
        <f>MROUND(L93-(L93*10/100),50)</f>
        <v>700</v>
      </c>
      <c r="N93" s="50">
        <f>MROUND(L93-(L93*20/100),50)</f>
        <v>650</v>
      </c>
      <c r="O93" s="50">
        <f>MROUND(L93-(L93*30/100),50)</f>
        <v>550</v>
      </c>
      <c r="P93" s="108" t="s">
        <v>10</v>
      </c>
      <c r="Q93" s="112" t="s">
        <v>409</v>
      </c>
      <c r="R93" s="114" t="s">
        <v>510</v>
      </c>
      <c r="S93" s="22"/>
      <c r="T93" s="22"/>
      <c r="U93" s="22"/>
      <c r="V93" s="22"/>
      <c r="W93" s="22"/>
    </row>
    <row r="94" spans="1:24" s="16" customFormat="1" ht="18" customHeight="1" x14ac:dyDescent="0.2">
      <c r="A94" s="108"/>
      <c r="B94" s="108"/>
      <c r="C94" s="50" t="s">
        <v>16</v>
      </c>
      <c r="D94" s="50">
        <f t="shared" ref="D94" si="86">D93*50/100</f>
        <v>500</v>
      </c>
      <c r="E94" s="50">
        <f t="shared" ref="E94:O94" si="87">MROUND(E93*50/100,50)</f>
        <v>450</v>
      </c>
      <c r="F94" s="50">
        <f t="shared" si="87"/>
        <v>400</v>
      </c>
      <c r="G94" s="50">
        <f t="shared" si="87"/>
        <v>350</v>
      </c>
      <c r="H94" s="50">
        <f t="shared" si="87"/>
        <v>450</v>
      </c>
      <c r="I94" s="50">
        <f t="shared" si="87"/>
        <v>400</v>
      </c>
      <c r="J94" s="50">
        <f t="shared" si="87"/>
        <v>350</v>
      </c>
      <c r="K94" s="50">
        <f t="shared" si="87"/>
        <v>350</v>
      </c>
      <c r="L94" s="50">
        <f t="shared" si="87"/>
        <v>400</v>
      </c>
      <c r="M94" s="50">
        <f t="shared" si="87"/>
        <v>350</v>
      </c>
      <c r="N94" s="50">
        <f t="shared" si="87"/>
        <v>350</v>
      </c>
      <c r="O94" s="50">
        <f t="shared" si="87"/>
        <v>300</v>
      </c>
      <c r="P94" s="108"/>
      <c r="Q94" s="112"/>
      <c r="R94" s="115"/>
      <c r="S94" s="22"/>
      <c r="T94" s="23"/>
      <c r="U94" s="23"/>
      <c r="V94" s="23"/>
      <c r="W94" s="23"/>
    </row>
    <row r="95" spans="1:24" s="16" customFormat="1" ht="18.75" customHeight="1" x14ac:dyDescent="0.2">
      <c r="A95" s="107" t="s">
        <v>216</v>
      </c>
      <c r="B95" s="113" t="s">
        <v>429</v>
      </c>
      <c r="C95" s="50" t="s">
        <v>14</v>
      </c>
      <c r="D95" s="50">
        <v>2000</v>
      </c>
      <c r="E95" s="50">
        <f>MROUND(D95-(D95*10/100),50)</f>
        <v>1800</v>
      </c>
      <c r="F95" s="50">
        <f>MROUND(D95-(D95*20/100),50)</f>
        <v>1600</v>
      </c>
      <c r="G95" s="50">
        <f>MROUND(D95-(D95*30/100),50)</f>
        <v>1400</v>
      </c>
      <c r="H95" s="50">
        <f>MROUND(D95-(D95*10/100),50)</f>
        <v>1800</v>
      </c>
      <c r="I95" s="50">
        <f>MROUND(H95-(H95*10/100),50)</f>
        <v>1600</v>
      </c>
      <c r="J95" s="50">
        <f>MROUND(H95-(H95*20/100),50)</f>
        <v>1450</v>
      </c>
      <c r="K95" s="50">
        <f>MROUND(H95-(H95*30/100),50)</f>
        <v>1250</v>
      </c>
      <c r="L95" s="50">
        <f>MROUND(D95-(D95*20/100),50)</f>
        <v>1600</v>
      </c>
      <c r="M95" s="50">
        <f>MROUND(L95-(L95*10/100),50)</f>
        <v>1450</v>
      </c>
      <c r="N95" s="50">
        <f>MROUND(L95-(L95*20/100),50)</f>
        <v>1300</v>
      </c>
      <c r="O95" s="50">
        <f>MROUND(L95-(L95*30/100),50)</f>
        <v>1100</v>
      </c>
      <c r="P95" s="108" t="s">
        <v>10</v>
      </c>
      <c r="Q95" s="112" t="s">
        <v>23</v>
      </c>
      <c r="R95" s="112" t="s">
        <v>510</v>
      </c>
      <c r="S95" s="23"/>
      <c r="T95" s="23"/>
      <c r="U95" s="23"/>
      <c r="V95" s="23"/>
      <c r="W95" s="23"/>
    </row>
    <row r="96" spans="1:24" s="16" customFormat="1" ht="18.75" customHeight="1" x14ac:dyDescent="0.2">
      <c r="A96" s="107"/>
      <c r="B96" s="113"/>
      <c r="C96" s="50" t="s">
        <v>16</v>
      </c>
      <c r="D96" s="50">
        <f t="shared" ref="D96" si="88">D95*50/100</f>
        <v>1000</v>
      </c>
      <c r="E96" s="51">
        <f t="shared" ref="E96:O96" si="89">MROUND(E95*50/100,50)</f>
        <v>900</v>
      </c>
      <c r="F96" s="51">
        <f t="shared" si="89"/>
        <v>800</v>
      </c>
      <c r="G96" s="51">
        <f t="shared" si="89"/>
        <v>700</v>
      </c>
      <c r="H96" s="51">
        <f t="shared" si="89"/>
        <v>900</v>
      </c>
      <c r="I96" s="51">
        <f t="shared" si="89"/>
        <v>800</v>
      </c>
      <c r="J96" s="51">
        <f t="shared" si="89"/>
        <v>750</v>
      </c>
      <c r="K96" s="51">
        <f t="shared" si="89"/>
        <v>650</v>
      </c>
      <c r="L96" s="51">
        <f t="shared" si="89"/>
        <v>800</v>
      </c>
      <c r="M96" s="51">
        <f t="shared" si="89"/>
        <v>750</v>
      </c>
      <c r="N96" s="51">
        <f t="shared" si="89"/>
        <v>650</v>
      </c>
      <c r="O96" s="51">
        <f t="shared" si="89"/>
        <v>550</v>
      </c>
      <c r="P96" s="108"/>
      <c r="Q96" s="112"/>
      <c r="R96" s="112"/>
      <c r="S96" s="23"/>
      <c r="T96" s="23"/>
      <c r="U96" s="23"/>
      <c r="V96" s="23"/>
      <c r="W96" s="23"/>
    </row>
    <row r="97" spans="1:23" s="4" customFormat="1" ht="21.75" customHeight="1" x14ac:dyDescent="0.2">
      <c r="A97" s="51" t="s">
        <v>217</v>
      </c>
      <c r="B97" s="51" t="s">
        <v>27</v>
      </c>
      <c r="C97" s="59" t="s">
        <v>24</v>
      </c>
      <c r="D97" s="107">
        <v>3000</v>
      </c>
      <c r="E97" s="107"/>
      <c r="F97" s="107"/>
      <c r="G97" s="107"/>
      <c r="H97" s="107">
        <f>D97-(D97*20/100)</f>
        <v>2400</v>
      </c>
      <c r="I97" s="107"/>
      <c r="J97" s="107"/>
      <c r="K97" s="107"/>
      <c r="L97" s="107">
        <f>D97-(D97*40/100)</f>
        <v>1800</v>
      </c>
      <c r="M97" s="107"/>
      <c r="N97" s="107"/>
      <c r="O97" s="107"/>
      <c r="P97" s="50" t="s">
        <v>9</v>
      </c>
      <c r="Q97" s="52" t="s">
        <v>23</v>
      </c>
      <c r="R97" s="64" t="s">
        <v>510</v>
      </c>
    </row>
    <row r="98" spans="1:23" s="6" customFormat="1" ht="21.75" customHeight="1" x14ac:dyDescent="0.2">
      <c r="A98" s="107" t="s">
        <v>218</v>
      </c>
      <c r="B98" s="107" t="s">
        <v>108</v>
      </c>
      <c r="C98" s="50" t="s">
        <v>14</v>
      </c>
      <c r="D98" s="50">
        <v>2000</v>
      </c>
      <c r="E98" s="50">
        <f>MROUND(D98-(D98*10/100),50)</f>
        <v>1800</v>
      </c>
      <c r="F98" s="50">
        <f>MROUND(D98-(D98*20/100),50)</f>
        <v>1600</v>
      </c>
      <c r="G98" s="50">
        <f>MROUND(D98-(D98*30/100),50)</f>
        <v>1400</v>
      </c>
      <c r="H98" s="50">
        <f>MROUND(D98-(D98*10/100),50)</f>
        <v>1800</v>
      </c>
      <c r="I98" s="50">
        <f>MROUND(H98-(H98*10/100),50)</f>
        <v>1600</v>
      </c>
      <c r="J98" s="50">
        <f>MROUND(H98-(H98*20/100),50)</f>
        <v>1450</v>
      </c>
      <c r="K98" s="50">
        <f>MROUND(H98-(H98*30/100),50)</f>
        <v>1250</v>
      </c>
      <c r="L98" s="50">
        <f>MROUND(D98-(D98*20/100),50)</f>
        <v>1600</v>
      </c>
      <c r="M98" s="50">
        <f>MROUND(L98-(L98*10/100),50)</f>
        <v>1450</v>
      </c>
      <c r="N98" s="50">
        <f>MROUND(L98-(L98*20/100),50)</f>
        <v>1300</v>
      </c>
      <c r="O98" s="50">
        <f>MROUND(L98-(L98*30/100),50)</f>
        <v>1100</v>
      </c>
      <c r="P98" s="108" t="s">
        <v>10</v>
      </c>
      <c r="Q98" s="112" t="s">
        <v>407</v>
      </c>
      <c r="R98" s="114" t="s">
        <v>510</v>
      </c>
      <c r="S98" s="4"/>
    </row>
    <row r="99" spans="1:23" s="4" customFormat="1" ht="21.75" x14ac:dyDescent="0.2">
      <c r="A99" s="107"/>
      <c r="B99" s="107"/>
      <c r="C99" s="51" t="s">
        <v>16</v>
      </c>
      <c r="D99" s="51">
        <f t="shared" ref="D99" si="90">D98*50/100</f>
        <v>1000</v>
      </c>
      <c r="E99" s="51">
        <f t="shared" ref="E99:O99" si="91">MROUND(E98*50/100,50)</f>
        <v>900</v>
      </c>
      <c r="F99" s="51">
        <f t="shared" si="91"/>
        <v>800</v>
      </c>
      <c r="G99" s="51">
        <f t="shared" si="91"/>
        <v>700</v>
      </c>
      <c r="H99" s="51">
        <f t="shared" si="91"/>
        <v>900</v>
      </c>
      <c r="I99" s="51">
        <f t="shared" si="91"/>
        <v>800</v>
      </c>
      <c r="J99" s="51">
        <f t="shared" si="91"/>
        <v>750</v>
      </c>
      <c r="K99" s="51">
        <f t="shared" si="91"/>
        <v>650</v>
      </c>
      <c r="L99" s="51">
        <f t="shared" si="91"/>
        <v>800</v>
      </c>
      <c r="M99" s="51">
        <f t="shared" si="91"/>
        <v>750</v>
      </c>
      <c r="N99" s="51">
        <f t="shared" si="91"/>
        <v>650</v>
      </c>
      <c r="O99" s="51">
        <f t="shared" si="91"/>
        <v>550</v>
      </c>
      <c r="P99" s="108"/>
      <c r="Q99" s="112"/>
      <c r="R99" s="115"/>
    </row>
    <row r="100" spans="1:23" s="4" customFormat="1" ht="21.75" x14ac:dyDescent="0.2">
      <c r="A100" s="124" t="s">
        <v>219</v>
      </c>
      <c r="B100" s="108" t="s">
        <v>109</v>
      </c>
      <c r="C100" s="50" t="s">
        <v>14</v>
      </c>
      <c r="D100" s="50">
        <v>2000</v>
      </c>
      <c r="E100" s="50">
        <f>MROUND(D100-(D100*10/100),50)</f>
        <v>1800</v>
      </c>
      <c r="F100" s="50">
        <f>MROUND(D100-(D100*20/100),50)</f>
        <v>1600</v>
      </c>
      <c r="G100" s="50">
        <f>MROUND(D100-(D100*30/100),50)</f>
        <v>1400</v>
      </c>
      <c r="H100" s="50">
        <f>MROUND(D100-(D100*10/100),50)</f>
        <v>1800</v>
      </c>
      <c r="I100" s="50">
        <f>MROUND(H100-(H100*10/100),50)</f>
        <v>1600</v>
      </c>
      <c r="J100" s="50">
        <f>MROUND(H100-(H100*20/100),50)</f>
        <v>1450</v>
      </c>
      <c r="K100" s="50">
        <f>MROUND(H100-(H100*30/100),50)</f>
        <v>1250</v>
      </c>
      <c r="L100" s="50">
        <f>MROUND(D100-(D100*20/100),50)</f>
        <v>1600</v>
      </c>
      <c r="M100" s="50">
        <f>MROUND(L100-(L100*10/100),50)</f>
        <v>1450</v>
      </c>
      <c r="N100" s="50">
        <f>MROUND(L100-(L100*20/100),50)</f>
        <v>1300</v>
      </c>
      <c r="O100" s="50">
        <f>MROUND(L100-(L100*30/100),50)</f>
        <v>1100</v>
      </c>
      <c r="P100" s="108" t="s">
        <v>10</v>
      </c>
      <c r="Q100" s="112" t="s">
        <v>407</v>
      </c>
      <c r="R100" s="112" t="s">
        <v>510</v>
      </c>
    </row>
    <row r="101" spans="1:23" s="16" customFormat="1" ht="18" customHeight="1" x14ac:dyDescent="0.2">
      <c r="A101" s="124"/>
      <c r="B101" s="108"/>
      <c r="C101" s="50" t="s">
        <v>16</v>
      </c>
      <c r="D101" s="50">
        <f t="shared" ref="D101" si="92">D100*50/100</f>
        <v>1000</v>
      </c>
      <c r="E101" s="51">
        <f t="shared" ref="E101:O101" si="93">MROUND(E100*50/100,50)</f>
        <v>900</v>
      </c>
      <c r="F101" s="51">
        <f t="shared" si="93"/>
        <v>800</v>
      </c>
      <c r="G101" s="51">
        <f t="shared" si="93"/>
        <v>700</v>
      </c>
      <c r="H101" s="51">
        <f t="shared" si="93"/>
        <v>900</v>
      </c>
      <c r="I101" s="51">
        <f t="shared" si="93"/>
        <v>800</v>
      </c>
      <c r="J101" s="51">
        <f t="shared" si="93"/>
        <v>750</v>
      </c>
      <c r="K101" s="51">
        <f t="shared" si="93"/>
        <v>650</v>
      </c>
      <c r="L101" s="51">
        <f t="shared" si="93"/>
        <v>800</v>
      </c>
      <c r="M101" s="51">
        <f t="shared" si="93"/>
        <v>750</v>
      </c>
      <c r="N101" s="51">
        <f t="shared" si="93"/>
        <v>650</v>
      </c>
      <c r="O101" s="51">
        <f t="shared" si="93"/>
        <v>550</v>
      </c>
      <c r="P101" s="108"/>
      <c r="Q101" s="112"/>
      <c r="R101" s="112"/>
      <c r="S101" s="23"/>
      <c r="T101" s="23"/>
      <c r="U101" s="23"/>
      <c r="V101" s="23"/>
      <c r="W101" s="23"/>
    </row>
    <row r="102" spans="1:23" s="16" customFormat="1" ht="18" customHeight="1" x14ac:dyDescent="0.2">
      <c r="A102" s="124" t="s">
        <v>220</v>
      </c>
      <c r="B102" s="108" t="s">
        <v>110</v>
      </c>
      <c r="C102" s="50" t="s">
        <v>14</v>
      </c>
      <c r="D102" s="50">
        <v>2000</v>
      </c>
      <c r="E102" s="50">
        <f>MROUND(D102-(D102*10/100),50)</f>
        <v>1800</v>
      </c>
      <c r="F102" s="50">
        <f>MROUND(D102-(D102*20/100),50)</f>
        <v>1600</v>
      </c>
      <c r="G102" s="50">
        <f>MROUND(D102-(D102*30/100),50)</f>
        <v>1400</v>
      </c>
      <c r="H102" s="50">
        <f>MROUND(D102-(D102*10/100),50)</f>
        <v>1800</v>
      </c>
      <c r="I102" s="50">
        <f>MROUND(H102-(H102*10/100),50)</f>
        <v>1600</v>
      </c>
      <c r="J102" s="50">
        <f>MROUND(H102-(H102*20/100),50)</f>
        <v>1450</v>
      </c>
      <c r="K102" s="50">
        <f>MROUND(H102-(H102*30/100),50)</f>
        <v>1250</v>
      </c>
      <c r="L102" s="50">
        <f>MROUND(D102-(D102*20/100),50)</f>
        <v>1600</v>
      </c>
      <c r="M102" s="50">
        <f>MROUND(L102-(L102*10/100),50)</f>
        <v>1450</v>
      </c>
      <c r="N102" s="50">
        <f>MROUND(L102-(L102*20/100),50)</f>
        <v>1300</v>
      </c>
      <c r="O102" s="50">
        <f>MROUND(L102-(L102*30/100),50)</f>
        <v>1100</v>
      </c>
      <c r="P102" s="108" t="s">
        <v>10</v>
      </c>
      <c r="Q102" s="112" t="s">
        <v>407</v>
      </c>
      <c r="R102" s="112" t="s">
        <v>505</v>
      </c>
      <c r="S102" s="23"/>
      <c r="T102" s="23"/>
      <c r="U102" s="23"/>
      <c r="V102" s="23"/>
      <c r="W102" s="23"/>
    </row>
    <row r="103" spans="1:23" ht="18.75" customHeight="1" x14ac:dyDescent="0.2">
      <c r="A103" s="124"/>
      <c r="B103" s="108"/>
      <c r="C103" s="50" t="s">
        <v>16</v>
      </c>
      <c r="D103" s="50">
        <f t="shared" ref="D103" si="94">D102*50/100</f>
        <v>1000</v>
      </c>
      <c r="E103" s="51">
        <f t="shared" ref="E103:O103" si="95">MROUND(E102*50/100,50)</f>
        <v>900</v>
      </c>
      <c r="F103" s="51">
        <f t="shared" si="95"/>
        <v>800</v>
      </c>
      <c r="G103" s="51">
        <f t="shared" si="95"/>
        <v>700</v>
      </c>
      <c r="H103" s="51">
        <f t="shared" si="95"/>
        <v>900</v>
      </c>
      <c r="I103" s="51">
        <f t="shared" si="95"/>
        <v>800</v>
      </c>
      <c r="J103" s="51">
        <f t="shared" si="95"/>
        <v>750</v>
      </c>
      <c r="K103" s="51">
        <f t="shared" si="95"/>
        <v>650</v>
      </c>
      <c r="L103" s="51">
        <f t="shared" si="95"/>
        <v>800</v>
      </c>
      <c r="M103" s="51">
        <f t="shared" si="95"/>
        <v>750</v>
      </c>
      <c r="N103" s="51">
        <f t="shared" si="95"/>
        <v>650</v>
      </c>
      <c r="O103" s="51">
        <f t="shared" si="95"/>
        <v>550</v>
      </c>
      <c r="P103" s="108"/>
      <c r="Q103" s="112"/>
      <c r="R103" s="112"/>
    </row>
    <row r="104" spans="1:23" s="29" customFormat="1" ht="23.25" x14ac:dyDescent="0.2">
      <c r="A104" s="105" t="s">
        <v>84</v>
      </c>
      <c r="B104" s="105"/>
      <c r="C104" s="105"/>
      <c r="D104" s="105"/>
      <c r="E104" s="105"/>
      <c r="F104" s="105"/>
      <c r="G104" s="105"/>
      <c r="H104" s="105"/>
      <c r="I104" s="105"/>
      <c r="J104" s="105"/>
      <c r="K104" s="105"/>
      <c r="L104" s="105"/>
      <c r="M104" s="105"/>
      <c r="N104" s="105"/>
      <c r="O104" s="105"/>
      <c r="P104" s="105"/>
      <c r="Q104" s="105"/>
      <c r="R104" s="105"/>
      <c r="S104" s="18"/>
      <c r="T104" s="18"/>
      <c r="U104" s="18"/>
      <c r="V104" s="18"/>
      <c r="W104" s="18"/>
    </row>
    <row r="105" spans="1:23" s="21" customFormat="1" ht="43.5" x14ac:dyDescent="0.2">
      <c r="A105" s="57" t="s">
        <v>221</v>
      </c>
      <c r="B105" s="49" t="s">
        <v>430</v>
      </c>
      <c r="C105" s="34" t="s">
        <v>13</v>
      </c>
      <c r="D105" s="107">
        <v>100000</v>
      </c>
      <c r="E105" s="107"/>
      <c r="F105" s="107"/>
      <c r="G105" s="107"/>
      <c r="H105" s="107">
        <f t="shared" ref="H105:H110" si="96">D105-(D105*20/100)</f>
        <v>80000</v>
      </c>
      <c r="I105" s="107"/>
      <c r="J105" s="107"/>
      <c r="K105" s="107"/>
      <c r="L105" s="107">
        <f t="shared" ref="L105:L110" si="97">D105-(D105*40/100)</f>
        <v>60000</v>
      </c>
      <c r="M105" s="107"/>
      <c r="N105" s="107"/>
      <c r="O105" s="107"/>
      <c r="P105" s="51" t="s">
        <v>9</v>
      </c>
      <c r="Q105" s="51" t="s">
        <v>23</v>
      </c>
      <c r="R105" s="93" t="s">
        <v>522</v>
      </c>
      <c r="S105" s="18"/>
    </row>
    <row r="106" spans="1:23" ht="43.5" x14ac:dyDescent="0.2">
      <c r="A106" s="58" t="s">
        <v>484</v>
      </c>
      <c r="B106" s="49" t="s">
        <v>111</v>
      </c>
      <c r="C106" s="49" t="s">
        <v>24</v>
      </c>
      <c r="D106" s="113">
        <v>100000</v>
      </c>
      <c r="E106" s="113"/>
      <c r="F106" s="113"/>
      <c r="G106" s="113"/>
      <c r="H106" s="113">
        <f t="shared" ref="H106" si="98">D106-(D106*20/100)</f>
        <v>80000</v>
      </c>
      <c r="I106" s="113"/>
      <c r="J106" s="113"/>
      <c r="K106" s="113"/>
      <c r="L106" s="113">
        <f t="shared" ref="L106" si="99">D106-(D106*40/100)</f>
        <v>60000</v>
      </c>
      <c r="M106" s="113"/>
      <c r="N106" s="113"/>
      <c r="O106" s="113"/>
      <c r="P106" s="49" t="s">
        <v>9</v>
      </c>
      <c r="Q106" s="49" t="s">
        <v>23</v>
      </c>
      <c r="R106" s="93" t="s">
        <v>522</v>
      </c>
    </row>
    <row r="107" spans="1:23" ht="43.5" x14ac:dyDescent="0.2">
      <c r="A107" s="70" t="s">
        <v>485</v>
      </c>
      <c r="B107" s="66" t="s">
        <v>483</v>
      </c>
      <c r="C107" s="42" t="s">
        <v>13</v>
      </c>
      <c r="D107" s="118">
        <v>10000</v>
      </c>
      <c r="E107" s="119"/>
      <c r="F107" s="119"/>
      <c r="G107" s="120"/>
      <c r="H107" s="118">
        <v>8000</v>
      </c>
      <c r="I107" s="119"/>
      <c r="J107" s="119"/>
      <c r="K107" s="120"/>
      <c r="L107" s="118">
        <v>6000</v>
      </c>
      <c r="M107" s="119"/>
      <c r="N107" s="119"/>
      <c r="O107" s="120"/>
      <c r="P107" s="67" t="s">
        <v>9</v>
      </c>
      <c r="Q107" s="69" t="s">
        <v>23</v>
      </c>
      <c r="R107" s="93" t="s">
        <v>522</v>
      </c>
    </row>
    <row r="108" spans="1:23" ht="21.75" x14ac:dyDescent="0.2">
      <c r="A108" s="44" t="s">
        <v>486</v>
      </c>
      <c r="B108" s="66" t="s">
        <v>33</v>
      </c>
      <c r="C108" s="42" t="s">
        <v>13</v>
      </c>
      <c r="D108" s="113">
        <v>30000</v>
      </c>
      <c r="E108" s="113">
        <f>D108-(D108*10/100)</f>
        <v>27000</v>
      </c>
      <c r="F108" s="113">
        <f>D108-(D108*20/100)</f>
        <v>24000</v>
      </c>
      <c r="G108" s="113">
        <f>D108-(D108*30/100)</f>
        <v>21000</v>
      </c>
      <c r="H108" s="113">
        <f t="shared" si="96"/>
        <v>24000</v>
      </c>
      <c r="I108" s="113"/>
      <c r="J108" s="113"/>
      <c r="K108" s="113"/>
      <c r="L108" s="113">
        <f t="shared" si="97"/>
        <v>18000</v>
      </c>
      <c r="M108" s="113"/>
      <c r="N108" s="113"/>
      <c r="O108" s="113"/>
      <c r="P108" s="52" t="s">
        <v>9</v>
      </c>
      <c r="Q108" s="54" t="s">
        <v>23</v>
      </c>
      <c r="R108" s="54" t="s">
        <v>506</v>
      </c>
    </row>
    <row r="109" spans="1:23" ht="21.75" x14ac:dyDescent="0.2">
      <c r="A109" s="44" t="s">
        <v>487</v>
      </c>
      <c r="B109" s="49" t="s">
        <v>431</v>
      </c>
      <c r="C109" s="42" t="s">
        <v>13</v>
      </c>
      <c r="D109" s="113">
        <v>20000</v>
      </c>
      <c r="E109" s="113">
        <f t="shared" ref="E109" si="100">D109-(D109*10/100)</f>
        <v>18000</v>
      </c>
      <c r="F109" s="113">
        <f t="shared" ref="F109" si="101">D109-(D109*20/100)</f>
        <v>16000</v>
      </c>
      <c r="G109" s="113">
        <f t="shared" ref="G109" si="102">D109-(D109*30/100)</f>
        <v>14000</v>
      </c>
      <c r="H109" s="113">
        <f t="shared" si="96"/>
        <v>16000</v>
      </c>
      <c r="I109" s="113"/>
      <c r="J109" s="113"/>
      <c r="K109" s="113"/>
      <c r="L109" s="113">
        <f t="shared" si="97"/>
        <v>12000</v>
      </c>
      <c r="M109" s="113"/>
      <c r="N109" s="113"/>
      <c r="O109" s="113"/>
      <c r="P109" s="52" t="s">
        <v>9</v>
      </c>
      <c r="Q109" s="54" t="s">
        <v>23</v>
      </c>
      <c r="R109" s="69" t="s">
        <v>506</v>
      </c>
    </row>
    <row r="110" spans="1:23" s="32" customFormat="1" ht="21.75" x14ac:dyDescent="0.2">
      <c r="A110" s="44" t="s">
        <v>488</v>
      </c>
      <c r="B110" s="49" t="s">
        <v>112</v>
      </c>
      <c r="C110" s="42" t="s">
        <v>13</v>
      </c>
      <c r="D110" s="113">
        <v>15000</v>
      </c>
      <c r="E110" s="113"/>
      <c r="F110" s="113"/>
      <c r="G110" s="113"/>
      <c r="H110" s="113">
        <f t="shared" si="96"/>
        <v>12000</v>
      </c>
      <c r="I110" s="113"/>
      <c r="J110" s="113"/>
      <c r="K110" s="113"/>
      <c r="L110" s="113">
        <f t="shared" si="97"/>
        <v>9000</v>
      </c>
      <c r="M110" s="113"/>
      <c r="N110" s="113"/>
      <c r="O110" s="113"/>
      <c r="P110" s="52" t="s">
        <v>9</v>
      </c>
      <c r="Q110" s="54" t="s">
        <v>23</v>
      </c>
      <c r="R110" s="93" t="s">
        <v>523</v>
      </c>
      <c r="S110" s="18"/>
      <c r="T110" s="31"/>
      <c r="U110" s="31"/>
      <c r="V110" s="31"/>
      <c r="W110" s="31"/>
    </row>
    <row r="111" spans="1:23" s="12" customFormat="1" ht="43.5" x14ac:dyDescent="0.2">
      <c r="A111" s="44" t="s">
        <v>489</v>
      </c>
      <c r="B111" s="42" t="s">
        <v>440</v>
      </c>
      <c r="C111" s="46" t="s">
        <v>13</v>
      </c>
      <c r="D111" s="123">
        <v>50000</v>
      </c>
      <c r="E111" s="123">
        <f>D111-(D111*10/100)</f>
        <v>45000</v>
      </c>
      <c r="F111" s="123">
        <f>D111-(D111*20/100)</f>
        <v>40000</v>
      </c>
      <c r="G111" s="123">
        <f>D111-(D111*30/100)</f>
        <v>35000</v>
      </c>
      <c r="H111" s="123">
        <f>D111-(D111*20/100)</f>
        <v>40000</v>
      </c>
      <c r="I111" s="123"/>
      <c r="J111" s="123"/>
      <c r="K111" s="123"/>
      <c r="L111" s="123">
        <f>D111-(D111*40/100)</f>
        <v>30000</v>
      </c>
      <c r="M111" s="123"/>
      <c r="N111" s="123"/>
      <c r="O111" s="123"/>
      <c r="P111" s="55" t="s">
        <v>9</v>
      </c>
      <c r="Q111" s="49" t="s">
        <v>23</v>
      </c>
      <c r="R111" s="93" t="s">
        <v>518</v>
      </c>
      <c r="S111" s="18"/>
      <c r="T111" s="18"/>
      <c r="U111" s="18"/>
      <c r="V111" s="18"/>
      <c r="W111" s="18"/>
    </row>
    <row r="112" spans="1:23" s="4" customFormat="1" ht="43.5" x14ac:dyDescent="0.2">
      <c r="A112" s="44" t="s">
        <v>490</v>
      </c>
      <c r="B112" s="49" t="s">
        <v>475</v>
      </c>
      <c r="C112" s="49" t="s">
        <v>24</v>
      </c>
      <c r="D112" s="113">
        <v>5000</v>
      </c>
      <c r="E112" s="113"/>
      <c r="F112" s="113"/>
      <c r="G112" s="113"/>
      <c r="H112" s="113">
        <f>D112-(D112*20/100)</f>
        <v>4000</v>
      </c>
      <c r="I112" s="113"/>
      <c r="J112" s="113"/>
      <c r="K112" s="113"/>
      <c r="L112" s="113">
        <f>D112-(D112*40/100)</f>
        <v>3000</v>
      </c>
      <c r="M112" s="113"/>
      <c r="N112" s="113"/>
      <c r="O112" s="113"/>
      <c r="P112" s="49" t="s">
        <v>9</v>
      </c>
      <c r="Q112" s="49" t="s">
        <v>480</v>
      </c>
      <c r="R112" s="90" t="s">
        <v>506</v>
      </c>
    </row>
    <row r="113" spans="19:23" s="12" customFormat="1" x14ac:dyDescent="0.2">
      <c r="S113" s="18"/>
      <c r="T113" s="18"/>
      <c r="U113" s="18"/>
      <c r="V113" s="18"/>
      <c r="W113" s="18"/>
    </row>
    <row r="114" spans="19:23" s="12" customFormat="1" x14ac:dyDescent="0.2">
      <c r="S114" s="18"/>
      <c r="T114" s="18"/>
      <c r="U114" s="18"/>
      <c r="V114" s="18"/>
      <c r="W114" s="18"/>
    </row>
    <row r="115" spans="19:23" s="12" customFormat="1" x14ac:dyDescent="0.2">
      <c r="S115" s="18"/>
      <c r="T115" s="18"/>
      <c r="U115" s="18"/>
      <c r="V115" s="18"/>
      <c r="W115" s="18"/>
    </row>
    <row r="116" spans="19:23" s="12" customFormat="1" x14ac:dyDescent="0.2">
      <c r="S116" s="18"/>
      <c r="T116" s="18"/>
      <c r="U116" s="18"/>
      <c r="V116" s="18"/>
      <c r="W116" s="18"/>
    </row>
    <row r="117" spans="19:23" s="12" customFormat="1" x14ac:dyDescent="0.2">
      <c r="S117" s="18"/>
      <c r="T117" s="18"/>
      <c r="U117" s="18"/>
      <c r="V117" s="18"/>
      <c r="W117" s="18"/>
    </row>
    <row r="118" spans="19:23" s="12" customFormat="1" x14ac:dyDescent="0.2">
      <c r="S118" s="18"/>
      <c r="T118" s="18"/>
      <c r="U118" s="18"/>
      <c r="V118" s="18"/>
      <c r="W118" s="18"/>
    </row>
    <row r="119" spans="19:23" s="12" customFormat="1" x14ac:dyDescent="0.2">
      <c r="S119" s="18"/>
      <c r="T119" s="18"/>
      <c r="U119" s="18"/>
      <c r="V119" s="18"/>
      <c r="W119" s="18"/>
    </row>
    <row r="120" spans="19:23" s="12" customFormat="1" x14ac:dyDescent="0.2">
      <c r="S120" s="18"/>
      <c r="T120" s="18"/>
      <c r="U120" s="18"/>
      <c r="V120" s="18"/>
      <c r="W120" s="18"/>
    </row>
    <row r="121" spans="19:23" s="12" customFormat="1" x14ac:dyDescent="0.2">
      <c r="S121" s="18"/>
      <c r="T121" s="18"/>
      <c r="U121" s="18"/>
      <c r="V121" s="18"/>
      <c r="W121" s="18"/>
    </row>
    <row r="122" spans="19:23" s="12" customFormat="1" x14ac:dyDescent="0.2">
      <c r="S122" s="18"/>
      <c r="T122" s="18"/>
      <c r="U122" s="18"/>
      <c r="V122" s="18"/>
      <c r="W122" s="18"/>
    </row>
    <row r="123" spans="19:23" s="12" customFormat="1" x14ac:dyDescent="0.2">
      <c r="S123" s="18"/>
      <c r="T123" s="18"/>
      <c r="U123" s="18"/>
      <c r="V123" s="18"/>
      <c r="W123" s="18"/>
    </row>
    <row r="124" spans="19:23" s="12" customFormat="1" x14ac:dyDescent="0.2">
      <c r="S124" s="18"/>
      <c r="T124" s="18"/>
      <c r="U124" s="18"/>
      <c r="V124" s="18"/>
      <c r="W124" s="18"/>
    </row>
    <row r="125" spans="19:23" s="12" customFormat="1" x14ac:dyDescent="0.2">
      <c r="S125" s="18"/>
      <c r="T125" s="18"/>
      <c r="U125" s="18"/>
      <c r="V125" s="18"/>
      <c r="W125" s="18"/>
    </row>
    <row r="126" spans="19:23" s="12" customFormat="1" x14ac:dyDescent="0.2">
      <c r="S126" s="18"/>
      <c r="T126" s="18"/>
      <c r="U126" s="18"/>
      <c r="V126" s="18"/>
      <c r="W126" s="18"/>
    </row>
    <row r="127" spans="19:23" s="12" customFormat="1" x14ac:dyDescent="0.2">
      <c r="S127" s="18"/>
      <c r="T127" s="18"/>
      <c r="U127" s="18"/>
      <c r="V127" s="18"/>
      <c r="W127" s="18"/>
    </row>
    <row r="128" spans="19:23" s="12" customFormat="1" x14ac:dyDescent="0.2">
      <c r="S128" s="18"/>
      <c r="T128" s="18"/>
      <c r="U128" s="18"/>
      <c r="V128" s="18"/>
      <c r="W128" s="18"/>
    </row>
    <row r="129" spans="19:23" s="12" customFormat="1" x14ac:dyDescent="0.2">
      <c r="S129" s="18"/>
      <c r="T129" s="18"/>
      <c r="U129" s="18"/>
      <c r="V129" s="18"/>
      <c r="W129" s="18"/>
    </row>
    <row r="130" spans="19:23" s="12" customFormat="1" x14ac:dyDescent="0.2">
      <c r="S130" s="18"/>
      <c r="T130" s="18"/>
      <c r="U130" s="18"/>
      <c r="V130" s="18"/>
      <c r="W130" s="18"/>
    </row>
    <row r="131" spans="19:23" s="12" customFormat="1" x14ac:dyDescent="0.2">
      <c r="S131" s="18"/>
      <c r="T131" s="18"/>
      <c r="U131" s="18"/>
      <c r="V131" s="18"/>
      <c r="W131" s="18"/>
    </row>
    <row r="132" spans="19:23" s="12" customFormat="1" x14ac:dyDescent="0.2">
      <c r="S132" s="18"/>
      <c r="T132" s="18"/>
      <c r="U132" s="18"/>
      <c r="V132" s="18"/>
      <c r="W132" s="18"/>
    </row>
    <row r="133" spans="19:23" s="12" customFormat="1" x14ac:dyDescent="0.2">
      <c r="S133" s="18"/>
      <c r="T133" s="18"/>
      <c r="U133" s="18"/>
      <c r="V133" s="18"/>
      <c r="W133" s="18"/>
    </row>
    <row r="134" spans="19:23" s="12" customFormat="1" x14ac:dyDescent="0.2">
      <c r="S134" s="18"/>
      <c r="T134" s="18"/>
      <c r="U134" s="18"/>
      <c r="V134" s="18"/>
      <c r="W134" s="18"/>
    </row>
    <row r="135" spans="19:23" s="12" customFormat="1" x14ac:dyDescent="0.2">
      <c r="S135" s="18"/>
      <c r="T135" s="18"/>
      <c r="U135" s="18"/>
      <c r="V135" s="18"/>
      <c r="W135" s="18"/>
    </row>
    <row r="136" spans="19:23" s="12" customFormat="1" x14ac:dyDescent="0.2">
      <c r="S136" s="18"/>
      <c r="T136" s="18"/>
      <c r="U136" s="18"/>
      <c r="V136" s="18"/>
      <c r="W136" s="18"/>
    </row>
    <row r="137" spans="19:23" s="12" customFormat="1" x14ac:dyDescent="0.2">
      <c r="S137" s="18"/>
      <c r="T137" s="18"/>
      <c r="U137" s="18"/>
      <c r="V137" s="18"/>
      <c r="W137" s="18"/>
    </row>
    <row r="138" spans="19:23" s="12" customFormat="1" x14ac:dyDescent="0.2">
      <c r="S138" s="18"/>
      <c r="T138" s="18"/>
      <c r="U138" s="18"/>
      <c r="V138" s="18"/>
      <c r="W138" s="18"/>
    </row>
    <row r="139" spans="19:23" s="12" customFormat="1" x14ac:dyDescent="0.2">
      <c r="S139" s="18"/>
      <c r="T139" s="18"/>
      <c r="U139" s="18"/>
      <c r="V139" s="18"/>
      <c r="W139" s="18"/>
    </row>
    <row r="140" spans="19:23" s="12" customFormat="1" x14ac:dyDescent="0.2">
      <c r="S140" s="18"/>
      <c r="T140" s="18"/>
      <c r="U140" s="18"/>
      <c r="V140" s="18"/>
      <c r="W140" s="18"/>
    </row>
    <row r="141" spans="19:23" s="12" customFormat="1" x14ac:dyDescent="0.2">
      <c r="S141" s="18"/>
      <c r="T141" s="18"/>
      <c r="U141" s="18"/>
      <c r="V141" s="18"/>
      <c r="W141" s="18"/>
    </row>
    <row r="142" spans="19:23" s="12" customFormat="1" x14ac:dyDescent="0.2">
      <c r="S142" s="18"/>
      <c r="T142" s="18"/>
      <c r="U142" s="18"/>
      <c r="V142" s="18"/>
      <c r="W142" s="18"/>
    </row>
    <row r="143" spans="19:23" s="12" customFormat="1" x14ac:dyDescent="0.2">
      <c r="S143" s="18"/>
      <c r="T143" s="18"/>
      <c r="U143" s="18"/>
      <c r="V143" s="18"/>
      <c r="W143" s="18"/>
    </row>
    <row r="144" spans="19:23" s="12" customFormat="1" x14ac:dyDescent="0.2">
      <c r="S144" s="18"/>
      <c r="T144" s="18"/>
      <c r="U144" s="18"/>
      <c r="V144" s="18"/>
      <c r="W144" s="18"/>
    </row>
    <row r="145" spans="19:23" s="12" customFormat="1" x14ac:dyDescent="0.2">
      <c r="S145" s="18"/>
      <c r="T145" s="18"/>
      <c r="U145" s="18"/>
      <c r="V145" s="18"/>
      <c r="W145" s="18"/>
    </row>
    <row r="146" spans="19:23" s="12" customFormat="1" x14ac:dyDescent="0.2">
      <c r="S146" s="18"/>
      <c r="T146" s="18"/>
      <c r="U146" s="18"/>
      <c r="V146" s="18"/>
      <c r="W146" s="18"/>
    </row>
    <row r="147" spans="19:23" s="12" customFormat="1" x14ac:dyDescent="0.2">
      <c r="S147" s="18"/>
      <c r="T147" s="18"/>
      <c r="U147" s="18"/>
      <c r="V147" s="18"/>
      <c r="W147" s="18"/>
    </row>
    <row r="148" spans="19:23" s="12" customFormat="1" x14ac:dyDescent="0.2">
      <c r="S148" s="18"/>
      <c r="T148" s="18"/>
      <c r="U148" s="18"/>
      <c r="V148" s="18"/>
      <c r="W148" s="18"/>
    </row>
    <row r="149" spans="19:23" s="12" customFormat="1" x14ac:dyDescent="0.2">
      <c r="S149" s="18"/>
      <c r="T149" s="18"/>
      <c r="U149" s="18"/>
      <c r="V149" s="18"/>
      <c r="W149" s="18"/>
    </row>
    <row r="150" spans="19:23" s="12" customFormat="1" x14ac:dyDescent="0.2">
      <c r="S150" s="18"/>
      <c r="T150" s="18"/>
      <c r="U150" s="18"/>
      <c r="V150" s="18"/>
      <c r="W150" s="18"/>
    </row>
    <row r="151" spans="19:23" s="12" customFormat="1" x14ac:dyDescent="0.2">
      <c r="S151" s="18"/>
      <c r="T151" s="18"/>
      <c r="U151" s="18"/>
      <c r="V151" s="18"/>
      <c r="W151" s="18"/>
    </row>
    <row r="152" spans="19:23" s="12" customFormat="1" x14ac:dyDescent="0.2">
      <c r="S152" s="18"/>
      <c r="T152" s="18"/>
      <c r="U152" s="18"/>
      <c r="V152" s="18"/>
      <c r="W152" s="18"/>
    </row>
    <row r="153" spans="19:23" s="12" customFormat="1" x14ac:dyDescent="0.2">
      <c r="S153" s="18"/>
      <c r="T153" s="18"/>
      <c r="U153" s="18"/>
      <c r="V153" s="18"/>
      <c r="W153" s="18"/>
    </row>
    <row r="154" spans="19:23" s="12" customFormat="1" x14ac:dyDescent="0.2">
      <c r="S154" s="18"/>
      <c r="T154" s="18"/>
      <c r="U154" s="18"/>
      <c r="V154" s="18"/>
      <c r="W154" s="18"/>
    </row>
    <row r="155" spans="19:23" s="12" customFormat="1" x14ac:dyDescent="0.2">
      <c r="S155" s="18"/>
      <c r="T155" s="18"/>
      <c r="U155" s="18"/>
      <c r="V155" s="18"/>
      <c r="W155" s="18"/>
    </row>
    <row r="156" spans="19:23" s="12" customFormat="1" x14ac:dyDescent="0.2">
      <c r="S156" s="18"/>
      <c r="T156" s="18"/>
      <c r="U156" s="18"/>
      <c r="V156" s="18"/>
      <c r="W156" s="18"/>
    </row>
    <row r="157" spans="19:23" s="12" customFormat="1" x14ac:dyDescent="0.2">
      <c r="S157" s="18"/>
      <c r="T157" s="18"/>
      <c r="U157" s="18"/>
      <c r="V157" s="18"/>
      <c r="W157" s="18"/>
    </row>
    <row r="158" spans="19:23" s="12" customFormat="1" x14ac:dyDescent="0.2">
      <c r="S158" s="18"/>
      <c r="T158" s="18"/>
      <c r="U158" s="18"/>
      <c r="V158" s="18"/>
      <c r="W158" s="18"/>
    </row>
    <row r="159" spans="19:23" s="12" customFormat="1" x14ac:dyDescent="0.2">
      <c r="S159" s="18"/>
      <c r="T159" s="18"/>
      <c r="U159" s="18"/>
      <c r="V159" s="18"/>
      <c r="W159" s="18"/>
    </row>
    <row r="160" spans="19:23" s="12" customFormat="1" x14ac:dyDescent="0.2">
      <c r="S160" s="18"/>
      <c r="T160" s="18"/>
      <c r="U160" s="18"/>
      <c r="V160" s="18"/>
      <c r="W160" s="18"/>
    </row>
    <row r="161" spans="19:23" s="12" customFormat="1" x14ac:dyDescent="0.2">
      <c r="S161" s="18"/>
      <c r="T161" s="18"/>
      <c r="U161" s="18"/>
      <c r="V161" s="18"/>
      <c r="W161" s="18"/>
    </row>
    <row r="162" spans="19:23" s="12" customFormat="1" x14ac:dyDescent="0.2">
      <c r="S162" s="18"/>
      <c r="T162" s="18"/>
      <c r="U162" s="18"/>
      <c r="V162" s="18"/>
      <c r="W162" s="18"/>
    </row>
    <row r="163" spans="19:23" s="12" customFormat="1" x14ac:dyDescent="0.2">
      <c r="S163" s="18"/>
      <c r="T163" s="18"/>
      <c r="U163" s="18"/>
      <c r="V163" s="18"/>
      <c r="W163" s="18"/>
    </row>
    <row r="164" spans="19:23" s="12" customFormat="1" x14ac:dyDescent="0.2">
      <c r="S164" s="18"/>
      <c r="T164" s="18"/>
      <c r="U164" s="18"/>
      <c r="V164" s="18"/>
      <c r="W164" s="18"/>
    </row>
    <row r="165" spans="19:23" s="12" customFormat="1" x14ac:dyDescent="0.2">
      <c r="S165" s="18"/>
      <c r="T165" s="18"/>
      <c r="U165" s="18"/>
      <c r="V165" s="18"/>
      <c r="W165" s="18"/>
    </row>
    <row r="166" spans="19:23" s="12" customFormat="1" x14ac:dyDescent="0.2">
      <c r="S166" s="18"/>
      <c r="T166" s="18"/>
      <c r="U166" s="18"/>
      <c r="V166" s="18"/>
      <c r="W166" s="18"/>
    </row>
    <row r="167" spans="19:23" s="12" customFormat="1" x14ac:dyDescent="0.2">
      <c r="S167" s="18"/>
      <c r="T167" s="18"/>
      <c r="U167" s="18"/>
      <c r="V167" s="18"/>
      <c r="W167" s="18"/>
    </row>
    <row r="168" spans="19:23" s="12" customFormat="1" x14ac:dyDescent="0.2">
      <c r="S168" s="18"/>
      <c r="T168" s="18"/>
      <c r="U168" s="18"/>
      <c r="V168" s="18"/>
      <c r="W168" s="18"/>
    </row>
    <row r="169" spans="19:23" s="12" customFormat="1" x14ac:dyDescent="0.2">
      <c r="S169" s="18"/>
      <c r="T169" s="18"/>
      <c r="U169" s="18"/>
      <c r="V169" s="18"/>
      <c r="W169" s="18"/>
    </row>
    <row r="170" spans="19:23" s="12" customFormat="1" x14ac:dyDescent="0.2">
      <c r="S170" s="18"/>
      <c r="T170" s="18"/>
      <c r="U170" s="18"/>
      <c r="V170" s="18"/>
      <c r="W170" s="18"/>
    </row>
    <row r="171" spans="19:23" s="12" customFormat="1" x14ac:dyDescent="0.2">
      <c r="S171" s="18"/>
      <c r="T171" s="18"/>
      <c r="U171" s="18"/>
      <c r="V171" s="18"/>
      <c r="W171" s="18"/>
    </row>
    <row r="172" spans="19:23" s="12" customFormat="1" x14ac:dyDescent="0.2">
      <c r="S172" s="18"/>
      <c r="T172" s="18"/>
      <c r="U172" s="18"/>
      <c r="V172" s="18"/>
      <c r="W172" s="18"/>
    </row>
    <row r="173" spans="19:23" s="12" customFormat="1" x14ac:dyDescent="0.2">
      <c r="S173" s="18"/>
      <c r="T173" s="18"/>
      <c r="U173" s="18"/>
      <c r="V173" s="18"/>
      <c r="W173" s="18"/>
    </row>
    <row r="174" spans="19:23" s="12" customFormat="1" x14ac:dyDescent="0.2">
      <c r="S174" s="18"/>
      <c r="T174" s="18"/>
      <c r="U174" s="18"/>
      <c r="V174" s="18"/>
      <c r="W174" s="18"/>
    </row>
    <row r="175" spans="19:23" s="12" customFormat="1" x14ac:dyDescent="0.2">
      <c r="S175" s="18"/>
      <c r="T175" s="18"/>
      <c r="U175" s="18"/>
      <c r="V175" s="18"/>
      <c r="W175" s="18"/>
    </row>
    <row r="176" spans="19:23" s="12" customFormat="1" x14ac:dyDescent="0.2">
      <c r="S176" s="18"/>
      <c r="T176" s="18"/>
      <c r="U176" s="18"/>
      <c r="V176" s="18"/>
      <c r="W176" s="18"/>
    </row>
    <row r="177" spans="19:23" s="12" customFormat="1" x14ac:dyDescent="0.2">
      <c r="S177" s="18"/>
      <c r="T177" s="18"/>
      <c r="U177" s="18"/>
      <c r="V177" s="18"/>
      <c r="W177" s="18"/>
    </row>
    <row r="178" spans="19:23" s="12" customFormat="1" x14ac:dyDescent="0.2">
      <c r="S178" s="18"/>
      <c r="T178" s="18"/>
      <c r="U178" s="18"/>
      <c r="V178" s="18"/>
      <c r="W178" s="18"/>
    </row>
    <row r="179" spans="19:23" s="12" customFormat="1" x14ac:dyDescent="0.2">
      <c r="S179" s="18"/>
      <c r="T179" s="18"/>
      <c r="U179" s="18"/>
      <c r="V179" s="18"/>
      <c r="W179" s="18"/>
    </row>
    <row r="180" spans="19:23" s="12" customFormat="1" x14ac:dyDescent="0.2">
      <c r="S180" s="18"/>
      <c r="T180" s="18"/>
      <c r="U180" s="18"/>
      <c r="V180" s="18"/>
      <c r="W180" s="18"/>
    </row>
    <row r="181" spans="19:23" s="12" customFormat="1" x14ac:dyDescent="0.2">
      <c r="S181" s="18"/>
      <c r="T181" s="18"/>
      <c r="U181" s="18"/>
      <c r="V181" s="18"/>
      <c r="W181" s="18"/>
    </row>
    <row r="182" spans="19:23" s="12" customFormat="1" x14ac:dyDescent="0.2">
      <c r="S182" s="18"/>
      <c r="T182" s="18"/>
      <c r="U182" s="18"/>
      <c r="V182" s="18"/>
      <c r="W182" s="18"/>
    </row>
    <row r="183" spans="19:23" s="12" customFormat="1" x14ac:dyDescent="0.2">
      <c r="S183" s="18"/>
      <c r="T183" s="18"/>
      <c r="U183" s="18"/>
      <c r="V183" s="18"/>
      <c r="W183" s="18"/>
    </row>
    <row r="184" spans="19:23" s="12" customFormat="1" x14ac:dyDescent="0.2">
      <c r="S184" s="18"/>
      <c r="T184" s="18"/>
      <c r="U184" s="18"/>
      <c r="V184" s="18"/>
      <c r="W184" s="18"/>
    </row>
    <row r="185" spans="19:23" s="12" customFormat="1" x14ac:dyDescent="0.2">
      <c r="S185" s="18"/>
      <c r="T185" s="18"/>
      <c r="U185" s="18"/>
      <c r="V185" s="18"/>
      <c r="W185" s="18"/>
    </row>
    <row r="186" spans="19:23" s="12" customFormat="1" x14ac:dyDescent="0.2">
      <c r="S186" s="18"/>
      <c r="T186" s="18"/>
      <c r="U186" s="18"/>
      <c r="V186" s="18"/>
      <c r="W186" s="18"/>
    </row>
    <row r="187" spans="19:23" s="12" customFormat="1" x14ac:dyDescent="0.2">
      <c r="S187" s="18"/>
      <c r="T187" s="18"/>
      <c r="U187" s="18"/>
      <c r="V187" s="18"/>
      <c r="W187" s="18"/>
    </row>
    <row r="188" spans="19:23" s="12" customFormat="1" x14ac:dyDescent="0.2">
      <c r="S188" s="18"/>
      <c r="T188" s="18"/>
      <c r="U188" s="18"/>
      <c r="V188" s="18"/>
      <c r="W188" s="18"/>
    </row>
    <row r="189" spans="19:23" s="12" customFormat="1" x14ac:dyDescent="0.2">
      <c r="S189" s="18"/>
      <c r="T189" s="18"/>
      <c r="U189" s="18"/>
      <c r="V189" s="18"/>
      <c r="W189" s="18"/>
    </row>
    <row r="190" spans="19:23" s="12" customFormat="1" x14ac:dyDescent="0.2">
      <c r="S190" s="18"/>
      <c r="T190" s="18"/>
      <c r="U190" s="18"/>
      <c r="V190" s="18"/>
      <c r="W190" s="18"/>
    </row>
    <row r="191" spans="19:23" s="12" customFormat="1" x14ac:dyDescent="0.2">
      <c r="S191" s="18"/>
      <c r="T191" s="18"/>
      <c r="U191" s="18"/>
      <c r="V191" s="18"/>
      <c r="W191" s="18"/>
    </row>
    <row r="192" spans="19:23" s="12" customFormat="1" x14ac:dyDescent="0.2">
      <c r="S192" s="18"/>
      <c r="T192" s="18"/>
      <c r="U192" s="18"/>
      <c r="V192" s="18"/>
      <c r="W192" s="18"/>
    </row>
    <row r="193" spans="19:23" s="12" customFormat="1" x14ac:dyDescent="0.2">
      <c r="S193" s="18"/>
      <c r="T193" s="18"/>
      <c r="U193" s="18"/>
      <c r="V193" s="18"/>
      <c r="W193" s="18"/>
    </row>
    <row r="194" spans="19:23" s="12" customFormat="1" x14ac:dyDescent="0.2">
      <c r="S194" s="18"/>
      <c r="T194" s="18"/>
      <c r="U194" s="18"/>
      <c r="V194" s="18"/>
      <c r="W194" s="18"/>
    </row>
    <row r="195" spans="19:23" s="12" customFormat="1" x14ac:dyDescent="0.2">
      <c r="S195" s="18"/>
      <c r="T195" s="18"/>
      <c r="U195" s="18"/>
      <c r="V195" s="18"/>
      <c r="W195" s="18"/>
    </row>
    <row r="196" spans="19:23" s="12" customFormat="1" x14ac:dyDescent="0.2">
      <c r="S196" s="18"/>
      <c r="T196" s="18"/>
      <c r="U196" s="18"/>
      <c r="V196" s="18"/>
      <c r="W196" s="18"/>
    </row>
    <row r="197" spans="19:23" s="12" customFormat="1" x14ac:dyDescent="0.2">
      <c r="S197" s="18"/>
      <c r="T197" s="18"/>
      <c r="U197" s="18"/>
      <c r="V197" s="18"/>
      <c r="W197" s="18"/>
    </row>
    <row r="198" spans="19:23" s="12" customFormat="1" x14ac:dyDescent="0.2">
      <c r="S198" s="18"/>
      <c r="T198" s="18"/>
      <c r="U198" s="18"/>
      <c r="V198" s="18"/>
      <c r="W198" s="18"/>
    </row>
    <row r="199" spans="19:23" s="12" customFormat="1" x14ac:dyDescent="0.2">
      <c r="S199" s="18"/>
      <c r="T199" s="18"/>
      <c r="U199" s="18"/>
      <c r="V199" s="18"/>
      <c r="W199" s="18"/>
    </row>
    <row r="200" spans="19:23" s="12" customFormat="1" x14ac:dyDescent="0.2">
      <c r="S200" s="18"/>
      <c r="T200" s="18"/>
      <c r="U200" s="18"/>
      <c r="V200" s="18"/>
      <c r="W200" s="18"/>
    </row>
    <row r="201" spans="19:23" s="12" customFormat="1" x14ac:dyDescent="0.2">
      <c r="S201" s="18"/>
      <c r="T201" s="18"/>
      <c r="U201" s="18"/>
      <c r="V201" s="18"/>
      <c r="W201" s="18"/>
    </row>
    <row r="202" spans="19:23" s="12" customFormat="1" x14ac:dyDescent="0.2">
      <c r="S202" s="18"/>
      <c r="T202" s="18"/>
      <c r="U202" s="18"/>
      <c r="V202" s="18"/>
      <c r="W202" s="18"/>
    </row>
    <row r="203" spans="19:23" s="12" customFormat="1" x14ac:dyDescent="0.2">
      <c r="S203" s="18"/>
      <c r="T203" s="18"/>
      <c r="U203" s="18"/>
      <c r="V203" s="18"/>
      <c r="W203" s="18"/>
    </row>
    <row r="204" spans="19:23" s="12" customFormat="1" x14ac:dyDescent="0.2">
      <c r="S204" s="18"/>
      <c r="T204" s="18"/>
      <c r="U204" s="18"/>
      <c r="V204" s="18"/>
      <c r="W204" s="18"/>
    </row>
    <row r="205" spans="19:23" s="12" customFormat="1" x14ac:dyDescent="0.2">
      <c r="S205" s="18"/>
      <c r="T205" s="18"/>
      <c r="U205" s="18"/>
      <c r="V205" s="18"/>
      <c r="W205" s="18"/>
    </row>
    <row r="206" spans="19:23" s="12" customFormat="1" x14ac:dyDescent="0.2">
      <c r="S206" s="18"/>
      <c r="T206" s="18"/>
      <c r="U206" s="18"/>
      <c r="V206" s="18"/>
      <c r="W206" s="18"/>
    </row>
    <row r="207" spans="19:23" s="12" customFormat="1" x14ac:dyDescent="0.2">
      <c r="S207" s="18"/>
      <c r="T207" s="18"/>
      <c r="U207" s="18"/>
      <c r="V207" s="18"/>
      <c r="W207" s="18"/>
    </row>
    <row r="208" spans="19:23" s="12" customFormat="1" x14ac:dyDescent="0.2">
      <c r="S208" s="18"/>
      <c r="T208" s="18"/>
      <c r="U208" s="18"/>
      <c r="V208" s="18"/>
      <c r="W208" s="18"/>
    </row>
    <row r="209" spans="19:23" s="12" customFormat="1" x14ac:dyDescent="0.2">
      <c r="S209" s="18"/>
      <c r="T209" s="18"/>
      <c r="U209" s="18"/>
      <c r="V209" s="18"/>
      <c r="W209" s="18"/>
    </row>
    <row r="210" spans="19:23" s="12" customFormat="1" x14ac:dyDescent="0.2">
      <c r="S210" s="18"/>
      <c r="T210" s="18"/>
      <c r="U210" s="18"/>
      <c r="V210" s="18"/>
      <c r="W210" s="18"/>
    </row>
    <row r="211" spans="19:23" s="12" customFormat="1" x14ac:dyDescent="0.2">
      <c r="S211" s="18"/>
      <c r="T211" s="18"/>
      <c r="U211" s="18"/>
      <c r="V211" s="18"/>
      <c r="W211" s="18"/>
    </row>
    <row r="212" spans="19:23" s="12" customFormat="1" x14ac:dyDescent="0.2">
      <c r="S212" s="18"/>
      <c r="T212" s="18"/>
      <c r="U212" s="18"/>
      <c r="V212" s="18"/>
      <c r="W212" s="18"/>
    </row>
    <row r="213" spans="19:23" s="12" customFormat="1" x14ac:dyDescent="0.2">
      <c r="S213" s="18"/>
      <c r="T213" s="18"/>
      <c r="U213" s="18"/>
      <c r="V213" s="18"/>
      <c r="W213" s="18"/>
    </row>
    <row r="214" spans="19:23" s="12" customFormat="1" x14ac:dyDescent="0.2">
      <c r="S214" s="18"/>
      <c r="T214" s="18"/>
      <c r="U214" s="18"/>
      <c r="V214" s="18"/>
      <c r="W214" s="18"/>
    </row>
    <row r="215" spans="19:23" s="12" customFormat="1" x14ac:dyDescent="0.2">
      <c r="S215" s="18"/>
      <c r="T215" s="18"/>
      <c r="U215" s="18"/>
      <c r="V215" s="18"/>
      <c r="W215" s="18"/>
    </row>
    <row r="216" spans="19:23" s="12" customFormat="1" x14ac:dyDescent="0.2">
      <c r="S216" s="18"/>
      <c r="T216" s="18"/>
      <c r="U216" s="18"/>
      <c r="V216" s="18"/>
      <c r="W216" s="18"/>
    </row>
    <row r="217" spans="19:23" s="12" customFormat="1" x14ac:dyDescent="0.2">
      <c r="S217" s="18"/>
      <c r="T217" s="18"/>
      <c r="U217" s="18"/>
      <c r="V217" s="18"/>
      <c r="W217" s="18"/>
    </row>
    <row r="218" spans="19:23" s="12" customFormat="1" x14ac:dyDescent="0.2">
      <c r="S218" s="18"/>
      <c r="T218" s="18"/>
      <c r="U218" s="18"/>
      <c r="V218" s="18"/>
      <c r="W218" s="18"/>
    </row>
    <row r="219" spans="19:23" s="12" customFormat="1" x14ac:dyDescent="0.2">
      <c r="S219" s="18"/>
      <c r="T219" s="18"/>
      <c r="U219" s="18"/>
      <c r="V219" s="18"/>
      <c r="W219" s="18"/>
    </row>
    <row r="220" spans="19:23" s="12" customFormat="1" x14ac:dyDescent="0.2">
      <c r="S220" s="18"/>
      <c r="T220" s="18"/>
      <c r="U220" s="18"/>
      <c r="V220" s="18"/>
      <c r="W220" s="18"/>
    </row>
    <row r="221" spans="19:23" s="12" customFormat="1" x14ac:dyDescent="0.2">
      <c r="S221" s="18"/>
      <c r="T221" s="18"/>
      <c r="U221" s="18"/>
      <c r="V221" s="18"/>
      <c r="W221" s="18"/>
    </row>
    <row r="222" spans="19:23" s="12" customFormat="1" x14ac:dyDescent="0.2">
      <c r="S222" s="18"/>
      <c r="T222" s="18"/>
      <c r="U222" s="18"/>
      <c r="V222" s="18"/>
      <c r="W222" s="18"/>
    </row>
    <row r="223" spans="19:23" s="12" customFormat="1" x14ac:dyDescent="0.2">
      <c r="S223" s="18"/>
      <c r="T223" s="18"/>
      <c r="U223" s="18"/>
      <c r="V223" s="18"/>
      <c r="W223" s="18"/>
    </row>
    <row r="224" spans="19:23" s="12" customFormat="1" x14ac:dyDescent="0.2">
      <c r="S224" s="18"/>
      <c r="T224" s="18"/>
      <c r="U224" s="18"/>
      <c r="V224" s="18"/>
      <c r="W224" s="18"/>
    </row>
    <row r="225" spans="19:23" s="12" customFormat="1" x14ac:dyDescent="0.2">
      <c r="S225" s="18"/>
      <c r="T225" s="18"/>
      <c r="U225" s="18"/>
      <c r="V225" s="18"/>
      <c r="W225" s="18"/>
    </row>
    <row r="226" spans="19:23" s="12" customFormat="1" x14ac:dyDescent="0.2">
      <c r="S226" s="18"/>
      <c r="T226" s="18"/>
      <c r="U226" s="18"/>
      <c r="V226" s="18"/>
      <c r="W226" s="18"/>
    </row>
    <row r="227" spans="19:23" s="12" customFormat="1" x14ac:dyDescent="0.2">
      <c r="S227" s="18"/>
      <c r="T227" s="18"/>
      <c r="U227" s="18"/>
      <c r="V227" s="18"/>
      <c r="W227" s="18"/>
    </row>
    <row r="228" spans="19:23" s="12" customFormat="1" x14ac:dyDescent="0.2">
      <c r="S228" s="18"/>
      <c r="T228" s="18"/>
      <c r="U228" s="18"/>
      <c r="V228" s="18"/>
      <c r="W228" s="18"/>
    </row>
    <row r="229" spans="19:23" s="12" customFormat="1" x14ac:dyDescent="0.2">
      <c r="S229" s="18"/>
      <c r="T229" s="18"/>
      <c r="U229" s="18"/>
      <c r="V229" s="18"/>
      <c r="W229" s="18"/>
    </row>
    <row r="230" spans="19:23" s="12" customFormat="1" x14ac:dyDescent="0.2">
      <c r="S230" s="18"/>
      <c r="T230" s="18"/>
      <c r="U230" s="18"/>
      <c r="V230" s="18"/>
      <c r="W230" s="18"/>
    </row>
    <row r="231" spans="19:23" s="12" customFormat="1" x14ac:dyDescent="0.2">
      <c r="S231" s="18"/>
      <c r="T231" s="18"/>
      <c r="U231" s="18"/>
      <c r="V231" s="18"/>
      <c r="W231" s="18"/>
    </row>
    <row r="232" spans="19:23" s="12" customFormat="1" x14ac:dyDescent="0.2">
      <c r="S232" s="18"/>
      <c r="T232" s="18"/>
      <c r="U232" s="18"/>
      <c r="V232" s="18"/>
      <c r="W232" s="18"/>
    </row>
    <row r="233" spans="19:23" s="12" customFormat="1" x14ac:dyDescent="0.2">
      <c r="S233" s="18"/>
      <c r="T233" s="18"/>
      <c r="U233" s="18"/>
      <c r="V233" s="18"/>
      <c r="W233" s="18"/>
    </row>
    <row r="234" spans="19:23" s="12" customFormat="1" x14ac:dyDescent="0.2">
      <c r="S234" s="18"/>
      <c r="T234" s="18"/>
      <c r="U234" s="18"/>
      <c r="V234" s="18"/>
      <c r="W234" s="18"/>
    </row>
    <row r="235" spans="19:23" s="12" customFormat="1" x14ac:dyDescent="0.2">
      <c r="S235" s="18"/>
      <c r="T235" s="18"/>
      <c r="U235" s="18"/>
      <c r="V235" s="18"/>
      <c r="W235" s="18"/>
    </row>
    <row r="236" spans="19:23" s="12" customFormat="1" x14ac:dyDescent="0.2">
      <c r="S236" s="18"/>
      <c r="T236" s="18"/>
      <c r="U236" s="18"/>
      <c r="V236" s="18"/>
      <c r="W236" s="18"/>
    </row>
    <row r="237" spans="19:23" s="12" customFormat="1" x14ac:dyDescent="0.2">
      <c r="S237" s="18"/>
      <c r="T237" s="18"/>
      <c r="U237" s="18"/>
      <c r="V237" s="18"/>
      <c r="W237" s="18"/>
    </row>
    <row r="238" spans="19:23" s="12" customFormat="1" x14ac:dyDescent="0.2">
      <c r="S238" s="18"/>
      <c r="T238" s="18"/>
      <c r="U238" s="18"/>
      <c r="V238" s="18"/>
      <c r="W238" s="18"/>
    </row>
    <row r="239" spans="19:23" s="12" customFormat="1" x14ac:dyDescent="0.2">
      <c r="S239" s="18"/>
      <c r="T239" s="18"/>
      <c r="U239" s="18"/>
      <c r="V239" s="18"/>
      <c r="W239" s="18"/>
    </row>
    <row r="240" spans="19:23" s="12" customFormat="1" x14ac:dyDescent="0.2">
      <c r="S240" s="18"/>
      <c r="T240" s="18"/>
      <c r="U240" s="18"/>
      <c r="V240" s="18"/>
      <c r="W240" s="18"/>
    </row>
    <row r="241" spans="19:23" s="12" customFormat="1" x14ac:dyDescent="0.2">
      <c r="S241" s="18"/>
      <c r="T241" s="18"/>
      <c r="U241" s="18"/>
      <c r="V241" s="18"/>
      <c r="W241" s="18"/>
    </row>
    <row r="242" spans="19:23" s="12" customFormat="1" x14ac:dyDescent="0.2">
      <c r="S242" s="18"/>
      <c r="T242" s="18"/>
      <c r="U242" s="18"/>
      <c r="V242" s="18"/>
      <c r="W242" s="18"/>
    </row>
    <row r="243" spans="19:23" s="12" customFormat="1" x14ac:dyDescent="0.2">
      <c r="S243" s="18"/>
      <c r="T243" s="18"/>
      <c r="U243" s="18"/>
      <c r="V243" s="18"/>
      <c r="W243" s="18"/>
    </row>
    <row r="244" spans="19:23" s="12" customFormat="1" x14ac:dyDescent="0.2">
      <c r="S244" s="18"/>
      <c r="T244" s="18"/>
      <c r="U244" s="18"/>
      <c r="V244" s="18"/>
      <c r="W244" s="18"/>
    </row>
    <row r="245" spans="19:23" s="12" customFormat="1" x14ac:dyDescent="0.2">
      <c r="S245" s="18"/>
      <c r="T245" s="18"/>
      <c r="U245" s="18"/>
      <c r="V245" s="18"/>
      <c r="W245" s="18"/>
    </row>
    <row r="246" spans="19:23" s="12" customFormat="1" x14ac:dyDescent="0.2">
      <c r="S246" s="18"/>
      <c r="T246" s="18"/>
      <c r="U246" s="18"/>
      <c r="V246" s="18"/>
      <c r="W246" s="18"/>
    </row>
    <row r="247" spans="19:23" s="12" customFormat="1" x14ac:dyDescent="0.2">
      <c r="S247" s="18"/>
      <c r="T247" s="18"/>
      <c r="U247" s="18"/>
      <c r="V247" s="18"/>
      <c r="W247" s="18"/>
    </row>
    <row r="248" spans="19:23" s="12" customFormat="1" x14ac:dyDescent="0.2">
      <c r="S248" s="18"/>
      <c r="T248" s="18"/>
      <c r="U248" s="18"/>
      <c r="V248" s="18"/>
      <c r="W248" s="18"/>
    </row>
    <row r="249" spans="19:23" s="12" customFormat="1" x14ac:dyDescent="0.2">
      <c r="S249" s="18"/>
      <c r="T249" s="18"/>
      <c r="U249" s="18"/>
      <c r="V249" s="18"/>
      <c r="W249" s="18"/>
    </row>
    <row r="250" spans="19:23" s="12" customFormat="1" x14ac:dyDescent="0.2">
      <c r="S250" s="18"/>
      <c r="T250" s="18"/>
      <c r="U250" s="18"/>
      <c r="V250" s="18"/>
      <c r="W250" s="18"/>
    </row>
    <row r="251" spans="19:23" s="12" customFormat="1" x14ac:dyDescent="0.2">
      <c r="S251" s="18"/>
      <c r="T251" s="18"/>
      <c r="U251" s="18"/>
      <c r="V251" s="18"/>
      <c r="W251" s="18"/>
    </row>
    <row r="252" spans="19:23" s="12" customFormat="1" x14ac:dyDescent="0.2">
      <c r="S252" s="18"/>
      <c r="T252" s="18"/>
      <c r="U252" s="18"/>
      <c r="V252" s="18"/>
      <c r="W252" s="18"/>
    </row>
    <row r="253" spans="19:23" s="12" customFormat="1" x14ac:dyDescent="0.2">
      <c r="S253" s="18"/>
      <c r="T253" s="18"/>
      <c r="U253" s="18"/>
      <c r="V253" s="18"/>
      <c r="W253" s="18"/>
    </row>
    <row r="254" spans="19:23" s="12" customFormat="1" x14ac:dyDescent="0.2">
      <c r="S254" s="18"/>
      <c r="T254" s="18"/>
      <c r="U254" s="18"/>
      <c r="V254" s="18"/>
      <c r="W254" s="18"/>
    </row>
    <row r="255" spans="19:23" s="12" customFormat="1" x14ac:dyDescent="0.2">
      <c r="S255" s="18"/>
      <c r="T255" s="18"/>
      <c r="U255" s="18"/>
      <c r="V255" s="18"/>
      <c r="W255" s="18"/>
    </row>
    <row r="256" spans="19:23" s="12" customFormat="1" x14ac:dyDescent="0.2">
      <c r="S256" s="18"/>
      <c r="T256" s="18"/>
      <c r="U256" s="18"/>
      <c r="V256" s="18"/>
      <c r="W256" s="18"/>
    </row>
    <row r="257" spans="19:23" s="12" customFormat="1" x14ac:dyDescent="0.2">
      <c r="S257" s="18"/>
      <c r="T257" s="18"/>
      <c r="U257" s="18"/>
      <c r="V257" s="18"/>
      <c r="W257" s="18"/>
    </row>
    <row r="258" spans="19:23" s="12" customFormat="1" x14ac:dyDescent="0.2">
      <c r="S258" s="18"/>
      <c r="T258" s="18"/>
      <c r="U258" s="18"/>
      <c r="V258" s="18"/>
      <c r="W258" s="18"/>
    </row>
    <row r="259" spans="19:23" s="12" customFormat="1" x14ac:dyDescent="0.2">
      <c r="S259" s="18"/>
      <c r="T259" s="18"/>
      <c r="U259" s="18"/>
      <c r="V259" s="18"/>
      <c r="W259" s="18"/>
    </row>
    <row r="260" spans="19:23" s="12" customFormat="1" x14ac:dyDescent="0.2">
      <c r="S260" s="18"/>
      <c r="T260" s="18"/>
      <c r="U260" s="18"/>
      <c r="V260" s="18"/>
      <c r="W260" s="18"/>
    </row>
    <row r="261" spans="19:23" s="12" customFormat="1" x14ac:dyDescent="0.2">
      <c r="S261" s="18"/>
      <c r="T261" s="18"/>
      <c r="U261" s="18"/>
      <c r="V261" s="18"/>
      <c r="W261" s="18"/>
    </row>
    <row r="262" spans="19:23" s="12" customFormat="1" x14ac:dyDescent="0.2">
      <c r="S262" s="18"/>
      <c r="T262" s="18"/>
      <c r="U262" s="18"/>
      <c r="V262" s="18"/>
      <c r="W262" s="18"/>
    </row>
    <row r="263" spans="19:23" s="12" customFormat="1" x14ac:dyDescent="0.2">
      <c r="S263" s="18"/>
      <c r="T263" s="18"/>
      <c r="U263" s="18"/>
      <c r="V263" s="18"/>
      <c r="W263" s="18"/>
    </row>
    <row r="264" spans="19:23" s="12" customFormat="1" x14ac:dyDescent="0.2">
      <c r="S264" s="18"/>
      <c r="T264" s="18"/>
      <c r="U264" s="18"/>
      <c r="V264" s="18"/>
      <c r="W264" s="18"/>
    </row>
    <row r="265" spans="19:23" s="12" customFormat="1" x14ac:dyDescent="0.2">
      <c r="S265" s="18"/>
      <c r="T265" s="18"/>
      <c r="U265" s="18"/>
      <c r="V265" s="18"/>
      <c r="W265" s="18"/>
    </row>
    <row r="266" spans="19:23" s="12" customFormat="1" x14ac:dyDescent="0.2">
      <c r="S266" s="18"/>
      <c r="T266" s="18"/>
      <c r="U266" s="18"/>
      <c r="V266" s="18"/>
      <c r="W266" s="18"/>
    </row>
    <row r="267" spans="19:23" s="12" customFormat="1" x14ac:dyDescent="0.2">
      <c r="S267" s="18"/>
      <c r="T267" s="18"/>
      <c r="U267" s="18"/>
      <c r="V267" s="18"/>
      <c r="W267" s="18"/>
    </row>
    <row r="268" spans="19:23" s="12" customFormat="1" x14ac:dyDescent="0.2">
      <c r="S268" s="18"/>
      <c r="T268" s="18"/>
      <c r="U268" s="18"/>
      <c r="V268" s="18"/>
      <c r="W268" s="18"/>
    </row>
    <row r="269" spans="19:23" s="12" customFormat="1" x14ac:dyDescent="0.2">
      <c r="S269" s="18"/>
      <c r="T269" s="18"/>
      <c r="U269" s="18"/>
      <c r="V269" s="18"/>
      <c r="W269" s="18"/>
    </row>
    <row r="270" spans="19:23" s="12" customFormat="1" x14ac:dyDescent="0.2">
      <c r="S270" s="18"/>
      <c r="T270" s="18"/>
      <c r="U270" s="18"/>
      <c r="V270" s="18"/>
      <c r="W270" s="18"/>
    </row>
    <row r="271" spans="19:23" s="12" customFormat="1" x14ac:dyDescent="0.2">
      <c r="S271" s="18"/>
      <c r="T271" s="18"/>
      <c r="U271" s="18"/>
      <c r="V271" s="18"/>
      <c r="W271" s="18"/>
    </row>
    <row r="272" spans="19:23" s="12" customFormat="1" x14ac:dyDescent="0.2">
      <c r="S272" s="18"/>
      <c r="T272" s="18"/>
      <c r="U272" s="18"/>
      <c r="V272" s="18"/>
      <c r="W272" s="18"/>
    </row>
    <row r="273" spans="19:23" s="12" customFormat="1" x14ac:dyDescent="0.2">
      <c r="S273" s="18"/>
      <c r="T273" s="18"/>
      <c r="U273" s="18"/>
      <c r="V273" s="18"/>
      <c r="W273" s="18"/>
    </row>
    <row r="274" spans="19:23" s="12" customFormat="1" x14ac:dyDescent="0.2">
      <c r="S274" s="18"/>
      <c r="T274" s="18"/>
      <c r="U274" s="18"/>
      <c r="V274" s="18"/>
      <c r="W274" s="18"/>
    </row>
    <row r="275" spans="19:23" s="12" customFormat="1" x14ac:dyDescent="0.2">
      <c r="S275" s="18"/>
      <c r="T275" s="18"/>
      <c r="U275" s="18"/>
      <c r="V275" s="18"/>
      <c r="W275" s="18"/>
    </row>
    <row r="276" spans="19:23" s="12" customFormat="1" x14ac:dyDescent="0.2">
      <c r="S276" s="18"/>
      <c r="T276" s="18"/>
      <c r="U276" s="18"/>
      <c r="V276" s="18"/>
      <c r="W276" s="18"/>
    </row>
    <row r="277" spans="19:23" s="12" customFormat="1" x14ac:dyDescent="0.2">
      <c r="S277" s="18"/>
      <c r="T277" s="18"/>
      <c r="U277" s="18"/>
      <c r="V277" s="18"/>
      <c r="W277" s="18"/>
    </row>
    <row r="278" spans="19:23" s="12" customFormat="1" x14ac:dyDescent="0.2">
      <c r="S278" s="18"/>
      <c r="T278" s="18"/>
      <c r="U278" s="18"/>
      <c r="V278" s="18"/>
      <c r="W278" s="18"/>
    </row>
    <row r="279" spans="19:23" s="12" customFormat="1" x14ac:dyDescent="0.2">
      <c r="S279" s="18"/>
      <c r="T279" s="18"/>
      <c r="U279" s="18"/>
      <c r="V279" s="18"/>
      <c r="W279" s="18"/>
    </row>
    <row r="280" spans="19:23" s="12" customFormat="1" x14ac:dyDescent="0.2">
      <c r="S280" s="18"/>
      <c r="T280" s="18"/>
      <c r="U280" s="18"/>
      <c r="V280" s="18"/>
      <c r="W280" s="18"/>
    </row>
    <row r="281" spans="19:23" s="12" customFormat="1" x14ac:dyDescent="0.2">
      <c r="S281" s="18"/>
      <c r="T281" s="18"/>
      <c r="U281" s="18"/>
      <c r="V281" s="18"/>
      <c r="W281" s="18"/>
    </row>
    <row r="282" spans="19:23" s="12" customFormat="1" x14ac:dyDescent="0.2">
      <c r="S282" s="18"/>
      <c r="T282" s="18"/>
      <c r="U282" s="18"/>
      <c r="V282" s="18"/>
      <c r="W282" s="18"/>
    </row>
    <row r="283" spans="19:23" s="12" customFormat="1" x14ac:dyDescent="0.2">
      <c r="S283" s="18"/>
      <c r="T283" s="18"/>
      <c r="U283" s="18"/>
      <c r="V283" s="18"/>
      <c r="W283" s="18"/>
    </row>
    <row r="284" spans="19:23" s="12" customFormat="1" x14ac:dyDescent="0.2">
      <c r="S284" s="18"/>
      <c r="T284" s="18"/>
      <c r="U284" s="18"/>
      <c r="V284" s="18"/>
      <c r="W284" s="18"/>
    </row>
    <row r="285" spans="19:23" s="12" customFormat="1" x14ac:dyDescent="0.2">
      <c r="S285" s="18"/>
      <c r="T285" s="18"/>
      <c r="U285" s="18"/>
      <c r="V285" s="18"/>
      <c r="W285" s="18"/>
    </row>
    <row r="286" spans="19:23" s="12" customFormat="1" x14ac:dyDescent="0.2">
      <c r="S286" s="18"/>
      <c r="T286" s="18"/>
      <c r="U286" s="18"/>
      <c r="V286" s="18"/>
      <c r="W286" s="18"/>
    </row>
    <row r="287" spans="19:23" s="12" customFormat="1" x14ac:dyDescent="0.2">
      <c r="S287" s="18"/>
      <c r="T287" s="18"/>
      <c r="U287" s="18"/>
      <c r="V287" s="18"/>
      <c r="W287" s="18"/>
    </row>
    <row r="288" spans="19:23" s="12" customFormat="1" x14ac:dyDescent="0.2">
      <c r="S288" s="18"/>
      <c r="T288" s="18"/>
      <c r="U288" s="18"/>
      <c r="V288" s="18"/>
      <c r="W288" s="18"/>
    </row>
    <row r="289" spans="19:23" s="12" customFormat="1" x14ac:dyDescent="0.2">
      <c r="S289" s="18"/>
      <c r="T289" s="18"/>
      <c r="U289" s="18"/>
      <c r="V289" s="18"/>
      <c r="W289" s="18"/>
    </row>
    <row r="290" spans="19:23" s="12" customFormat="1" x14ac:dyDescent="0.2">
      <c r="S290" s="18"/>
      <c r="T290" s="18"/>
      <c r="U290" s="18"/>
      <c r="V290" s="18"/>
      <c r="W290" s="18"/>
    </row>
    <row r="291" spans="19:23" s="12" customFormat="1" x14ac:dyDescent="0.2">
      <c r="S291" s="18"/>
      <c r="T291" s="18"/>
      <c r="U291" s="18"/>
      <c r="V291" s="18"/>
      <c r="W291" s="18"/>
    </row>
    <row r="292" spans="19:23" s="12" customFormat="1" x14ac:dyDescent="0.2">
      <c r="S292" s="18"/>
      <c r="T292" s="18"/>
      <c r="U292" s="18"/>
      <c r="V292" s="18"/>
      <c r="W292" s="18"/>
    </row>
    <row r="293" spans="19:23" s="12" customFormat="1" x14ac:dyDescent="0.2">
      <c r="S293" s="18"/>
      <c r="T293" s="18"/>
      <c r="U293" s="18"/>
      <c r="V293" s="18"/>
      <c r="W293" s="18"/>
    </row>
    <row r="294" spans="19:23" s="12" customFormat="1" x14ac:dyDescent="0.2">
      <c r="S294" s="18"/>
      <c r="T294" s="18"/>
      <c r="U294" s="18"/>
      <c r="V294" s="18"/>
      <c r="W294" s="18"/>
    </row>
    <row r="295" spans="19:23" s="12" customFormat="1" x14ac:dyDescent="0.2">
      <c r="S295" s="18"/>
      <c r="T295" s="18"/>
      <c r="U295" s="18"/>
      <c r="V295" s="18"/>
      <c r="W295" s="18"/>
    </row>
    <row r="296" spans="19:23" s="12" customFormat="1" x14ac:dyDescent="0.2">
      <c r="S296" s="18"/>
      <c r="T296" s="18"/>
      <c r="U296" s="18"/>
      <c r="V296" s="18"/>
      <c r="W296" s="18"/>
    </row>
    <row r="297" spans="19:23" s="12" customFormat="1" x14ac:dyDescent="0.2">
      <c r="S297" s="18"/>
      <c r="T297" s="18"/>
      <c r="U297" s="18"/>
      <c r="V297" s="18"/>
      <c r="W297" s="18"/>
    </row>
    <row r="298" spans="19:23" s="12" customFormat="1" x14ac:dyDescent="0.2">
      <c r="S298" s="18"/>
      <c r="T298" s="18"/>
      <c r="U298" s="18"/>
      <c r="V298" s="18"/>
      <c r="W298" s="18"/>
    </row>
    <row r="299" spans="19:23" s="12" customFormat="1" x14ac:dyDescent="0.2">
      <c r="S299" s="18"/>
      <c r="T299" s="18"/>
      <c r="U299" s="18"/>
      <c r="V299" s="18"/>
      <c r="W299" s="18"/>
    </row>
    <row r="300" spans="19:23" s="12" customFormat="1" x14ac:dyDescent="0.2">
      <c r="S300" s="18"/>
      <c r="T300" s="18"/>
      <c r="U300" s="18"/>
      <c r="V300" s="18"/>
      <c r="W300" s="18"/>
    </row>
    <row r="301" spans="19:23" s="12" customFormat="1" x14ac:dyDescent="0.2">
      <c r="S301" s="18"/>
      <c r="T301" s="18"/>
      <c r="U301" s="18"/>
      <c r="V301" s="18"/>
      <c r="W301" s="18"/>
    </row>
    <row r="302" spans="19:23" s="12" customFormat="1" x14ac:dyDescent="0.2">
      <c r="S302" s="18"/>
      <c r="T302" s="18"/>
      <c r="U302" s="18"/>
      <c r="V302" s="18"/>
      <c r="W302" s="18"/>
    </row>
    <row r="303" spans="19:23" s="12" customFormat="1" x14ac:dyDescent="0.2">
      <c r="S303" s="18"/>
      <c r="T303" s="18"/>
      <c r="U303" s="18"/>
      <c r="V303" s="18"/>
      <c r="W303" s="18"/>
    </row>
    <row r="304" spans="19:23" s="12" customFormat="1" x14ac:dyDescent="0.2">
      <c r="S304" s="18"/>
      <c r="T304" s="18"/>
      <c r="U304" s="18"/>
      <c r="V304" s="18"/>
      <c r="W304" s="18"/>
    </row>
    <row r="305" spans="19:23" s="12" customFormat="1" x14ac:dyDescent="0.2">
      <c r="S305" s="18"/>
      <c r="T305" s="18"/>
      <c r="U305" s="18"/>
      <c r="V305" s="18"/>
      <c r="W305" s="18"/>
    </row>
    <row r="306" spans="19:23" s="12" customFormat="1" x14ac:dyDescent="0.2">
      <c r="S306" s="18"/>
      <c r="T306" s="18"/>
      <c r="U306" s="18"/>
      <c r="V306" s="18"/>
      <c r="W306" s="18"/>
    </row>
    <row r="307" spans="19:23" s="12" customFormat="1" x14ac:dyDescent="0.2">
      <c r="S307" s="18"/>
      <c r="T307" s="18"/>
      <c r="U307" s="18"/>
      <c r="V307" s="18"/>
      <c r="W307" s="18"/>
    </row>
    <row r="308" spans="19:23" s="12" customFormat="1" x14ac:dyDescent="0.2">
      <c r="S308" s="18"/>
      <c r="T308" s="18"/>
      <c r="U308" s="18"/>
      <c r="V308" s="18"/>
      <c r="W308" s="18"/>
    </row>
    <row r="309" spans="19:23" s="12" customFormat="1" x14ac:dyDescent="0.2">
      <c r="S309" s="18"/>
      <c r="T309" s="18"/>
      <c r="U309" s="18"/>
      <c r="V309" s="18"/>
      <c r="W309" s="18"/>
    </row>
    <row r="310" spans="19:23" s="12" customFormat="1" x14ac:dyDescent="0.2">
      <c r="S310" s="18"/>
      <c r="T310" s="18"/>
      <c r="U310" s="18"/>
      <c r="V310" s="18"/>
      <c r="W310" s="18"/>
    </row>
    <row r="311" spans="19:23" s="12" customFormat="1" x14ac:dyDescent="0.2">
      <c r="S311" s="18"/>
      <c r="T311" s="18"/>
      <c r="U311" s="18"/>
      <c r="V311" s="18"/>
      <c r="W311" s="18"/>
    </row>
    <row r="312" spans="19:23" s="12" customFormat="1" x14ac:dyDescent="0.2">
      <c r="S312" s="18"/>
      <c r="T312" s="18"/>
      <c r="U312" s="18"/>
      <c r="V312" s="18"/>
      <c r="W312" s="18"/>
    </row>
    <row r="313" spans="19:23" s="12" customFormat="1" x14ac:dyDescent="0.2">
      <c r="S313" s="18"/>
      <c r="T313" s="18"/>
      <c r="U313" s="18"/>
      <c r="V313" s="18"/>
      <c r="W313" s="18"/>
    </row>
    <row r="314" spans="19:23" s="12" customFormat="1" x14ac:dyDescent="0.2">
      <c r="S314" s="18"/>
      <c r="T314" s="18"/>
      <c r="U314" s="18"/>
      <c r="V314" s="18"/>
      <c r="W314" s="18"/>
    </row>
    <row r="315" spans="19:23" s="12" customFormat="1" x14ac:dyDescent="0.2">
      <c r="S315" s="18"/>
      <c r="T315" s="18"/>
      <c r="U315" s="18"/>
      <c r="V315" s="18"/>
      <c r="W315" s="18"/>
    </row>
    <row r="316" spans="19:23" s="12" customFormat="1" x14ac:dyDescent="0.2">
      <c r="S316" s="18"/>
      <c r="T316" s="18"/>
      <c r="U316" s="18"/>
      <c r="V316" s="18"/>
      <c r="W316" s="18"/>
    </row>
    <row r="317" spans="19:23" s="12" customFormat="1" x14ac:dyDescent="0.2">
      <c r="S317" s="18"/>
      <c r="T317" s="18"/>
      <c r="U317" s="18"/>
      <c r="V317" s="18"/>
      <c r="W317" s="18"/>
    </row>
    <row r="318" spans="19:23" s="12" customFormat="1" x14ac:dyDescent="0.2">
      <c r="S318" s="18"/>
      <c r="T318" s="18"/>
      <c r="U318" s="18"/>
      <c r="V318" s="18"/>
      <c r="W318" s="18"/>
    </row>
    <row r="319" spans="19:23" s="12" customFormat="1" x14ac:dyDescent="0.2">
      <c r="S319" s="18"/>
      <c r="T319" s="18"/>
      <c r="U319" s="18"/>
      <c r="V319" s="18"/>
      <c r="W319" s="18"/>
    </row>
    <row r="320" spans="19:23" s="12" customFormat="1" x14ac:dyDescent="0.2">
      <c r="S320" s="18"/>
      <c r="T320" s="18"/>
      <c r="U320" s="18"/>
      <c r="V320" s="18"/>
      <c r="W320" s="18"/>
    </row>
    <row r="321" spans="19:23" s="12" customFormat="1" x14ac:dyDescent="0.2">
      <c r="S321" s="18"/>
      <c r="T321" s="18"/>
      <c r="U321" s="18"/>
      <c r="V321" s="18"/>
      <c r="W321" s="18"/>
    </row>
    <row r="322" spans="19:23" s="12" customFormat="1" x14ac:dyDescent="0.2">
      <c r="S322" s="18"/>
      <c r="T322" s="18"/>
      <c r="U322" s="18"/>
      <c r="V322" s="18"/>
      <c r="W322" s="18"/>
    </row>
    <row r="323" spans="19:23" s="12" customFormat="1" x14ac:dyDescent="0.2">
      <c r="S323" s="18"/>
      <c r="T323" s="18"/>
      <c r="U323" s="18"/>
      <c r="V323" s="18"/>
      <c r="W323" s="18"/>
    </row>
    <row r="324" spans="19:23" s="12" customFormat="1" x14ac:dyDescent="0.2">
      <c r="S324" s="18"/>
      <c r="T324" s="18"/>
      <c r="U324" s="18"/>
      <c r="V324" s="18"/>
      <c r="W324" s="18"/>
    </row>
    <row r="325" spans="19:23" s="12" customFormat="1" x14ac:dyDescent="0.2">
      <c r="S325" s="18"/>
      <c r="T325" s="18"/>
      <c r="U325" s="18"/>
      <c r="V325" s="18"/>
      <c r="W325" s="18"/>
    </row>
    <row r="326" spans="19:23" s="12" customFormat="1" x14ac:dyDescent="0.2">
      <c r="S326" s="18"/>
      <c r="T326" s="18"/>
      <c r="U326" s="18"/>
      <c r="V326" s="18"/>
      <c r="W326" s="18"/>
    </row>
    <row r="327" spans="19:23" s="12" customFormat="1" x14ac:dyDescent="0.2">
      <c r="S327" s="18"/>
      <c r="T327" s="18"/>
      <c r="U327" s="18"/>
      <c r="V327" s="18"/>
      <c r="W327" s="18"/>
    </row>
    <row r="328" spans="19:23" s="12" customFormat="1" x14ac:dyDescent="0.2">
      <c r="S328" s="18"/>
      <c r="T328" s="18"/>
      <c r="U328" s="18"/>
      <c r="V328" s="18"/>
      <c r="W328" s="18"/>
    </row>
    <row r="329" spans="19:23" s="12" customFormat="1" x14ac:dyDescent="0.2">
      <c r="S329" s="18"/>
      <c r="T329" s="18"/>
      <c r="U329" s="18"/>
      <c r="V329" s="18"/>
      <c r="W329" s="18"/>
    </row>
    <row r="330" spans="19:23" s="12" customFormat="1" x14ac:dyDescent="0.2">
      <c r="S330" s="18"/>
      <c r="T330" s="18"/>
      <c r="U330" s="18"/>
      <c r="V330" s="18"/>
      <c r="W330" s="18"/>
    </row>
    <row r="331" spans="19:23" s="12" customFormat="1" x14ac:dyDescent="0.2">
      <c r="S331" s="18"/>
      <c r="T331" s="18"/>
      <c r="U331" s="18"/>
      <c r="V331" s="18"/>
      <c r="W331" s="18"/>
    </row>
    <row r="332" spans="19:23" s="12" customFormat="1" x14ac:dyDescent="0.2">
      <c r="S332" s="18"/>
      <c r="T332" s="18"/>
      <c r="U332" s="18"/>
      <c r="V332" s="18"/>
      <c r="W332" s="18"/>
    </row>
    <row r="333" spans="19:23" s="12" customFormat="1" x14ac:dyDescent="0.2">
      <c r="S333" s="18"/>
      <c r="T333" s="18"/>
      <c r="U333" s="18"/>
      <c r="V333" s="18"/>
      <c r="W333" s="18"/>
    </row>
    <row r="334" spans="19:23" s="12" customFormat="1" x14ac:dyDescent="0.2">
      <c r="S334" s="18"/>
      <c r="T334" s="18"/>
      <c r="U334" s="18"/>
      <c r="V334" s="18"/>
      <c r="W334" s="18"/>
    </row>
    <row r="335" spans="19:23" s="12" customFormat="1" x14ac:dyDescent="0.2">
      <c r="S335" s="18"/>
      <c r="T335" s="18"/>
      <c r="U335" s="18"/>
      <c r="V335" s="18"/>
      <c r="W335" s="18"/>
    </row>
    <row r="336" spans="19:23" s="12" customFormat="1" x14ac:dyDescent="0.2">
      <c r="S336" s="18"/>
      <c r="T336" s="18"/>
      <c r="U336" s="18"/>
      <c r="V336" s="18"/>
      <c r="W336" s="18"/>
    </row>
    <row r="337" spans="19:23" s="12" customFormat="1" x14ac:dyDescent="0.2">
      <c r="S337" s="18"/>
      <c r="T337" s="18"/>
      <c r="U337" s="18"/>
      <c r="V337" s="18"/>
      <c r="W337" s="18"/>
    </row>
    <row r="338" spans="19:23" s="12" customFormat="1" x14ac:dyDescent="0.2">
      <c r="S338" s="18"/>
      <c r="T338" s="18"/>
      <c r="U338" s="18"/>
      <c r="V338" s="18"/>
      <c r="W338" s="18"/>
    </row>
    <row r="339" spans="19:23" s="12" customFormat="1" x14ac:dyDescent="0.2">
      <c r="S339" s="18"/>
      <c r="T339" s="18"/>
      <c r="U339" s="18"/>
      <c r="V339" s="18"/>
      <c r="W339" s="18"/>
    </row>
    <row r="340" spans="19:23" s="12" customFormat="1" x14ac:dyDescent="0.2">
      <c r="S340" s="18"/>
      <c r="T340" s="18"/>
      <c r="U340" s="18"/>
      <c r="V340" s="18"/>
      <c r="W340" s="18"/>
    </row>
    <row r="341" spans="19:23" s="12" customFormat="1" x14ac:dyDescent="0.2">
      <c r="S341" s="18"/>
      <c r="T341" s="18"/>
      <c r="U341" s="18"/>
      <c r="V341" s="18"/>
      <c r="W341" s="18"/>
    </row>
    <row r="342" spans="19:23" s="12" customFormat="1" x14ac:dyDescent="0.2">
      <c r="S342" s="18"/>
      <c r="T342" s="18"/>
      <c r="U342" s="18"/>
      <c r="V342" s="18"/>
      <c r="W342" s="18"/>
    </row>
    <row r="343" spans="19:23" s="12" customFormat="1" x14ac:dyDescent="0.2">
      <c r="S343" s="18"/>
      <c r="T343" s="18"/>
      <c r="U343" s="18"/>
      <c r="V343" s="18"/>
      <c r="W343" s="18"/>
    </row>
    <row r="344" spans="19:23" s="12" customFormat="1" x14ac:dyDescent="0.2">
      <c r="S344" s="18"/>
      <c r="T344" s="18"/>
      <c r="U344" s="18"/>
      <c r="V344" s="18"/>
      <c r="W344" s="18"/>
    </row>
    <row r="345" spans="19:23" s="12" customFormat="1" x14ac:dyDescent="0.2">
      <c r="S345" s="18"/>
      <c r="T345" s="18"/>
      <c r="U345" s="18"/>
      <c r="V345" s="18"/>
      <c r="W345" s="18"/>
    </row>
    <row r="346" spans="19:23" s="12" customFormat="1" x14ac:dyDescent="0.2">
      <c r="S346" s="18"/>
      <c r="T346" s="18"/>
      <c r="U346" s="18"/>
      <c r="V346" s="18"/>
      <c r="W346" s="18"/>
    </row>
    <row r="347" spans="19:23" s="12" customFormat="1" x14ac:dyDescent="0.2">
      <c r="S347" s="18"/>
      <c r="T347" s="18"/>
      <c r="U347" s="18"/>
      <c r="V347" s="18"/>
      <c r="W347" s="18"/>
    </row>
    <row r="348" spans="19:23" s="12" customFormat="1" x14ac:dyDescent="0.2">
      <c r="S348" s="18"/>
      <c r="T348" s="18"/>
      <c r="U348" s="18"/>
      <c r="V348" s="18"/>
      <c r="W348" s="18"/>
    </row>
    <row r="349" spans="19:23" s="12" customFormat="1" x14ac:dyDescent="0.2">
      <c r="S349" s="18"/>
      <c r="T349" s="18"/>
      <c r="U349" s="18"/>
      <c r="V349" s="18"/>
      <c r="W349" s="18"/>
    </row>
    <row r="350" spans="19:23" s="12" customFormat="1" x14ac:dyDescent="0.2">
      <c r="S350" s="18"/>
      <c r="T350" s="18"/>
      <c r="U350" s="18"/>
      <c r="V350" s="18"/>
      <c r="W350" s="18"/>
    </row>
    <row r="351" spans="19:23" s="12" customFormat="1" x14ac:dyDescent="0.2">
      <c r="S351" s="18"/>
      <c r="T351" s="18"/>
      <c r="U351" s="18"/>
      <c r="V351" s="18"/>
      <c r="W351" s="18"/>
    </row>
    <row r="352" spans="19:23" s="12" customFormat="1" x14ac:dyDescent="0.2">
      <c r="S352" s="18"/>
      <c r="T352" s="18"/>
      <c r="U352" s="18"/>
      <c r="V352" s="18"/>
      <c r="W352" s="18"/>
    </row>
    <row r="353" spans="19:23" s="12" customFormat="1" x14ac:dyDescent="0.2">
      <c r="S353" s="18"/>
      <c r="T353" s="18"/>
      <c r="U353" s="18"/>
      <c r="V353" s="18"/>
      <c r="W353" s="18"/>
    </row>
    <row r="354" spans="19:23" s="12" customFormat="1" x14ac:dyDescent="0.2">
      <c r="S354" s="18"/>
      <c r="T354" s="18"/>
      <c r="U354" s="18"/>
      <c r="V354" s="18"/>
      <c r="W354" s="18"/>
    </row>
    <row r="355" spans="19:23" s="12" customFormat="1" x14ac:dyDescent="0.2">
      <c r="S355" s="18"/>
      <c r="T355" s="18"/>
      <c r="U355" s="18"/>
      <c r="V355" s="18"/>
      <c r="W355" s="18"/>
    </row>
    <row r="356" spans="19:23" s="12" customFormat="1" x14ac:dyDescent="0.2">
      <c r="S356" s="18"/>
      <c r="T356" s="18"/>
      <c r="U356" s="18"/>
      <c r="V356" s="18"/>
      <c r="W356" s="18"/>
    </row>
    <row r="357" spans="19:23" s="12" customFormat="1" x14ac:dyDescent="0.2">
      <c r="S357" s="18"/>
      <c r="T357" s="18"/>
      <c r="U357" s="18"/>
      <c r="V357" s="18"/>
      <c r="W357" s="18"/>
    </row>
    <row r="358" spans="19:23" s="12" customFormat="1" x14ac:dyDescent="0.2">
      <c r="S358" s="18"/>
      <c r="T358" s="18"/>
      <c r="U358" s="18"/>
      <c r="V358" s="18"/>
      <c r="W358" s="18"/>
    </row>
    <row r="359" spans="19:23" s="12" customFormat="1" x14ac:dyDescent="0.2">
      <c r="S359" s="18"/>
      <c r="T359" s="18"/>
      <c r="U359" s="18"/>
      <c r="V359" s="18"/>
      <c r="W359" s="18"/>
    </row>
    <row r="360" spans="19:23" s="12" customFormat="1" x14ac:dyDescent="0.2">
      <c r="S360" s="18"/>
      <c r="T360" s="18"/>
      <c r="U360" s="18"/>
      <c r="V360" s="18"/>
      <c r="W360" s="18"/>
    </row>
    <row r="361" spans="19:23" s="12" customFormat="1" x14ac:dyDescent="0.2">
      <c r="S361" s="18"/>
      <c r="T361" s="18"/>
      <c r="U361" s="18"/>
      <c r="V361" s="18"/>
      <c r="W361" s="18"/>
    </row>
    <row r="362" spans="19:23" s="12" customFormat="1" x14ac:dyDescent="0.2">
      <c r="S362" s="18"/>
      <c r="T362" s="18"/>
      <c r="U362" s="18"/>
      <c r="V362" s="18"/>
      <c r="W362" s="18"/>
    </row>
    <row r="363" spans="19:23" s="12" customFormat="1" x14ac:dyDescent="0.2">
      <c r="S363" s="18"/>
      <c r="T363" s="18"/>
      <c r="U363" s="18"/>
      <c r="V363" s="18"/>
      <c r="W363" s="18"/>
    </row>
    <row r="364" spans="19:23" s="12" customFormat="1" x14ac:dyDescent="0.2">
      <c r="S364" s="18"/>
      <c r="T364" s="18"/>
      <c r="U364" s="18"/>
      <c r="V364" s="18"/>
      <c r="W364" s="18"/>
    </row>
    <row r="365" spans="19:23" s="12" customFormat="1" x14ac:dyDescent="0.2">
      <c r="S365" s="18"/>
      <c r="T365" s="18"/>
      <c r="U365" s="18"/>
      <c r="V365" s="18"/>
      <c r="W365" s="18"/>
    </row>
    <row r="366" spans="19:23" s="12" customFormat="1" x14ac:dyDescent="0.2">
      <c r="S366" s="18"/>
      <c r="T366" s="18"/>
      <c r="U366" s="18"/>
      <c r="V366" s="18"/>
      <c r="W366" s="18"/>
    </row>
    <row r="367" spans="19:23" s="12" customFormat="1" x14ac:dyDescent="0.2">
      <c r="S367" s="18"/>
      <c r="T367" s="18"/>
      <c r="U367" s="18"/>
      <c r="V367" s="18"/>
      <c r="W367" s="18"/>
    </row>
    <row r="368" spans="19:23" s="12" customFormat="1" x14ac:dyDescent="0.2">
      <c r="S368" s="18"/>
      <c r="T368" s="18"/>
      <c r="U368" s="18"/>
      <c r="V368" s="18"/>
      <c r="W368" s="18"/>
    </row>
    <row r="369" spans="19:23" s="12" customFormat="1" x14ac:dyDescent="0.2">
      <c r="S369" s="18"/>
      <c r="T369" s="18"/>
      <c r="U369" s="18"/>
      <c r="V369" s="18"/>
      <c r="W369" s="18"/>
    </row>
    <row r="370" spans="19:23" s="12" customFormat="1" x14ac:dyDescent="0.2">
      <c r="S370" s="18"/>
      <c r="T370" s="18"/>
      <c r="U370" s="18"/>
      <c r="V370" s="18"/>
      <c r="W370" s="18"/>
    </row>
    <row r="371" spans="19:23" s="12" customFormat="1" x14ac:dyDescent="0.2">
      <c r="S371" s="18"/>
      <c r="T371" s="18"/>
      <c r="U371" s="18"/>
      <c r="V371" s="18"/>
      <c r="W371" s="18"/>
    </row>
    <row r="372" spans="19:23" s="12" customFormat="1" x14ac:dyDescent="0.2">
      <c r="S372" s="18"/>
      <c r="T372" s="18"/>
      <c r="U372" s="18"/>
      <c r="V372" s="18"/>
      <c r="W372" s="18"/>
    </row>
    <row r="373" spans="19:23" s="12" customFormat="1" x14ac:dyDescent="0.2">
      <c r="S373" s="18"/>
      <c r="T373" s="18"/>
      <c r="U373" s="18"/>
      <c r="V373" s="18"/>
      <c r="W373" s="18"/>
    </row>
    <row r="374" spans="19:23" s="12" customFormat="1" x14ac:dyDescent="0.2">
      <c r="S374" s="18"/>
      <c r="T374" s="18"/>
      <c r="U374" s="18"/>
      <c r="V374" s="18"/>
      <c r="W374" s="18"/>
    </row>
    <row r="375" spans="19:23" s="12" customFormat="1" x14ac:dyDescent="0.2">
      <c r="S375" s="18"/>
      <c r="T375" s="18"/>
      <c r="U375" s="18"/>
      <c r="V375" s="18"/>
      <c r="W375" s="18"/>
    </row>
    <row r="376" spans="19:23" s="12" customFormat="1" x14ac:dyDescent="0.2">
      <c r="S376" s="18"/>
      <c r="T376" s="18"/>
      <c r="U376" s="18"/>
      <c r="V376" s="18"/>
      <c r="W376" s="18"/>
    </row>
    <row r="377" spans="19:23" s="12" customFormat="1" x14ac:dyDescent="0.2">
      <c r="S377" s="18"/>
      <c r="T377" s="18"/>
      <c r="U377" s="18"/>
      <c r="V377" s="18"/>
      <c r="W377" s="18"/>
    </row>
    <row r="378" spans="19:23" s="12" customFormat="1" x14ac:dyDescent="0.2">
      <c r="S378" s="18"/>
      <c r="T378" s="18"/>
      <c r="U378" s="18"/>
      <c r="V378" s="18"/>
      <c r="W378" s="18"/>
    </row>
    <row r="379" spans="19:23" s="12" customFormat="1" x14ac:dyDescent="0.2">
      <c r="S379" s="18"/>
      <c r="T379" s="18"/>
      <c r="U379" s="18"/>
      <c r="V379" s="18"/>
      <c r="W379" s="18"/>
    </row>
    <row r="380" spans="19:23" s="12" customFormat="1" x14ac:dyDescent="0.2">
      <c r="S380" s="18"/>
      <c r="T380" s="18"/>
      <c r="U380" s="18"/>
      <c r="V380" s="18"/>
      <c r="W380" s="18"/>
    </row>
    <row r="381" spans="19:23" s="12" customFormat="1" x14ac:dyDescent="0.2">
      <c r="S381" s="18"/>
      <c r="T381" s="18"/>
      <c r="U381" s="18"/>
      <c r="V381" s="18"/>
      <c r="W381" s="18"/>
    </row>
    <row r="382" spans="19:23" s="12" customFormat="1" x14ac:dyDescent="0.2">
      <c r="S382" s="18"/>
      <c r="T382" s="18"/>
      <c r="U382" s="18"/>
      <c r="V382" s="18"/>
      <c r="W382" s="18"/>
    </row>
    <row r="383" spans="19:23" s="12" customFormat="1" x14ac:dyDescent="0.2">
      <c r="S383" s="18"/>
      <c r="T383" s="18"/>
      <c r="U383" s="18"/>
      <c r="V383" s="18"/>
      <c r="W383" s="18"/>
    </row>
    <row r="384" spans="19:23" s="12" customFormat="1" x14ac:dyDescent="0.2">
      <c r="S384" s="18"/>
      <c r="T384" s="18"/>
      <c r="U384" s="18"/>
      <c r="V384" s="18"/>
      <c r="W384" s="18"/>
    </row>
    <row r="385" spans="19:23" s="12" customFormat="1" x14ac:dyDescent="0.2">
      <c r="S385" s="18"/>
      <c r="T385" s="18"/>
      <c r="U385" s="18"/>
      <c r="V385" s="18"/>
      <c r="W385" s="18"/>
    </row>
    <row r="386" spans="19:23" s="12" customFormat="1" x14ac:dyDescent="0.2">
      <c r="S386" s="18"/>
      <c r="T386" s="18"/>
      <c r="U386" s="18"/>
      <c r="V386" s="18"/>
      <c r="W386" s="18"/>
    </row>
    <row r="387" spans="19:23" s="12" customFormat="1" x14ac:dyDescent="0.2">
      <c r="S387" s="18"/>
      <c r="T387" s="18"/>
      <c r="U387" s="18"/>
      <c r="V387" s="18"/>
      <c r="W387" s="18"/>
    </row>
    <row r="388" spans="19:23" s="12" customFormat="1" x14ac:dyDescent="0.2">
      <c r="S388" s="18"/>
      <c r="T388" s="18"/>
      <c r="U388" s="18"/>
      <c r="V388" s="18"/>
      <c r="W388" s="18"/>
    </row>
    <row r="389" spans="19:23" s="12" customFormat="1" x14ac:dyDescent="0.2">
      <c r="S389" s="18"/>
      <c r="T389" s="18"/>
      <c r="U389" s="18"/>
      <c r="V389" s="18"/>
      <c r="W389" s="18"/>
    </row>
    <row r="390" spans="19:23" s="12" customFormat="1" x14ac:dyDescent="0.2">
      <c r="S390" s="18"/>
      <c r="T390" s="18"/>
      <c r="U390" s="18"/>
      <c r="V390" s="18"/>
      <c r="W390" s="18"/>
    </row>
    <row r="391" spans="19:23" s="12" customFormat="1" x14ac:dyDescent="0.2">
      <c r="S391" s="18"/>
      <c r="T391" s="18"/>
      <c r="U391" s="18"/>
      <c r="V391" s="18"/>
      <c r="W391" s="18"/>
    </row>
    <row r="392" spans="19:23" s="12" customFormat="1" x14ac:dyDescent="0.2">
      <c r="S392" s="18"/>
      <c r="T392" s="18"/>
      <c r="U392" s="18"/>
      <c r="V392" s="18"/>
      <c r="W392" s="18"/>
    </row>
    <row r="393" spans="19:23" s="12" customFormat="1" x14ac:dyDescent="0.2">
      <c r="S393" s="18"/>
      <c r="T393" s="18"/>
      <c r="U393" s="18"/>
      <c r="V393" s="18"/>
      <c r="W393" s="18"/>
    </row>
    <row r="394" spans="19:23" s="12" customFormat="1" x14ac:dyDescent="0.2">
      <c r="S394" s="18"/>
      <c r="T394" s="18"/>
      <c r="U394" s="18"/>
      <c r="V394" s="18"/>
      <c r="W394" s="18"/>
    </row>
    <row r="395" spans="19:23" s="12" customFormat="1" x14ac:dyDescent="0.2">
      <c r="S395" s="18"/>
      <c r="T395" s="18"/>
      <c r="U395" s="18"/>
      <c r="V395" s="18"/>
      <c r="W395" s="18"/>
    </row>
    <row r="396" spans="19:23" s="12" customFormat="1" x14ac:dyDescent="0.2">
      <c r="S396" s="18"/>
      <c r="T396" s="18"/>
      <c r="U396" s="18"/>
      <c r="V396" s="18"/>
      <c r="W396" s="18"/>
    </row>
    <row r="397" spans="19:23" s="12" customFormat="1" x14ac:dyDescent="0.2">
      <c r="S397" s="18"/>
      <c r="T397" s="18"/>
      <c r="U397" s="18"/>
      <c r="V397" s="18"/>
      <c r="W397" s="18"/>
    </row>
    <row r="398" spans="19:23" s="12" customFormat="1" x14ac:dyDescent="0.2">
      <c r="S398" s="18"/>
      <c r="T398" s="18"/>
      <c r="U398" s="18"/>
      <c r="V398" s="18"/>
      <c r="W398" s="18"/>
    </row>
    <row r="399" spans="19:23" s="12" customFormat="1" x14ac:dyDescent="0.2">
      <c r="S399" s="18"/>
      <c r="T399" s="18"/>
      <c r="U399" s="18"/>
      <c r="V399" s="18"/>
      <c r="W399" s="18"/>
    </row>
    <row r="400" spans="19:23" s="12" customFormat="1" x14ac:dyDescent="0.2">
      <c r="S400" s="18"/>
      <c r="T400" s="18"/>
      <c r="U400" s="18"/>
      <c r="V400" s="18"/>
      <c r="W400" s="18"/>
    </row>
    <row r="401" spans="19:23" s="12" customFormat="1" x14ac:dyDescent="0.2">
      <c r="S401" s="18"/>
      <c r="T401" s="18"/>
      <c r="U401" s="18"/>
      <c r="V401" s="18"/>
      <c r="W401" s="18"/>
    </row>
    <row r="402" spans="19:23" s="12" customFormat="1" x14ac:dyDescent="0.2">
      <c r="S402" s="18"/>
      <c r="T402" s="18"/>
      <c r="U402" s="18"/>
      <c r="V402" s="18"/>
      <c r="W402" s="18"/>
    </row>
    <row r="403" spans="19:23" s="12" customFormat="1" x14ac:dyDescent="0.2">
      <c r="S403" s="18"/>
      <c r="T403" s="18"/>
      <c r="U403" s="18"/>
      <c r="V403" s="18"/>
      <c r="W403" s="18"/>
    </row>
    <row r="404" spans="19:23" s="12" customFormat="1" x14ac:dyDescent="0.2">
      <c r="S404" s="18"/>
      <c r="T404" s="18"/>
      <c r="U404" s="18"/>
      <c r="V404" s="18"/>
      <c r="W404" s="18"/>
    </row>
    <row r="405" spans="19:23" s="12" customFormat="1" x14ac:dyDescent="0.2">
      <c r="S405" s="18"/>
      <c r="T405" s="18"/>
      <c r="U405" s="18"/>
      <c r="V405" s="18"/>
      <c r="W405" s="18"/>
    </row>
    <row r="406" spans="19:23" s="12" customFormat="1" x14ac:dyDescent="0.2">
      <c r="S406" s="18"/>
      <c r="T406" s="18"/>
      <c r="U406" s="18"/>
      <c r="V406" s="18"/>
      <c r="W406" s="18"/>
    </row>
    <row r="407" spans="19:23" s="12" customFormat="1" x14ac:dyDescent="0.2">
      <c r="S407" s="18"/>
      <c r="T407" s="18"/>
      <c r="U407" s="18"/>
      <c r="V407" s="18"/>
      <c r="W407" s="18"/>
    </row>
    <row r="408" spans="19:23" s="12" customFormat="1" x14ac:dyDescent="0.2">
      <c r="S408" s="18"/>
      <c r="T408" s="18"/>
      <c r="U408" s="18"/>
      <c r="V408" s="18"/>
      <c r="W408" s="18"/>
    </row>
    <row r="409" spans="19:23" s="12" customFormat="1" x14ac:dyDescent="0.2">
      <c r="S409" s="18"/>
      <c r="T409" s="18"/>
      <c r="U409" s="18"/>
      <c r="V409" s="18"/>
      <c r="W409" s="18"/>
    </row>
    <row r="410" spans="19:23" s="12" customFormat="1" x14ac:dyDescent="0.2">
      <c r="S410" s="18"/>
      <c r="T410" s="18"/>
      <c r="U410" s="18"/>
      <c r="V410" s="18"/>
      <c r="W410" s="18"/>
    </row>
    <row r="411" spans="19:23" s="12" customFormat="1" x14ac:dyDescent="0.2">
      <c r="S411" s="18"/>
      <c r="T411" s="18"/>
      <c r="U411" s="18"/>
      <c r="V411" s="18"/>
      <c r="W411" s="18"/>
    </row>
    <row r="412" spans="19:23" s="12" customFormat="1" x14ac:dyDescent="0.2">
      <c r="S412" s="18"/>
      <c r="T412" s="18"/>
      <c r="U412" s="18"/>
      <c r="V412" s="18"/>
      <c r="W412" s="18"/>
    </row>
    <row r="413" spans="19:23" s="12" customFormat="1" x14ac:dyDescent="0.2">
      <c r="S413" s="18"/>
      <c r="T413" s="18"/>
      <c r="U413" s="18"/>
      <c r="V413" s="18"/>
      <c r="W413" s="18"/>
    </row>
    <row r="414" spans="19:23" s="12" customFormat="1" x14ac:dyDescent="0.2">
      <c r="S414" s="18"/>
      <c r="T414" s="18"/>
      <c r="U414" s="18"/>
      <c r="V414" s="18"/>
      <c r="W414" s="18"/>
    </row>
    <row r="415" spans="19:23" s="12" customFormat="1" x14ac:dyDescent="0.2">
      <c r="S415" s="18"/>
      <c r="T415" s="18"/>
      <c r="U415" s="18"/>
      <c r="V415" s="18"/>
      <c r="W415" s="18"/>
    </row>
    <row r="416" spans="19:23" s="12" customFormat="1" x14ac:dyDescent="0.2">
      <c r="S416" s="18"/>
      <c r="T416" s="18"/>
      <c r="U416" s="18"/>
      <c r="V416" s="18"/>
      <c r="W416" s="18"/>
    </row>
    <row r="417" spans="19:23" s="12" customFormat="1" x14ac:dyDescent="0.2">
      <c r="S417" s="18"/>
      <c r="T417" s="18"/>
      <c r="U417" s="18"/>
      <c r="V417" s="18"/>
      <c r="W417" s="18"/>
    </row>
    <row r="418" spans="19:23" s="12" customFormat="1" x14ac:dyDescent="0.2">
      <c r="S418" s="18"/>
      <c r="T418" s="18"/>
      <c r="U418" s="18"/>
      <c r="V418" s="18"/>
      <c r="W418" s="18"/>
    </row>
    <row r="419" spans="19:23" s="12" customFormat="1" x14ac:dyDescent="0.2">
      <c r="S419" s="18"/>
      <c r="T419" s="18"/>
      <c r="U419" s="18"/>
      <c r="V419" s="18"/>
      <c r="W419" s="18"/>
    </row>
    <row r="420" spans="19:23" s="12" customFormat="1" x14ac:dyDescent="0.2">
      <c r="S420" s="18"/>
      <c r="T420" s="18"/>
      <c r="U420" s="18"/>
      <c r="V420" s="18"/>
      <c r="W420" s="18"/>
    </row>
    <row r="421" spans="19:23" s="12" customFormat="1" x14ac:dyDescent="0.2">
      <c r="S421" s="18"/>
      <c r="T421" s="18"/>
      <c r="U421" s="18"/>
      <c r="V421" s="18"/>
      <c r="W421" s="18"/>
    </row>
    <row r="422" spans="19:23" s="12" customFormat="1" x14ac:dyDescent="0.2">
      <c r="S422" s="18"/>
      <c r="T422" s="18"/>
      <c r="U422" s="18"/>
      <c r="V422" s="18"/>
      <c r="W422" s="18"/>
    </row>
    <row r="423" spans="19:23" s="12" customFormat="1" x14ac:dyDescent="0.2">
      <c r="S423" s="18"/>
      <c r="T423" s="18"/>
      <c r="U423" s="18"/>
      <c r="V423" s="18"/>
      <c r="W423" s="18"/>
    </row>
    <row r="424" spans="19:23" s="12" customFormat="1" x14ac:dyDescent="0.2">
      <c r="S424" s="18"/>
      <c r="T424" s="18"/>
      <c r="U424" s="18"/>
      <c r="V424" s="18"/>
      <c r="W424" s="18"/>
    </row>
    <row r="425" spans="19:23" s="12" customFormat="1" x14ac:dyDescent="0.2">
      <c r="S425" s="18"/>
      <c r="T425" s="18"/>
      <c r="U425" s="18"/>
      <c r="V425" s="18"/>
      <c r="W425" s="18"/>
    </row>
    <row r="426" spans="19:23" s="12" customFormat="1" x14ac:dyDescent="0.2">
      <c r="S426" s="18"/>
      <c r="T426" s="18"/>
      <c r="U426" s="18"/>
      <c r="V426" s="18"/>
      <c r="W426" s="18"/>
    </row>
    <row r="427" spans="19:23" s="12" customFormat="1" x14ac:dyDescent="0.2">
      <c r="S427" s="18"/>
      <c r="T427" s="18"/>
      <c r="U427" s="18"/>
      <c r="V427" s="18"/>
      <c r="W427" s="18"/>
    </row>
    <row r="428" spans="19:23" s="12" customFormat="1" x14ac:dyDescent="0.2">
      <c r="S428" s="18"/>
      <c r="T428" s="18"/>
      <c r="U428" s="18"/>
      <c r="V428" s="18"/>
      <c r="W428" s="18"/>
    </row>
    <row r="429" spans="19:23" s="12" customFormat="1" x14ac:dyDescent="0.2">
      <c r="S429" s="18"/>
      <c r="T429" s="18"/>
      <c r="U429" s="18"/>
      <c r="V429" s="18"/>
      <c r="W429" s="18"/>
    </row>
    <row r="430" spans="19:23" s="12" customFormat="1" x14ac:dyDescent="0.2">
      <c r="S430" s="18"/>
      <c r="T430" s="18"/>
      <c r="U430" s="18"/>
      <c r="V430" s="18"/>
      <c r="W430" s="18"/>
    </row>
    <row r="431" spans="19:23" s="12" customFormat="1" x14ac:dyDescent="0.2">
      <c r="S431" s="18"/>
      <c r="T431" s="18"/>
      <c r="U431" s="18"/>
      <c r="V431" s="18"/>
      <c r="W431" s="18"/>
    </row>
    <row r="432" spans="19:23" s="12" customFormat="1" x14ac:dyDescent="0.2">
      <c r="S432" s="18"/>
      <c r="T432" s="18"/>
      <c r="U432" s="18"/>
      <c r="V432" s="18"/>
      <c r="W432" s="18"/>
    </row>
    <row r="433" spans="19:23" s="12" customFormat="1" x14ac:dyDescent="0.2">
      <c r="S433" s="18"/>
      <c r="T433" s="18"/>
      <c r="U433" s="18"/>
      <c r="V433" s="18"/>
      <c r="W433" s="18"/>
    </row>
    <row r="434" spans="19:23" s="12" customFormat="1" x14ac:dyDescent="0.2">
      <c r="S434" s="18"/>
      <c r="T434" s="18"/>
      <c r="U434" s="18"/>
      <c r="V434" s="18"/>
      <c r="W434" s="18"/>
    </row>
    <row r="435" spans="19:23" s="12" customFormat="1" x14ac:dyDescent="0.2">
      <c r="S435" s="18"/>
      <c r="T435" s="18"/>
      <c r="U435" s="18"/>
      <c r="V435" s="18"/>
      <c r="W435" s="18"/>
    </row>
    <row r="436" spans="19:23" s="12" customFormat="1" x14ac:dyDescent="0.2">
      <c r="S436" s="18"/>
      <c r="T436" s="18"/>
      <c r="U436" s="18"/>
      <c r="V436" s="18"/>
      <c r="W436" s="18"/>
    </row>
    <row r="437" spans="19:23" s="12" customFormat="1" x14ac:dyDescent="0.2">
      <c r="S437" s="18"/>
      <c r="T437" s="18"/>
      <c r="U437" s="18"/>
      <c r="V437" s="18"/>
      <c r="W437" s="18"/>
    </row>
    <row r="438" spans="19:23" s="12" customFormat="1" x14ac:dyDescent="0.2">
      <c r="S438" s="18"/>
      <c r="T438" s="18"/>
      <c r="U438" s="18"/>
      <c r="V438" s="18"/>
      <c r="W438" s="18"/>
    </row>
    <row r="439" spans="19:23" s="12" customFormat="1" x14ac:dyDescent="0.2">
      <c r="S439" s="18"/>
      <c r="T439" s="18"/>
      <c r="U439" s="18"/>
      <c r="V439" s="18"/>
      <c r="W439" s="18"/>
    </row>
    <row r="440" spans="19:23" s="12" customFormat="1" x14ac:dyDescent="0.2">
      <c r="S440" s="18"/>
      <c r="T440" s="18"/>
      <c r="U440" s="18"/>
      <c r="V440" s="18"/>
      <c r="W440" s="18"/>
    </row>
    <row r="441" spans="19:23" s="12" customFormat="1" x14ac:dyDescent="0.2">
      <c r="S441" s="18"/>
      <c r="T441" s="18"/>
      <c r="U441" s="18"/>
      <c r="V441" s="18"/>
      <c r="W441" s="18"/>
    </row>
    <row r="442" spans="19:23" s="12" customFormat="1" x14ac:dyDescent="0.2">
      <c r="S442" s="18"/>
      <c r="T442" s="18"/>
      <c r="U442" s="18"/>
      <c r="V442" s="18"/>
      <c r="W442" s="18"/>
    </row>
    <row r="443" spans="19:23" s="12" customFormat="1" x14ac:dyDescent="0.2">
      <c r="S443" s="18"/>
      <c r="T443" s="18"/>
      <c r="U443" s="18"/>
      <c r="V443" s="18"/>
      <c r="W443" s="18"/>
    </row>
    <row r="444" spans="19:23" s="12" customFormat="1" x14ac:dyDescent="0.2">
      <c r="S444" s="18"/>
      <c r="T444" s="18"/>
      <c r="U444" s="18"/>
      <c r="V444" s="18"/>
      <c r="W444" s="18"/>
    </row>
    <row r="445" spans="19:23" s="12" customFormat="1" x14ac:dyDescent="0.2">
      <c r="S445" s="18"/>
      <c r="T445" s="18"/>
      <c r="U445" s="18"/>
      <c r="V445" s="18"/>
      <c r="W445" s="18"/>
    </row>
    <row r="446" spans="19:23" s="12" customFormat="1" x14ac:dyDescent="0.2">
      <c r="S446" s="18"/>
      <c r="T446" s="18"/>
      <c r="U446" s="18"/>
      <c r="V446" s="18"/>
      <c r="W446" s="18"/>
    </row>
    <row r="447" spans="19:23" s="12" customFormat="1" x14ac:dyDescent="0.2">
      <c r="S447" s="18"/>
      <c r="T447" s="18"/>
      <c r="U447" s="18"/>
      <c r="V447" s="18"/>
      <c r="W447" s="18"/>
    </row>
    <row r="448" spans="19:23" s="12" customFormat="1" x14ac:dyDescent="0.2">
      <c r="S448" s="18"/>
      <c r="T448" s="18"/>
      <c r="U448" s="18"/>
      <c r="V448" s="18"/>
      <c r="W448" s="18"/>
    </row>
    <row r="449" spans="19:23" s="12" customFormat="1" x14ac:dyDescent="0.2">
      <c r="S449" s="18"/>
      <c r="T449" s="18"/>
      <c r="U449" s="18"/>
      <c r="V449" s="18"/>
      <c r="W449" s="18"/>
    </row>
    <row r="450" spans="19:23" s="12" customFormat="1" x14ac:dyDescent="0.2">
      <c r="S450" s="18"/>
      <c r="T450" s="18"/>
      <c r="U450" s="18"/>
      <c r="V450" s="18"/>
      <c r="W450" s="18"/>
    </row>
    <row r="451" spans="19:23" s="12" customFormat="1" x14ac:dyDescent="0.2">
      <c r="S451" s="18"/>
      <c r="T451" s="18"/>
      <c r="U451" s="18"/>
      <c r="V451" s="18"/>
      <c r="W451" s="18"/>
    </row>
    <row r="452" spans="19:23" s="12" customFormat="1" x14ac:dyDescent="0.2">
      <c r="S452" s="18"/>
      <c r="T452" s="18"/>
      <c r="U452" s="18"/>
      <c r="V452" s="18"/>
      <c r="W452" s="18"/>
    </row>
    <row r="453" spans="19:23" s="12" customFormat="1" x14ac:dyDescent="0.2">
      <c r="S453" s="18"/>
      <c r="T453" s="18"/>
      <c r="U453" s="18"/>
      <c r="V453" s="18"/>
      <c r="W453" s="18"/>
    </row>
    <row r="454" spans="19:23" s="12" customFormat="1" x14ac:dyDescent="0.2">
      <c r="S454" s="18"/>
      <c r="T454" s="18"/>
      <c r="U454" s="18"/>
      <c r="V454" s="18"/>
      <c r="W454" s="18"/>
    </row>
    <row r="455" spans="19:23" s="12" customFormat="1" x14ac:dyDescent="0.2">
      <c r="S455" s="18"/>
      <c r="T455" s="18"/>
      <c r="U455" s="18"/>
      <c r="V455" s="18"/>
      <c r="W455" s="18"/>
    </row>
    <row r="456" spans="19:23" s="12" customFormat="1" x14ac:dyDescent="0.2">
      <c r="S456" s="18"/>
      <c r="T456" s="18"/>
      <c r="U456" s="18"/>
      <c r="V456" s="18"/>
      <c r="W456" s="18"/>
    </row>
    <row r="457" spans="19:23" s="12" customFormat="1" x14ac:dyDescent="0.2">
      <c r="S457" s="18"/>
      <c r="T457" s="18"/>
      <c r="U457" s="18"/>
      <c r="V457" s="18"/>
      <c r="W457" s="18"/>
    </row>
    <row r="458" spans="19:23" s="12" customFormat="1" x14ac:dyDescent="0.2">
      <c r="S458" s="18"/>
      <c r="T458" s="18"/>
      <c r="U458" s="18"/>
      <c r="V458" s="18"/>
      <c r="W458" s="18"/>
    </row>
    <row r="459" spans="19:23" s="12" customFormat="1" x14ac:dyDescent="0.2">
      <c r="S459" s="18"/>
      <c r="T459" s="18"/>
      <c r="U459" s="18"/>
      <c r="V459" s="18"/>
      <c r="W459" s="18"/>
    </row>
    <row r="460" spans="19:23" s="12" customFormat="1" x14ac:dyDescent="0.2">
      <c r="S460" s="18"/>
      <c r="T460" s="18"/>
      <c r="U460" s="18"/>
      <c r="V460" s="18"/>
      <c r="W460" s="18"/>
    </row>
    <row r="461" spans="19:23" s="12" customFormat="1" x14ac:dyDescent="0.2">
      <c r="S461" s="18"/>
      <c r="T461" s="18"/>
      <c r="U461" s="18"/>
      <c r="V461" s="18"/>
      <c r="W461" s="18"/>
    </row>
    <row r="462" spans="19:23" s="12" customFormat="1" x14ac:dyDescent="0.2">
      <c r="S462" s="18"/>
      <c r="T462" s="18"/>
      <c r="U462" s="18"/>
      <c r="V462" s="18"/>
      <c r="W462" s="18"/>
    </row>
    <row r="463" spans="19:23" s="12" customFormat="1" x14ac:dyDescent="0.2">
      <c r="S463" s="18"/>
      <c r="T463" s="18"/>
      <c r="U463" s="18"/>
      <c r="V463" s="18"/>
      <c r="W463" s="18"/>
    </row>
    <row r="464" spans="19:23" s="12" customFormat="1" x14ac:dyDescent="0.2">
      <c r="S464" s="18"/>
      <c r="T464" s="18"/>
      <c r="U464" s="18"/>
      <c r="V464" s="18"/>
      <c r="W464" s="18"/>
    </row>
    <row r="465" spans="19:23" s="12" customFormat="1" x14ac:dyDescent="0.2">
      <c r="S465" s="18"/>
      <c r="T465" s="18"/>
      <c r="U465" s="18"/>
      <c r="V465" s="18"/>
      <c r="W465" s="18"/>
    </row>
    <row r="466" spans="19:23" s="12" customFormat="1" x14ac:dyDescent="0.2">
      <c r="S466" s="18"/>
      <c r="T466" s="18"/>
      <c r="U466" s="18"/>
      <c r="V466" s="18"/>
      <c r="W466" s="18"/>
    </row>
    <row r="467" spans="19:23" s="12" customFormat="1" x14ac:dyDescent="0.2">
      <c r="S467" s="18"/>
      <c r="T467" s="18"/>
      <c r="U467" s="18"/>
      <c r="V467" s="18"/>
      <c r="W467" s="18"/>
    </row>
    <row r="468" spans="19:23" s="12" customFormat="1" x14ac:dyDescent="0.2">
      <c r="S468" s="18"/>
      <c r="T468" s="18"/>
      <c r="U468" s="18"/>
      <c r="V468" s="18"/>
      <c r="W468" s="18"/>
    </row>
    <row r="469" spans="19:23" s="12" customFormat="1" x14ac:dyDescent="0.2">
      <c r="S469" s="18"/>
      <c r="T469" s="18"/>
      <c r="U469" s="18"/>
      <c r="V469" s="18"/>
      <c r="W469" s="18"/>
    </row>
    <row r="470" spans="19:23" s="12" customFormat="1" x14ac:dyDescent="0.2">
      <c r="S470" s="18"/>
      <c r="T470" s="18"/>
      <c r="U470" s="18"/>
      <c r="V470" s="18"/>
      <c r="W470" s="18"/>
    </row>
    <row r="471" spans="19:23" s="12" customFormat="1" x14ac:dyDescent="0.2">
      <c r="S471" s="18"/>
      <c r="T471" s="18"/>
      <c r="U471" s="18"/>
      <c r="V471" s="18"/>
      <c r="W471" s="18"/>
    </row>
    <row r="472" spans="19:23" s="12" customFormat="1" x14ac:dyDescent="0.2">
      <c r="S472" s="18"/>
      <c r="T472" s="18"/>
      <c r="U472" s="18"/>
      <c r="V472" s="18"/>
      <c r="W472" s="18"/>
    </row>
    <row r="473" spans="19:23" s="12" customFormat="1" x14ac:dyDescent="0.2">
      <c r="S473" s="18"/>
      <c r="T473" s="18"/>
      <c r="U473" s="18"/>
      <c r="V473" s="18"/>
      <c r="W473" s="18"/>
    </row>
    <row r="474" spans="19:23" s="12" customFormat="1" x14ac:dyDescent="0.2">
      <c r="S474" s="18"/>
      <c r="T474" s="18"/>
      <c r="U474" s="18"/>
      <c r="V474" s="18"/>
      <c r="W474" s="18"/>
    </row>
    <row r="475" spans="19:23" s="12" customFormat="1" x14ac:dyDescent="0.2">
      <c r="S475" s="18"/>
      <c r="T475" s="18"/>
      <c r="U475" s="18"/>
      <c r="V475" s="18"/>
      <c r="W475" s="18"/>
    </row>
    <row r="476" spans="19:23" s="12" customFormat="1" x14ac:dyDescent="0.2">
      <c r="S476" s="18"/>
      <c r="T476" s="18"/>
      <c r="U476" s="18"/>
      <c r="V476" s="18"/>
      <c r="W476" s="18"/>
    </row>
    <row r="477" spans="19:23" s="12" customFormat="1" x14ac:dyDescent="0.2">
      <c r="S477" s="18"/>
      <c r="T477" s="18"/>
      <c r="U477" s="18"/>
      <c r="V477" s="18"/>
      <c r="W477" s="18"/>
    </row>
    <row r="478" spans="19:23" s="12" customFormat="1" x14ac:dyDescent="0.2">
      <c r="S478" s="18"/>
      <c r="T478" s="18"/>
      <c r="U478" s="18"/>
      <c r="V478" s="18"/>
      <c r="W478" s="18"/>
    </row>
    <row r="479" spans="19:23" s="12" customFormat="1" x14ac:dyDescent="0.2">
      <c r="S479" s="18"/>
      <c r="T479" s="18"/>
      <c r="U479" s="18"/>
      <c r="V479" s="18"/>
      <c r="W479" s="18"/>
    </row>
    <row r="480" spans="19:23" s="12" customFormat="1" x14ac:dyDescent="0.2">
      <c r="S480" s="18"/>
      <c r="T480" s="18"/>
      <c r="U480" s="18"/>
      <c r="V480" s="18"/>
      <c r="W480" s="18"/>
    </row>
    <row r="481" spans="19:23" s="12" customFormat="1" x14ac:dyDescent="0.2">
      <c r="S481" s="18"/>
      <c r="T481" s="18"/>
      <c r="U481" s="18"/>
      <c r="V481" s="18"/>
      <c r="W481" s="18"/>
    </row>
    <row r="482" spans="19:23" s="12" customFormat="1" x14ac:dyDescent="0.2">
      <c r="S482" s="18"/>
      <c r="T482" s="18"/>
      <c r="U482" s="18"/>
      <c r="V482" s="18"/>
      <c r="W482" s="18"/>
    </row>
    <row r="483" spans="19:23" s="12" customFormat="1" x14ac:dyDescent="0.2">
      <c r="S483" s="18"/>
      <c r="T483" s="18"/>
      <c r="U483" s="18"/>
      <c r="V483" s="18"/>
      <c r="W483" s="18"/>
    </row>
    <row r="484" spans="19:23" s="12" customFormat="1" x14ac:dyDescent="0.2">
      <c r="S484" s="18"/>
      <c r="T484" s="18"/>
      <c r="U484" s="18"/>
      <c r="V484" s="18"/>
      <c r="W484" s="18"/>
    </row>
    <row r="485" spans="19:23" s="12" customFormat="1" x14ac:dyDescent="0.2">
      <c r="S485" s="18"/>
      <c r="T485" s="18"/>
      <c r="U485" s="18"/>
      <c r="V485" s="18"/>
      <c r="W485" s="18"/>
    </row>
    <row r="486" spans="19:23" s="12" customFormat="1" x14ac:dyDescent="0.2">
      <c r="S486" s="18"/>
      <c r="T486" s="18"/>
      <c r="U486" s="18"/>
      <c r="V486" s="18"/>
      <c r="W486" s="18"/>
    </row>
    <row r="487" spans="19:23" s="12" customFormat="1" x14ac:dyDescent="0.2">
      <c r="S487" s="18"/>
      <c r="T487" s="18"/>
      <c r="U487" s="18"/>
      <c r="V487" s="18"/>
      <c r="W487" s="18"/>
    </row>
    <row r="488" spans="19:23" s="12" customFormat="1" x14ac:dyDescent="0.2">
      <c r="S488" s="18"/>
      <c r="T488" s="18"/>
      <c r="U488" s="18"/>
      <c r="V488" s="18"/>
      <c r="W488" s="18"/>
    </row>
    <row r="489" spans="19:23" s="12" customFormat="1" x14ac:dyDescent="0.2">
      <c r="S489" s="18"/>
      <c r="T489" s="18"/>
      <c r="U489" s="18"/>
      <c r="V489" s="18"/>
      <c r="W489" s="18"/>
    </row>
    <row r="490" spans="19:23" s="12" customFormat="1" x14ac:dyDescent="0.2">
      <c r="S490" s="18"/>
      <c r="T490" s="18"/>
      <c r="U490" s="18"/>
      <c r="V490" s="18"/>
      <c r="W490" s="18"/>
    </row>
    <row r="491" spans="19:23" s="12" customFormat="1" x14ac:dyDescent="0.2">
      <c r="S491" s="18"/>
      <c r="T491" s="18"/>
      <c r="U491" s="18"/>
      <c r="V491" s="18"/>
      <c r="W491" s="18"/>
    </row>
    <row r="492" spans="19:23" s="12" customFormat="1" x14ac:dyDescent="0.2">
      <c r="S492" s="18"/>
      <c r="T492" s="18"/>
      <c r="U492" s="18"/>
      <c r="V492" s="18"/>
      <c r="W492" s="18"/>
    </row>
    <row r="493" spans="19:23" s="12" customFormat="1" x14ac:dyDescent="0.2">
      <c r="S493" s="18"/>
      <c r="T493" s="18"/>
      <c r="U493" s="18"/>
      <c r="V493" s="18"/>
      <c r="W493" s="18"/>
    </row>
    <row r="494" spans="19:23" s="12" customFormat="1" x14ac:dyDescent="0.2">
      <c r="S494" s="18"/>
      <c r="T494" s="18"/>
      <c r="U494" s="18"/>
      <c r="V494" s="18"/>
      <c r="W494" s="18"/>
    </row>
    <row r="495" spans="19:23" s="12" customFormat="1" x14ac:dyDescent="0.2">
      <c r="S495" s="18"/>
      <c r="T495" s="18"/>
      <c r="U495" s="18"/>
      <c r="V495" s="18"/>
      <c r="W495" s="18"/>
    </row>
    <row r="496" spans="19:23" s="12" customFormat="1" x14ac:dyDescent="0.2">
      <c r="S496" s="18"/>
      <c r="T496" s="18"/>
      <c r="U496" s="18"/>
      <c r="V496" s="18"/>
      <c r="W496" s="18"/>
    </row>
    <row r="497" spans="19:23" s="12" customFormat="1" x14ac:dyDescent="0.2">
      <c r="S497" s="18"/>
      <c r="T497" s="18"/>
      <c r="U497" s="18"/>
      <c r="V497" s="18"/>
      <c r="W497" s="18"/>
    </row>
    <row r="498" spans="19:23" s="12" customFormat="1" x14ac:dyDescent="0.2">
      <c r="S498" s="18"/>
      <c r="T498" s="18"/>
      <c r="U498" s="18"/>
      <c r="V498" s="18"/>
      <c r="W498" s="18"/>
    </row>
    <row r="499" spans="19:23" s="12" customFormat="1" x14ac:dyDescent="0.2">
      <c r="S499" s="18"/>
      <c r="T499" s="18"/>
      <c r="U499" s="18"/>
      <c r="V499" s="18"/>
      <c r="W499" s="18"/>
    </row>
    <row r="500" spans="19:23" s="12" customFormat="1" x14ac:dyDescent="0.2">
      <c r="S500" s="18"/>
      <c r="T500" s="18"/>
      <c r="U500" s="18"/>
      <c r="V500" s="18"/>
      <c r="W500" s="18"/>
    </row>
    <row r="501" spans="19:23" s="12" customFormat="1" x14ac:dyDescent="0.2">
      <c r="S501" s="18"/>
      <c r="T501" s="18"/>
      <c r="U501" s="18"/>
      <c r="V501" s="18"/>
      <c r="W501" s="18"/>
    </row>
    <row r="502" spans="19:23" s="12" customFormat="1" x14ac:dyDescent="0.2">
      <c r="S502" s="18"/>
      <c r="T502" s="18"/>
      <c r="U502" s="18"/>
      <c r="V502" s="18"/>
      <c r="W502" s="18"/>
    </row>
    <row r="503" spans="19:23" s="12" customFormat="1" x14ac:dyDescent="0.2">
      <c r="S503" s="18"/>
      <c r="T503" s="18"/>
      <c r="U503" s="18"/>
      <c r="V503" s="18"/>
      <c r="W503" s="18"/>
    </row>
    <row r="504" spans="19:23" s="12" customFormat="1" x14ac:dyDescent="0.2">
      <c r="S504" s="18"/>
      <c r="T504" s="18"/>
      <c r="U504" s="18"/>
      <c r="V504" s="18"/>
      <c r="W504" s="18"/>
    </row>
    <row r="505" spans="19:23" s="12" customFormat="1" x14ac:dyDescent="0.2">
      <c r="S505" s="18"/>
      <c r="T505" s="18"/>
      <c r="U505" s="18"/>
      <c r="V505" s="18"/>
      <c r="W505" s="18"/>
    </row>
    <row r="506" spans="19:23" s="12" customFormat="1" x14ac:dyDescent="0.2">
      <c r="S506" s="18"/>
      <c r="T506" s="18"/>
      <c r="U506" s="18"/>
      <c r="V506" s="18"/>
      <c r="W506" s="18"/>
    </row>
    <row r="507" spans="19:23" s="12" customFormat="1" x14ac:dyDescent="0.2">
      <c r="S507" s="18"/>
      <c r="T507" s="18"/>
      <c r="U507" s="18"/>
      <c r="V507" s="18"/>
      <c r="W507" s="18"/>
    </row>
    <row r="508" spans="19:23" s="12" customFormat="1" x14ac:dyDescent="0.2">
      <c r="S508" s="18"/>
      <c r="T508" s="18"/>
      <c r="U508" s="18"/>
      <c r="V508" s="18"/>
      <c r="W508" s="18"/>
    </row>
    <row r="509" spans="19:23" s="12" customFormat="1" x14ac:dyDescent="0.2">
      <c r="S509" s="18"/>
      <c r="T509" s="18"/>
      <c r="U509" s="18"/>
      <c r="V509" s="18"/>
      <c r="W509" s="18"/>
    </row>
    <row r="510" spans="19:23" s="12" customFormat="1" x14ac:dyDescent="0.2">
      <c r="S510" s="18"/>
      <c r="T510" s="18"/>
      <c r="U510" s="18"/>
      <c r="V510" s="18"/>
      <c r="W510" s="18"/>
    </row>
    <row r="511" spans="19:23" s="12" customFormat="1" x14ac:dyDescent="0.2">
      <c r="S511" s="18"/>
      <c r="T511" s="18"/>
      <c r="U511" s="18"/>
      <c r="V511" s="18"/>
      <c r="W511" s="18"/>
    </row>
    <row r="512" spans="19:23" s="12" customFormat="1" x14ac:dyDescent="0.2">
      <c r="S512" s="18"/>
      <c r="T512" s="18"/>
      <c r="U512" s="18"/>
      <c r="V512" s="18"/>
      <c r="W512" s="18"/>
    </row>
    <row r="513" spans="19:23" s="12" customFormat="1" x14ac:dyDescent="0.2">
      <c r="S513" s="18"/>
      <c r="T513" s="18"/>
      <c r="U513" s="18"/>
      <c r="V513" s="18"/>
      <c r="W513" s="18"/>
    </row>
    <row r="514" spans="19:23" s="12" customFormat="1" x14ac:dyDescent="0.2">
      <c r="S514" s="18"/>
      <c r="T514" s="18"/>
      <c r="U514" s="18"/>
      <c r="V514" s="18"/>
      <c r="W514" s="18"/>
    </row>
    <row r="515" spans="19:23" s="12" customFormat="1" x14ac:dyDescent="0.2">
      <c r="S515" s="18"/>
      <c r="T515" s="18"/>
      <c r="U515" s="18"/>
      <c r="V515" s="18"/>
      <c r="W515" s="18"/>
    </row>
    <row r="516" spans="19:23" s="12" customFormat="1" x14ac:dyDescent="0.2">
      <c r="S516" s="18"/>
      <c r="T516" s="18"/>
      <c r="U516" s="18"/>
      <c r="V516" s="18"/>
      <c r="W516" s="18"/>
    </row>
    <row r="517" spans="19:23" s="12" customFormat="1" x14ac:dyDescent="0.2">
      <c r="S517" s="18"/>
      <c r="T517" s="18"/>
      <c r="U517" s="18"/>
      <c r="V517" s="18"/>
      <c r="W517" s="18"/>
    </row>
    <row r="518" spans="19:23" s="12" customFormat="1" x14ac:dyDescent="0.2">
      <c r="S518" s="18"/>
      <c r="T518" s="18"/>
      <c r="U518" s="18"/>
      <c r="V518" s="18"/>
      <c r="W518" s="18"/>
    </row>
    <row r="519" spans="19:23" s="12" customFormat="1" x14ac:dyDescent="0.2">
      <c r="S519" s="18"/>
      <c r="T519" s="18"/>
      <c r="U519" s="18"/>
      <c r="V519" s="18"/>
      <c r="W519" s="18"/>
    </row>
    <row r="520" spans="19:23" s="12" customFormat="1" x14ac:dyDescent="0.2">
      <c r="S520" s="18"/>
      <c r="T520" s="18"/>
      <c r="U520" s="18"/>
      <c r="V520" s="18"/>
      <c r="W520" s="18"/>
    </row>
    <row r="521" spans="19:23" s="12" customFormat="1" x14ac:dyDescent="0.2">
      <c r="S521" s="18"/>
      <c r="T521" s="18"/>
      <c r="U521" s="18"/>
      <c r="V521" s="18"/>
      <c r="W521" s="18"/>
    </row>
    <row r="522" spans="19:23" s="12" customFormat="1" x14ac:dyDescent="0.2">
      <c r="S522" s="18"/>
      <c r="T522" s="18"/>
      <c r="U522" s="18"/>
      <c r="V522" s="18"/>
      <c r="W522" s="18"/>
    </row>
    <row r="523" spans="19:23" s="12" customFormat="1" x14ac:dyDescent="0.2">
      <c r="S523" s="18"/>
      <c r="T523" s="18"/>
      <c r="U523" s="18"/>
      <c r="V523" s="18"/>
      <c r="W523" s="18"/>
    </row>
    <row r="524" spans="19:23" s="12" customFormat="1" x14ac:dyDescent="0.2">
      <c r="S524" s="18"/>
      <c r="T524" s="18"/>
      <c r="U524" s="18"/>
      <c r="V524" s="18"/>
      <c r="W524" s="18"/>
    </row>
    <row r="525" spans="19:23" s="12" customFormat="1" x14ac:dyDescent="0.2">
      <c r="S525" s="18"/>
      <c r="T525" s="18"/>
      <c r="U525" s="18"/>
      <c r="V525" s="18"/>
      <c r="W525" s="18"/>
    </row>
    <row r="526" spans="19:23" s="12" customFormat="1" x14ac:dyDescent="0.2">
      <c r="S526" s="18"/>
      <c r="T526" s="18"/>
      <c r="U526" s="18"/>
      <c r="V526" s="18"/>
      <c r="W526" s="18"/>
    </row>
    <row r="527" spans="19:23" s="12" customFormat="1" x14ac:dyDescent="0.2">
      <c r="S527" s="18"/>
      <c r="T527" s="18"/>
      <c r="U527" s="18"/>
      <c r="V527" s="18"/>
      <c r="W527" s="18"/>
    </row>
    <row r="528" spans="19:23" s="12" customFormat="1" x14ac:dyDescent="0.2">
      <c r="S528" s="18"/>
      <c r="T528" s="18"/>
      <c r="U528" s="18"/>
      <c r="V528" s="18"/>
      <c r="W528" s="18"/>
    </row>
    <row r="529" spans="1:23" s="12" customFormat="1" x14ac:dyDescent="0.2">
      <c r="S529" s="18"/>
      <c r="T529" s="18"/>
      <c r="U529" s="18"/>
      <c r="V529" s="18"/>
      <c r="W529" s="18"/>
    </row>
    <row r="530" spans="1:23" s="12" customFormat="1" x14ac:dyDescent="0.2">
      <c r="S530" s="18"/>
      <c r="T530" s="18"/>
      <c r="U530" s="18"/>
      <c r="V530" s="18"/>
      <c r="W530" s="18"/>
    </row>
    <row r="531" spans="1:23" s="12" customFormat="1" x14ac:dyDescent="0.2">
      <c r="S531" s="18"/>
      <c r="T531" s="18"/>
      <c r="U531" s="18"/>
      <c r="V531" s="18"/>
      <c r="W531" s="18"/>
    </row>
    <row r="532" spans="1:23" s="12" customFormat="1" x14ac:dyDescent="0.2">
      <c r="S532" s="18"/>
      <c r="T532" s="18"/>
      <c r="U532" s="18"/>
      <c r="V532" s="18"/>
      <c r="W532" s="18"/>
    </row>
    <row r="533" spans="1:23" s="12" customFormat="1" x14ac:dyDescent="0.2">
      <c r="S533" s="18"/>
      <c r="T533" s="18"/>
      <c r="U533" s="18"/>
      <c r="V533" s="18"/>
      <c r="W533" s="18"/>
    </row>
    <row r="534" spans="1:23" s="12" customFormat="1" x14ac:dyDescent="0.2">
      <c r="S534" s="18"/>
      <c r="T534" s="18"/>
      <c r="U534" s="18"/>
      <c r="V534" s="18"/>
      <c r="W534" s="18"/>
    </row>
    <row r="535" spans="1:23" s="12" customFormat="1" x14ac:dyDescent="0.2">
      <c r="S535" s="18"/>
      <c r="T535" s="18"/>
      <c r="U535" s="18"/>
      <c r="V535" s="18"/>
      <c r="W535" s="18"/>
    </row>
    <row r="536" spans="1:23" s="12" customFormat="1" x14ac:dyDescent="0.2">
      <c r="S536" s="18"/>
      <c r="T536" s="18"/>
      <c r="U536" s="18"/>
      <c r="V536" s="18"/>
      <c r="W536" s="18"/>
    </row>
    <row r="537" spans="1:23" s="12" customFormat="1" x14ac:dyDescent="0.2">
      <c r="S537" s="18"/>
      <c r="T537" s="18"/>
      <c r="U537" s="18"/>
      <c r="V537" s="18"/>
      <c r="W537" s="18"/>
    </row>
    <row r="538" spans="1:23" s="12" customFormat="1" x14ac:dyDescent="0.2">
      <c r="S538" s="18"/>
      <c r="T538" s="18"/>
      <c r="U538" s="18"/>
      <c r="V538" s="18"/>
      <c r="W538" s="18"/>
    </row>
    <row r="539" spans="1:23" s="12" customFormat="1" x14ac:dyDescent="0.2">
      <c r="S539" s="18"/>
      <c r="T539" s="18"/>
      <c r="U539" s="18"/>
      <c r="V539" s="18"/>
      <c r="W539" s="18"/>
    </row>
    <row r="540" spans="1:23" s="12" customFormat="1" x14ac:dyDescent="0.2">
      <c r="S540" s="18"/>
      <c r="T540" s="18"/>
      <c r="U540" s="18"/>
      <c r="V540" s="18"/>
      <c r="W540" s="18"/>
    </row>
    <row r="541" spans="1:23" s="12" customFormat="1" x14ac:dyDescent="0.2">
      <c r="S541" s="18"/>
      <c r="T541" s="18"/>
      <c r="U541" s="18"/>
      <c r="V541" s="18"/>
      <c r="W541" s="18"/>
    </row>
    <row r="542" spans="1:23" s="12" customFormat="1" x14ac:dyDescent="0.2">
      <c r="S542" s="18"/>
      <c r="T542" s="18"/>
      <c r="U542" s="18"/>
      <c r="V542" s="18"/>
      <c r="W542" s="18"/>
    </row>
    <row r="543" spans="1:23" s="12" customFormat="1" x14ac:dyDescent="0.2">
      <c r="S543" s="18"/>
      <c r="T543" s="18"/>
      <c r="U543" s="18"/>
      <c r="V543" s="18"/>
      <c r="W543" s="18"/>
    </row>
    <row r="544" spans="1:23" x14ac:dyDescent="0.2">
      <c r="A544" s="12"/>
      <c r="B544" s="12"/>
      <c r="C544" s="12"/>
      <c r="D544" s="12"/>
      <c r="E544" s="12"/>
      <c r="F544" s="12"/>
      <c r="G544" s="12"/>
      <c r="H544" s="12"/>
      <c r="I544" s="12"/>
      <c r="J544" s="12"/>
      <c r="K544" s="12"/>
      <c r="L544" s="12"/>
      <c r="M544" s="12"/>
      <c r="N544" s="12"/>
      <c r="O544" s="12"/>
      <c r="P544" s="12"/>
      <c r="Q544" s="12"/>
      <c r="R544" s="12"/>
    </row>
  </sheetData>
  <autoFilter ref="B2:G111" xr:uid="{00000000-0009-0000-0000-000000000000}">
    <filterColumn colId="2" showButton="0"/>
    <filterColumn colId="3" showButton="0"/>
    <filterColumn colId="4" showButton="0"/>
  </autoFilter>
  <mergeCells count="298">
    <mergeCell ref="B29:B30"/>
    <mergeCell ref="B44:B45"/>
    <mergeCell ref="A44:A45"/>
    <mergeCell ref="P44:P45"/>
    <mergeCell ref="H54:K54"/>
    <mergeCell ref="L54:O54"/>
    <mergeCell ref="D55:G55"/>
    <mergeCell ref="L55:O55"/>
    <mergeCell ref="D42:G42"/>
    <mergeCell ref="D38:G38"/>
    <mergeCell ref="A50:A51"/>
    <mergeCell ref="A29:A30"/>
    <mergeCell ref="P29:P30"/>
    <mergeCell ref="H48:K48"/>
    <mergeCell ref="L48:O48"/>
    <mergeCell ref="L42:O42"/>
    <mergeCell ref="B50:B51"/>
    <mergeCell ref="H55:K55"/>
    <mergeCell ref="A31:A32"/>
    <mergeCell ref="D57:G57"/>
    <mergeCell ref="D49:G49"/>
    <mergeCell ref="H49:K49"/>
    <mergeCell ref="L49:O49"/>
    <mergeCell ref="L35:O35"/>
    <mergeCell ref="H37:K37"/>
    <mergeCell ref="D37:G37"/>
    <mergeCell ref="D46:G46"/>
    <mergeCell ref="H46:K46"/>
    <mergeCell ref="L36:O36"/>
    <mergeCell ref="H38:K38"/>
    <mergeCell ref="L56:O56"/>
    <mergeCell ref="D56:G56"/>
    <mergeCell ref="Q44:Q45"/>
    <mergeCell ref="L64:O64"/>
    <mergeCell ref="H63:K63"/>
    <mergeCell ref="L63:O63"/>
    <mergeCell ref="L59:O59"/>
    <mergeCell ref="A23:A24"/>
    <mergeCell ref="B23:B24"/>
    <mergeCell ref="L38:O38"/>
    <mergeCell ref="D39:G39"/>
    <mergeCell ref="A52:A53"/>
    <mergeCell ref="B52:B53"/>
    <mergeCell ref="D48:G48"/>
    <mergeCell ref="Q23:Q24"/>
    <mergeCell ref="L57:O57"/>
    <mergeCell ref="Q31:Q32"/>
    <mergeCell ref="P31:P32"/>
    <mergeCell ref="B31:B32"/>
    <mergeCell ref="Q52:Q53"/>
    <mergeCell ref="Q50:Q51"/>
    <mergeCell ref="D35:G35"/>
    <mergeCell ref="H35:K35"/>
    <mergeCell ref="H47:K47"/>
    <mergeCell ref="H56:K56"/>
    <mergeCell ref="H57:K57"/>
    <mergeCell ref="A65:A66"/>
    <mergeCell ref="B74:B75"/>
    <mergeCell ref="P74:P75"/>
    <mergeCell ref="D76:G76"/>
    <mergeCell ref="H76:K76"/>
    <mergeCell ref="H58:K58"/>
    <mergeCell ref="L58:O58"/>
    <mergeCell ref="D64:G64"/>
    <mergeCell ref="H64:K64"/>
    <mergeCell ref="D59:G59"/>
    <mergeCell ref="H60:K60"/>
    <mergeCell ref="L60:O60"/>
    <mergeCell ref="A70:A71"/>
    <mergeCell ref="B70:B71"/>
    <mergeCell ref="D58:G58"/>
    <mergeCell ref="A13:A14"/>
    <mergeCell ref="B13:B14"/>
    <mergeCell ref="Q13:Q14"/>
    <mergeCell ref="A61:A62"/>
    <mergeCell ref="A81:A82"/>
    <mergeCell ref="A67:A68"/>
    <mergeCell ref="B67:B68"/>
    <mergeCell ref="H83:K83"/>
    <mergeCell ref="P15:P16"/>
    <mergeCell ref="P18:P19"/>
    <mergeCell ref="B18:B19"/>
    <mergeCell ref="A18:A19"/>
    <mergeCell ref="L20:O20"/>
    <mergeCell ref="A15:A16"/>
    <mergeCell ref="B15:B16"/>
    <mergeCell ref="D20:G20"/>
    <mergeCell ref="D60:G60"/>
    <mergeCell ref="P65:P66"/>
    <mergeCell ref="P61:P62"/>
    <mergeCell ref="B61:B62"/>
    <mergeCell ref="D63:G63"/>
    <mergeCell ref="H59:K59"/>
    <mergeCell ref="B21:B22"/>
    <mergeCell ref="A21:A22"/>
    <mergeCell ref="P13:P14"/>
    <mergeCell ref="B2:B4"/>
    <mergeCell ref="C2:C4"/>
    <mergeCell ref="D10:G10"/>
    <mergeCell ref="H10:K10"/>
    <mergeCell ref="L10:O10"/>
    <mergeCell ref="D11:G11"/>
    <mergeCell ref="H11:K11"/>
    <mergeCell ref="L11:O11"/>
    <mergeCell ref="D12:G12"/>
    <mergeCell ref="H12:K12"/>
    <mergeCell ref="L12:O12"/>
    <mergeCell ref="B8:B9"/>
    <mergeCell ref="A102:A103"/>
    <mergeCell ref="A98:A99"/>
    <mergeCell ref="B98:B99"/>
    <mergeCell ref="A100:A101"/>
    <mergeCell ref="L92:O92"/>
    <mergeCell ref="L91:O91"/>
    <mergeCell ref="L90:O90"/>
    <mergeCell ref="P93:P94"/>
    <mergeCell ref="A74:A75"/>
    <mergeCell ref="L89:O89"/>
    <mergeCell ref="A77:A78"/>
    <mergeCell ref="B77:B78"/>
    <mergeCell ref="A95:A96"/>
    <mergeCell ref="D83:G83"/>
    <mergeCell ref="P79:P80"/>
    <mergeCell ref="A93:A94"/>
    <mergeCell ref="A84:A85"/>
    <mergeCell ref="A79:A80"/>
    <mergeCell ref="B79:B80"/>
    <mergeCell ref="P77:P78"/>
    <mergeCell ref="Q84:Q85"/>
    <mergeCell ref="Q70:Q71"/>
    <mergeCell ref="P70:P71"/>
    <mergeCell ref="A72:A73"/>
    <mergeCell ref="B72:B73"/>
    <mergeCell ref="D69:G69"/>
    <mergeCell ref="H69:K69"/>
    <mergeCell ref="L69:O69"/>
    <mergeCell ref="Q79:Q80"/>
    <mergeCell ref="Q81:Q82"/>
    <mergeCell ref="Q77:Q78"/>
    <mergeCell ref="L47:O47"/>
    <mergeCell ref="P21:P22"/>
    <mergeCell ref="D111:G111"/>
    <mergeCell ref="Q61:Q62"/>
    <mergeCell ref="L76:O76"/>
    <mergeCell ref="L83:O83"/>
    <mergeCell ref="P72:P73"/>
    <mergeCell ref="B65:B66"/>
    <mergeCell ref="Q65:Q66"/>
    <mergeCell ref="Q74:Q75"/>
    <mergeCell ref="B81:B82"/>
    <mergeCell ref="P81:P82"/>
    <mergeCell ref="P102:P103"/>
    <mergeCell ref="P67:P68"/>
    <mergeCell ref="Q67:Q68"/>
    <mergeCell ref="Q72:Q73"/>
    <mergeCell ref="B95:B96"/>
    <mergeCell ref="H88:K88"/>
    <mergeCell ref="D91:G91"/>
    <mergeCell ref="H87:K87"/>
    <mergeCell ref="H92:K92"/>
    <mergeCell ref="P95:P96"/>
    <mergeCell ref="L87:O87"/>
    <mergeCell ref="H91:K91"/>
    <mergeCell ref="A1:R1"/>
    <mergeCell ref="A5:R5"/>
    <mergeCell ref="Q15:Q16"/>
    <mergeCell ref="H111:K111"/>
    <mergeCell ref="L111:O111"/>
    <mergeCell ref="Q18:Q19"/>
    <mergeCell ref="Q21:Q22"/>
    <mergeCell ref="L27:O27"/>
    <mergeCell ref="L37:O37"/>
    <mergeCell ref="H27:K27"/>
    <mergeCell ref="L28:O28"/>
    <mergeCell ref="H34:K34"/>
    <mergeCell ref="L34:O34"/>
    <mergeCell ref="H28:K28"/>
    <mergeCell ref="H41:K41"/>
    <mergeCell ref="L41:O41"/>
    <mergeCell ref="Q29:Q30"/>
    <mergeCell ref="H42:K42"/>
    <mergeCell ref="L39:O39"/>
    <mergeCell ref="P23:P24"/>
    <mergeCell ref="D43:G43"/>
    <mergeCell ref="H43:K43"/>
    <mergeCell ref="L43:O43"/>
    <mergeCell ref="D47:G47"/>
    <mergeCell ref="A2:A4"/>
    <mergeCell ref="Q8:Q9"/>
    <mergeCell ref="D2:G2"/>
    <mergeCell ref="H2:K2"/>
    <mergeCell ref="L2:O2"/>
    <mergeCell ref="D6:G6"/>
    <mergeCell ref="H6:K6"/>
    <mergeCell ref="L6:O6"/>
    <mergeCell ref="P2:P4"/>
    <mergeCell ref="D7:G7"/>
    <mergeCell ref="H7:K7"/>
    <mergeCell ref="L7:O7"/>
    <mergeCell ref="A8:A9"/>
    <mergeCell ref="P8:P9"/>
    <mergeCell ref="Q2:Q4"/>
    <mergeCell ref="Q100:Q101"/>
    <mergeCell ref="Q98:Q99"/>
    <mergeCell ref="D110:G110"/>
    <mergeCell ref="H110:K110"/>
    <mergeCell ref="L110:O110"/>
    <mergeCell ref="D90:G90"/>
    <mergeCell ref="H90:K90"/>
    <mergeCell ref="D92:G92"/>
    <mergeCell ref="D105:G105"/>
    <mergeCell ref="H105:K105"/>
    <mergeCell ref="L105:O105"/>
    <mergeCell ref="D108:G108"/>
    <mergeCell ref="H108:K108"/>
    <mergeCell ref="L108:O108"/>
    <mergeCell ref="D109:G109"/>
    <mergeCell ref="H109:K109"/>
    <mergeCell ref="L109:O109"/>
    <mergeCell ref="D106:G106"/>
    <mergeCell ref="H106:K106"/>
    <mergeCell ref="L106:O106"/>
    <mergeCell ref="D107:G107"/>
    <mergeCell ref="D97:G97"/>
    <mergeCell ref="H107:K107"/>
    <mergeCell ref="L107:O107"/>
    <mergeCell ref="D112:G112"/>
    <mergeCell ref="H112:K112"/>
    <mergeCell ref="L112:O112"/>
    <mergeCell ref="B84:B85"/>
    <mergeCell ref="D88:G88"/>
    <mergeCell ref="L88:O88"/>
    <mergeCell ref="R2:R4"/>
    <mergeCell ref="R8:R9"/>
    <mergeCell ref="R13:R14"/>
    <mergeCell ref="R15:R16"/>
    <mergeCell ref="R18:R19"/>
    <mergeCell ref="R21:R22"/>
    <mergeCell ref="R23:R24"/>
    <mergeCell ref="R29:R30"/>
    <mergeCell ref="R31:R32"/>
    <mergeCell ref="R44:R45"/>
    <mergeCell ref="R50:R51"/>
    <mergeCell ref="R52:R53"/>
    <mergeCell ref="R61:R62"/>
    <mergeCell ref="R65:R66"/>
    <mergeCell ref="R67:R68"/>
    <mergeCell ref="R70:R71"/>
    <mergeCell ref="R72:R73"/>
    <mergeCell ref="R74:R75"/>
    <mergeCell ref="A104:R104"/>
    <mergeCell ref="R77:R78"/>
    <mergeCell ref="R79:R80"/>
    <mergeCell ref="R81:R82"/>
    <mergeCell ref="R84:R85"/>
    <mergeCell ref="R93:R94"/>
    <mergeCell ref="R95:R96"/>
    <mergeCell ref="R98:R99"/>
    <mergeCell ref="R100:R101"/>
    <mergeCell ref="R102:R103"/>
    <mergeCell ref="D87:G87"/>
    <mergeCell ref="H89:K89"/>
    <mergeCell ref="B93:B94"/>
    <mergeCell ref="P84:P85"/>
    <mergeCell ref="D89:G89"/>
    <mergeCell ref="P98:P99"/>
    <mergeCell ref="B100:B101"/>
    <mergeCell ref="P100:P101"/>
    <mergeCell ref="Q102:Q103"/>
    <mergeCell ref="Q95:Q96"/>
    <mergeCell ref="Q93:Q94"/>
    <mergeCell ref="H97:K97"/>
    <mergeCell ref="L97:O97"/>
    <mergeCell ref="B102:B103"/>
    <mergeCell ref="A17:R17"/>
    <mergeCell ref="A33:R33"/>
    <mergeCell ref="A86:R86"/>
    <mergeCell ref="H20:K20"/>
    <mergeCell ref="D54:G54"/>
    <mergeCell ref="D25:G25"/>
    <mergeCell ref="H25:K25"/>
    <mergeCell ref="L25:O25"/>
    <mergeCell ref="D26:G26"/>
    <mergeCell ref="D34:G34"/>
    <mergeCell ref="P50:P51"/>
    <mergeCell ref="P52:P53"/>
    <mergeCell ref="L26:O26"/>
    <mergeCell ref="H36:K36"/>
    <mergeCell ref="H39:K39"/>
    <mergeCell ref="H26:K26"/>
    <mergeCell ref="D27:G27"/>
    <mergeCell ref="D28:G28"/>
    <mergeCell ref="L46:O46"/>
    <mergeCell ref="D36:G36"/>
    <mergeCell ref="D40:G40"/>
    <mergeCell ref="H40:K40"/>
    <mergeCell ref="L40:O40"/>
    <mergeCell ref="D41:G41"/>
  </mergeCells>
  <pageMargins left="0.7" right="0.7" top="0.75" bottom="0.75" header="0.3" footer="0.3"/>
  <pageSetup scale="43" fitToHeight="0" orientation="landscape"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93"/>
  <sheetViews>
    <sheetView rightToLeft="1" topLeftCell="A16" zoomScale="85" zoomScaleNormal="85" workbookViewId="0">
      <selection activeCell="B34" sqref="B34:B35"/>
    </sheetView>
  </sheetViews>
  <sheetFormatPr defaultColWidth="9.125" defaultRowHeight="14.25" x14ac:dyDescent="0.2"/>
  <cols>
    <col min="1" max="1" width="8.875" style="1" customWidth="1"/>
    <col min="2" max="2" width="74.625" style="1" customWidth="1"/>
    <col min="3" max="3" width="16.75" style="1" customWidth="1"/>
    <col min="4" max="4" width="5.375" style="1" bestFit="1" customWidth="1"/>
    <col min="5" max="5" width="6.25" style="1" bestFit="1" customWidth="1"/>
    <col min="6" max="6" width="6.125" style="1" bestFit="1" customWidth="1"/>
    <col min="7" max="7" width="5.75" style="1" bestFit="1" customWidth="1"/>
    <col min="8" max="8" width="5.375" style="1" bestFit="1" customWidth="1"/>
    <col min="9" max="9" width="6.25" style="1" bestFit="1" customWidth="1"/>
    <col min="10" max="10" width="6.125" style="1" bestFit="1" customWidth="1"/>
    <col min="11" max="11" width="5.75" style="1" bestFit="1" customWidth="1"/>
    <col min="12" max="12" width="5.375" style="1" bestFit="1" customWidth="1"/>
    <col min="13" max="13" width="6.25" style="1" bestFit="1" customWidth="1"/>
    <col min="14" max="14" width="6.125" style="1" bestFit="1" customWidth="1"/>
    <col min="15" max="15" width="5.75" style="1" bestFit="1" customWidth="1"/>
    <col min="16" max="16" width="11" style="1" bestFit="1" customWidth="1"/>
    <col min="17" max="18" width="23" style="1" bestFit="1" customWidth="1"/>
    <col min="19" max="16384" width="9.125" style="1"/>
  </cols>
  <sheetData>
    <row r="1" spans="1:18" ht="23.25" customHeight="1" x14ac:dyDescent="0.2">
      <c r="A1" s="126" t="s">
        <v>140</v>
      </c>
      <c r="B1" s="126"/>
      <c r="C1" s="126"/>
      <c r="D1" s="126"/>
      <c r="E1" s="126"/>
      <c r="F1" s="126"/>
      <c r="G1" s="126"/>
      <c r="H1" s="126"/>
      <c r="I1" s="126"/>
      <c r="J1" s="126"/>
      <c r="K1" s="126"/>
      <c r="L1" s="126"/>
      <c r="M1" s="126"/>
      <c r="N1" s="126"/>
      <c r="O1" s="126"/>
      <c r="P1" s="126"/>
      <c r="Q1" s="126"/>
      <c r="R1" s="126"/>
    </row>
    <row r="2" spans="1:18" ht="42.75" customHeight="1" x14ac:dyDescent="0.2">
      <c r="A2" s="116" t="s">
        <v>4</v>
      </c>
      <c r="B2" s="116" t="s">
        <v>3</v>
      </c>
      <c r="C2" s="116" t="s">
        <v>136</v>
      </c>
      <c r="D2" s="116" t="s">
        <v>2</v>
      </c>
      <c r="E2" s="116"/>
      <c r="F2" s="116"/>
      <c r="G2" s="116"/>
      <c r="H2" s="116" t="s">
        <v>1</v>
      </c>
      <c r="I2" s="116"/>
      <c r="J2" s="116"/>
      <c r="K2" s="116"/>
      <c r="L2" s="121" t="s">
        <v>458</v>
      </c>
      <c r="M2" s="121"/>
      <c r="N2" s="121"/>
      <c r="O2" s="121"/>
      <c r="P2" s="116" t="s">
        <v>0</v>
      </c>
      <c r="Q2" s="116" t="s">
        <v>25</v>
      </c>
      <c r="R2" s="116" t="s">
        <v>482</v>
      </c>
    </row>
    <row r="3" spans="1:18" ht="44.25" customHeight="1" x14ac:dyDescent="0.2">
      <c r="A3" s="116"/>
      <c r="B3" s="116"/>
      <c r="C3" s="116"/>
      <c r="D3" s="53" t="s">
        <v>8</v>
      </c>
      <c r="E3" s="53" t="s">
        <v>7</v>
      </c>
      <c r="F3" s="53" t="s">
        <v>6</v>
      </c>
      <c r="G3" s="53" t="s">
        <v>5</v>
      </c>
      <c r="H3" s="53" t="s">
        <v>8</v>
      </c>
      <c r="I3" s="53" t="s">
        <v>7</v>
      </c>
      <c r="J3" s="53" t="s">
        <v>6</v>
      </c>
      <c r="K3" s="53" t="s">
        <v>5</v>
      </c>
      <c r="L3" s="53" t="s">
        <v>8</v>
      </c>
      <c r="M3" s="53" t="s">
        <v>7</v>
      </c>
      <c r="N3" s="53" t="s">
        <v>6</v>
      </c>
      <c r="O3" s="53" t="s">
        <v>5</v>
      </c>
      <c r="P3" s="116"/>
      <c r="Q3" s="116"/>
      <c r="R3" s="116"/>
    </row>
    <row r="4" spans="1:18" ht="23.25" customHeight="1" x14ac:dyDescent="0.2">
      <c r="A4" s="105" t="s">
        <v>89</v>
      </c>
      <c r="B4" s="105"/>
      <c r="C4" s="105"/>
      <c r="D4" s="105"/>
      <c r="E4" s="105"/>
      <c r="F4" s="105"/>
      <c r="G4" s="105"/>
      <c r="H4" s="105"/>
      <c r="I4" s="105"/>
      <c r="J4" s="105"/>
      <c r="K4" s="105"/>
      <c r="L4" s="105"/>
      <c r="M4" s="105"/>
      <c r="N4" s="105"/>
      <c r="O4" s="105"/>
      <c r="P4" s="105"/>
      <c r="Q4" s="105"/>
      <c r="R4" s="105"/>
    </row>
    <row r="5" spans="1:18" ht="21.75" x14ac:dyDescent="0.2">
      <c r="A5" s="51" t="s">
        <v>225</v>
      </c>
      <c r="B5" s="51" t="s">
        <v>133</v>
      </c>
      <c r="C5" s="37" t="s">
        <v>13</v>
      </c>
      <c r="D5" s="107">
        <v>24000</v>
      </c>
      <c r="E5" s="107"/>
      <c r="F5" s="107"/>
      <c r="G5" s="107"/>
      <c r="H5" s="107">
        <f>D5-(D5*20/100)</f>
        <v>19200</v>
      </c>
      <c r="I5" s="107"/>
      <c r="J5" s="107"/>
      <c r="K5" s="107"/>
      <c r="L5" s="107">
        <f>D5-(D5*40/100)</f>
        <v>14400</v>
      </c>
      <c r="M5" s="107"/>
      <c r="N5" s="107"/>
      <c r="O5" s="107"/>
      <c r="P5" s="50" t="s">
        <v>9</v>
      </c>
      <c r="Q5" s="37" t="s">
        <v>38</v>
      </c>
      <c r="R5" s="71" t="s">
        <v>502</v>
      </c>
    </row>
    <row r="6" spans="1:18" ht="38.25" customHeight="1" x14ac:dyDescent="0.2">
      <c r="A6" s="50" t="s">
        <v>226</v>
      </c>
      <c r="B6" s="50" t="s">
        <v>79</v>
      </c>
      <c r="C6" s="37" t="s">
        <v>13</v>
      </c>
      <c r="D6" s="107">
        <v>3000</v>
      </c>
      <c r="E6" s="107"/>
      <c r="F6" s="107"/>
      <c r="G6" s="107"/>
      <c r="H6" s="107">
        <f>D6-(D6*20/100)</f>
        <v>2400</v>
      </c>
      <c r="I6" s="107"/>
      <c r="J6" s="107"/>
      <c r="K6" s="107"/>
      <c r="L6" s="107">
        <f>D6-(D6*40/100)</f>
        <v>1800</v>
      </c>
      <c r="M6" s="107"/>
      <c r="N6" s="107"/>
      <c r="O6" s="107"/>
      <c r="P6" s="50" t="s">
        <v>9</v>
      </c>
      <c r="Q6" s="37" t="s">
        <v>38</v>
      </c>
      <c r="R6" s="71" t="s">
        <v>502</v>
      </c>
    </row>
    <row r="7" spans="1:18" s="4" customFormat="1" ht="30.75" customHeight="1" x14ac:dyDescent="0.2">
      <c r="A7" s="51" t="s">
        <v>227</v>
      </c>
      <c r="B7" s="51" t="s">
        <v>88</v>
      </c>
      <c r="C7" s="59" t="s">
        <v>24</v>
      </c>
      <c r="D7" s="107">
        <v>7000</v>
      </c>
      <c r="E7" s="107"/>
      <c r="F7" s="107"/>
      <c r="G7" s="107"/>
      <c r="H7" s="107">
        <f>D7-(D7*20/100)</f>
        <v>5600</v>
      </c>
      <c r="I7" s="107"/>
      <c r="J7" s="107"/>
      <c r="K7" s="107"/>
      <c r="L7" s="107">
        <f>D7-(D7*40/100)</f>
        <v>4200</v>
      </c>
      <c r="M7" s="107"/>
      <c r="N7" s="107"/>
      <c r="O7" s="107"/>
      <c r="P7" s="50" t="s">
        <v>9</v>
      </c>
      <c r="Q7" s="59" t="s">
        <v>23</v>
      </c>
      <c r="R7" s="71" t="s">
        <v>502</v>
      </c>
    </row>
    <row r="8" spans="1:18" ht="31.5" customHeight="1" x14ac:dyDescent="0.2">
      <c r="A8" s="129" t="s">
        <v>229</v>
      </c>
      <c r="B8" s="108" t="s">
        <v>80</v>
      </c>
      <c r="C8" s="50" t="s">
        <v>14</v>
      </c>
      <c r="D8" s="50">
        <v>5000</v>
      </c>
      <c r="E8" s="50">
        <f>MROUND(D8-(D8*10/100),50)</f>
        <v>4500</v>
      </c>
      <c r="F8" s="50">
        <f>MROUND(D8-(D8*20/100),50)</f>
        <v>4000</v>
      </c>
      <c r="G8" s="50">
        <f>MROUND(D8-(D8*30/100),50)</f>
        <v>3500</v>
      </c>
      <c r="H8" s="50">
        <f>MROUND(D8-(D8*10/100),50)</f>
        <v>4500</v>
      </c>
      <c r="I8" s="50">
        <f>MROUND(H8-(H8*10/100),50)</f>
        <v>4050</v>
      </c>
      <c r="J8" s="50">
        <f>MROUND(H8-(H8*20/100),50)</f>
        <v>3600</v>
      </c>
      <c r="K8" s="50">
        <f>MROUND(H8-(H8*30/100),50)</f>
        <v>3150</v>
      </c>
      <c r="L8" s="50">
        <f>MROUND(D8-(D8*20/100),50)</f>
        <v>4000</v>
      </c>
      <c r="M8" s="50">
        <f>MROUND(L8-(L8*10/100),50)</f>
        <v>3600</v>
      </c>
      <c r="N8" s="50">
        <f>MROUND(L8-(L8*20/100),50)</f>
        <v>3200</v>
      </c>
      <c r="O8" s="50">
        <f>MROUND(L8-(L8*30/100),50)</f>
        <v>2800</v>
      </c>
      <c r="P8" s="108" t="s">
        <v>10</v>
      </c>
      <c r="Q8" s="127" t="s">
        <v>23</v>
      </c>
      <c r="R8" s="127" t="s">
        <v>502</v>
      </c>
    </row>
    <row r="9" spans="1:18" ht="27.75" customHeight="1" x14ac:dyDescent="0.2">
      <c r="A9" s="129" t="s">
        <v>227</v>
      </c>
      <c r="B9" s="108"/>
      <c r="C9" s="50" t="s">
        <v>15</v>
      </c>
      <c r="D9" s="50">
        <f t="shared" ref="D9" si="0">D8*50/100</f>
        <v>2500</v>
      </c>
      <c r="E9" s="51">
        <f t="shared" ref="E9:O9" si="1">MROUND(E8*50/100,50)</f>
        <v>2250</v>
      </c>
      <c r="F9" s="51">
        <f t="shared" si="1"/>
        <v>2000</v>
      </c>
      <c r="G9" s="51">
        <f t="shared" si="1"/>
        <v>1750</v>
      </c>
      <c r="H9" s="51">
        <f t="shared" si="1"/>
        <v>2250</v>
      </c>
      <c r="I9" s="51">
        <f t="shared" si="1"/>
        <v>2050</v>
      </c>
      <c r="J9" s="51">
        <f t="shared" si="1"/>
        <v>1800</v>
      </c>
      <c r="K9" s="51">
        <f t="shared" si="1"/>
        <v>1600</v>
      </c>
      <c r="L9" s="51">
        <f t="shared" si="1"/>
        <v>2000</v>
      </c>
      <c r="M9" s="51">
        <f t="shared" si="1"/>
        <v>1800</v>
      </c>
      <c r="N9" s="51">
        <f t="shared" si="1"/>
        <v>1600</v>
      </c>
      <c r="O9" s="51">
        <f t="shared" si="1"/>
        <v>1400</v>
      </c>
      <c r="P9" s="108"/>
      <c r="Q9" s="127"/>
      <c r="R9" s="127"/>
    </row>
    <row r="10" spans="1:18" ht="27.75" customHeight="1" x14ac:dyDescent="0.2">
      <c r="A10" s="60" t="s">
        <v>230</v>
      </c>
      <c r="B10" s="63" t="s">
        <v>492</v>
      </c>
      <c r="C10" s="59" t="s">
        <v>24</v>
      </c>
      <c r="D10" s="107">
        <v>2000</v>
      </c>
      <c r="E10" s="107"/>
      <c r="F10" s="107"/>
      <c r="G10" s="107"/>
      <c r="H10" s="107">
        <f>D10-(D10*20/100)</f>
        <v>1600</v>
      </c>
      <c r="I10" s="107"/>
      <c r="J10" s="107"/>
      <c r="K10" s="107"/>
      <c r="L10" s="107">
        <f>D10-(D10*40/100)</f>
        <v>1200</v>
      </c>
      <c r="M10" s="107"/>
      <c r="N10" s="107"/>
      <c r="O10" s="107"/>
      <c r="P10" s="50" t="s">
        <v>9</v>
      </c>
      <c r="Q10" s="59" t="s">
        <v>23</v>
      </c>
      <c r="R10" s="71" t="s">
        <v>502</v>
      </c>
    </row>
    <row r="11" spans="1:18" s="4" customFormat="1" ht="18" customHeight="1" x14ac:dyDescent="0.2">
      <c r="A11" s="60" t="s">
        <v>222</v>
      </c>
      <c r="B11" s="51" t="s">
        <v>92</v>
      </c>
      <c r="C11" s="59" t="s">
        <v>24</v>
      </c>
      <c r="D11" s="107">
        <v>5000</v>
      </c>
      <c r="E11" s="107"/>
      <c r="F11" s="107"/>
      <c r="G11" s="107"/>
      <c r="H11" s="107">
        <f>D11-(D11*20/100)</f>
        <v>4000</v>
      </c>
      <c r="I11" s="107"/>
      <c r="J11" s="107"/>
      <c r="K11" s="107"/>
      <c r="L11" s="107">
        <f>D11-(D11*40/100)</f>
        <v>3000</v>
      </c>
      <c r="M11" s="107"/>
      <c r="N11" s="107"/>
      <c r="O11" s="107"/>
      <c r="P11" s="50" t="s">
        <v>9</v>
      </c>
      <c r="Q11" s="54" t="s">
        <v>410</v>
      </c>
      <c r="R11" s="69" t="s">
        <v>503</v>
      </c>
    </row>
    <row r="12" spans="1:18" s="4" customFormat="1" ht="18" customHeight="1" x14ac:dyDescent="0.2">
      <c r="A12" s="60" t="s">
        <v>223</v>
      </c>
      <c r="B12" s="51" t="s">
        <v>93</v>
      </c>
      <c r="C12" s="59" t="s">
        <v>24</v>
      </c>
      <c r="D12" s="107">
        <v>1000</v>
      </c>
      <c r="E12" s="107"/>
      <c r="F12" s="107"/>
      <c r="G12" s="107"/>
      <c r="H12" s="107">
        <f>D12-(D12*20/100)</f>
        <v>800</v>
      </c>
      <c r="I12" s="107"/>
      <c r="J12" s="107"/>
      <c r="K12" s="107"/>
      <c r="L12" s="107">
        <f>D12-(D12*40/100)</f>
        <v>600</v>
      </c>
      <c r="M12" s="107"/>
      <c r="N12" s="107"/>
      <c r="O12" s="107"/>
      <c r="P12" s="50" t="s">
        <v>9</v>
      </c>
      <c r="Q12" s="54" t="s">
        <v>394</v>
      </c>
      <c r="R12" s="86" t="s">
        <v>503</v>
      </c>
    </row>
    <row r="13" spans="1:18" s="4" customFormat="1" ht="48.75" customHeight="1" x14ac:dyDescent="0.2">
      <c r="A13" s="129" t="s">
        <v>224</v>
      </c>
      <c r="B13" s="107" t="s">
        <v>94</v>
      </c>
      <c r="C13" s="50" t="s">
        <v>59</v>
      </c>
      <c r="D13" s="50">
        <v>3000</v>
      </c>
      <c r="E13" s="50">
        <f>MROUND(D13-(D13*10/100),50)</f>
        <v>2700</v>
      </c>
      <c r="F13" s="50">
        <f>MROUND(D13-(D13*20/100),50)</f>
        <v>2400</v>
      </c>
      <c r="G13" s="50">
        <f>MROUND(D13-(D13*30/100),50)</f>
        <v>2100</v>
      </c>
      <c r="H13" s="50">
        <f>MROUND(D13-(D13*10/100),50)</f>
        <v>2700</v>
      </c>
      <c r="I13" s="50">
        <f>MROUND(H13-(H13*10/100),50)</f>
        <v>2450</v>
      </c>
      <c r="J13" s="50">
        <f>MROUND(H13-(H13*20/100),50)</f>
        <v>2150</v>
      </c>
      <c r="K13" s="50">
        <f>MROUND(H13-(H13*30/100),50)</f>
        <v>1900</v>
      </c>
      <c r="L13" s="50">
        <f>MROUND(D13-(D13*20/100),50)</f>
        <v>2400</v>
      </c>
      <c r="M13" s="50">
        <f>MROUND(L13-(L13*10/100),50)</f>
        <v>2150</v>
      </c>
      <c r="N13" s="50">
        <f>MROUND(L13-(L13*20/100),50)</f>
        <v>1900</v>
      </c>
      <c r="O13" s="50">
        <f>MROUND(L13-(L13*30/100),50)</f>
        <v>1700</v>
      </c>
      <c r="P13" s="108" t="s">
        <v>10</v>
      </c>
      <c r="Q13" s="112" t="s">
        <v>23</v>
      </c>
      <c r="R13" s="113" t="s">
        <v>502</v>
      </c>
    </row>
    <row r="14" spans="1:18" ht="21.75" x14ac:dyDescent="0.2">
      <c r="A14" s="129"/>
      <c r="B14" s="107"/>
      <c r="C14" s="50" t="s">
        <v>16</v>
      </c>
      <c r="D14" s="50">
        <f>D13*50/100</f>
        <v>1500</v>
      </c>
      <c r="E14" s="51">
        <f t="shared" ref="E14:O14" si="2">MROUND(E13*50/100,50)</f>
        <v>1350</v>
      </c>
      <c r="F14" s="51">
        <f t="shared" si="2"/>
        <v>1200</v>
      </c>
      <c r="G14" s="51">
        <f t="shared" si="2"/>
        <v>1050</v>
      </c>
      <c r="H14" s="51">
        <f t="shared" si="2"/>
        <v>1350</v>
      </c>
      <c r="I14" s="51">
        <f t="shared" si="2"/>
        <v>1250</v>
      </c>
      <c r="J14" s="51">
        <f t="shared" si="2"/>
        <v>1100</v>
      </c>
      <c r="K14" s="51">
        <f t="shared" si="2"/>
        <v>950</v>
      </c>
      <c r="L14" s="51">
        <f t="shared" si="2"/>
        <v>1200</v>
      </c>
      <c r="M14" s="51">
        <f t="shared" si="2"/>
        <v>1100</v>
      </c>
      <c r="N14" s="51">
        <f t="shared" si="2"/>
        <v>950</v>
      </c>
      <c r="O14" s="51">
        <f t="shared" si="2"/>
        <v>850</v>
      </c>
      <c r="P14" s="108"/>
      <c r="Q14" s="112"/>
      <c r="R14" s="113"/>
    </row>
    <row r="15" spans="1:18" ht="21.75" x14ac:dyDescent="0.2">
      <c r="A15" s="129" t="s">
        <v>231</v>
      </c>
      <c r="B15" s="108" t="s">
        <v>95</v>
      </c>
      <c r="C15" s="50" t="s">
        <v>14</v>
      </c>
      <c r="D15" s="50">
        <v>2000</v>
      </c>
      <c r="E15" s="50">
        <f>MROUND(D15-(D15*10/100),50)</f>
        <v>1800</v>
      </c>
      <c r="F15" s="50">
        <f>MROUND(D15-(D15*20/100),50)</f>
        <v>1600</v>
      </c>
      <c r="G15" s="50">
        <f>MROUND(D15-(D15*30/100),50)</f>
        <v>1400</v>
      </c>
      <c r="H15" s="50">
        <f>MROUND(D15-(D15*10/100),50)</f>
        <v>1800</v>
      </c>
      <c r="I15" s="50">
        <f>MROUND(H15-(H15*10/100),50)</f>
        <v>1600</v>
      </c>
      <c r="J15" s="50">
        <f>MROUND(H15-(H15*20/100),50)</f>
        <v>1450</v>
      </c>
      <c r="K15" s="50">
        <f>MROUND(H15-(H15*30/100),50)</f>
        <v>1250</v>
      </c>
      <c r="L15" s="50">
        <f>MROUND(D15-(D15*20/100),50)</f>
        <v>1600</v>
      </c>
      <c r="M15" s="50">
        <f>MROUND(L15-(L15*10/100),50)</f>
        <v>1450</v>
      </c>
      <c r="N15" s="50">
        <f>MROUND(L15-(L15*20/100),50)</f>
        <v>1300</v>
      </c>
      <c r="O15" s="50">
        <f>MROUND(L15-(L15*30/100),50)</f>
        <v>1100</v>
      </c>
      <c r="P15" s="108" t="s">
        <v>10</v>
      </c>
      <c r="Q15" s="117" t="s">
        <v>411</v>
      </c>
      <c r="R15" s="117" t="s">
        <v>502</v>
      </c>
    </row>
    <row r="16" spans="1:18" ht="23.25" customHeight="1" x14ac:dyDescent="0.2">
      <c r="A16" s="129"/>
      <c r="B16" s="108"/>
      <c r="C16" s="50" t="s">
        <v>16</v>
      </c>
      <c r="D16" s="50">
        <f t="shared" ref="D16" si="3">D15*50/100</f>
        <v>1000</v>
      </c>
      <c r="E16" s="51">
        <f t="shared" ref="E16:O16" si="4">MROUND(E15*50/100,50)</f>
        <v>900</v>
      </c>
      <c r="F16" s="51">
        <f t="shared" si="4"/>
        <v>800</v>
      </c>
      <c r="G16" s="51">
        <f t="shared" si="4"/>
        <v>700</v>
      </c>
      <c r="H16" s="51">
        <f t="shared" si="4"/>
        <v>900</v>
      </c>
      <c r="I16" s="51">
        <f t="shared" si="4"/>
        <v>800</v>
      </c>
      <c r="J16" s="51">
        <f t="shared" si="4"/>
        <v>750</v>
      </c>
      <c r="K16" s="51">
        <f t="shared" si="4"/>
        <v>650</v>
      </c>
      <c r="L16" s="51">
        <f t="shared" si="4"/>
        <v>800</v>
      </c>
      <c r="M16" s="51">
        <f t="shared" si="4"/>
        <v>750</v>
      </c>
      <c r="N16" s="51">
        <f t="shared" si="4"/>
        <v>650</v>
      </c>
      <c r="O16" s="51">
        <f t="shared" si="4"/>
        <v>550</v>
      </c>
      <c r="P16" s="108"/>
      <c r="Q16" s="117"/>
      <c r="R16" s="117"/>
    </row>
    <row r="17" spans="1:18" ht="23.25" x14ac:dyDescent="0.2">
      <c r="A17" s="105" t="s">
        <v>138</v>
      </c>
      <c r="B17" s="105"/>
      <c r="C17" s="105"/>
      <c r="D17" s="105"/>
      <c r="E17" s="105"/>
      <c r="F17" s="105"/>
      <c r="G17" s="105"/>
      <c r="H17" s="105"/>
      <c r="I17" s="105"/>
      <c r="J17" s="105"/>
      <c r="K17" s="105"/>
      <c r="L17" s="105"/>
      <c r="M17" s="105"/>
      <c r="N17" s="105"/>
      <c r="O17" s="105"/>
      <c r="P17" s="105"/>
      <c r="Q17" s="105"/>
      <c r="R17" s="105"/>
    </row>
    <row r="18" spans="1:18" ht="38.25" customHeight="1" x14ac:dyDescent="0.2">
      <c r="A18" s="42" t="s">
        <v>232</v>
      </c>
      <c r="B18" s="42" t="s">
        <v>420</v>
      </c>
      <c r="C18" s="37" t="s">
        <v>13</v>
      </c>
      <c r="D18" s="107">
        <v>64000</v>
      </c>
      <c r="E18" s="107"/>
      <c r="F18" s="107"/>
      <c r="G18" s="107"/>
      <c r="H18" s="107">
        <f t="shared" ref="H18:H26" si="5">D18-(D18*20/100)</f>
        <v>51200</v>
      </c>
      <c r="I18" s="107"/>
      <c r="J18" s="107"/>
      <c r="K18" s="107"/>
      <c r="L18" s="107">
        <f t="shared" ref="L18:L26" si="6">D18-(D18*40/100)</f>
        <v>38400</v>
      </c>
      <c r="M18" s="107"/>
      <c r="N18" s="107"/>
      <c r="O18" s="107"/>
      <c r="P18" s="50" t="s">
        <v>9</v>
      </c>
      <c r="Q18" s="49" t="s">
        <v>397</v>
      </c>
      <c r="R18" s="66" t="s">
        <v>505</v>
      </c>
    </row>
    <row r="19" spans="1:18" s="33" customFormat="1" ht="42" customHeight="1" x14ac:dyDescent="0.2">
      <c r="A19" s="42" t="s">
        <v>233</v>
      </c>
      <c r="B19" s="42" t="s">
        <v>442</v>
      </c>
      <c r="C19" s="37" t="s">
        <v>13</v>
      </c>
      <c r="D19" s="107">
        <v>320000</v>
      </c>
      <c r="E19" s="107">
        <f>D19-(D19*10/100)</f>
        <v>288000</v>
      </c>
      <c r="F19" s="107">
        <f>D19-(D19*20/100)</f>
        <v>256000</v>
      </c>
      <c r="G19" s="107">
        <f>D19-(D19*30/100)</f>
        <v>224000</v>
      </c>
      <c r="H19" s="107">
        <f t="shared" si="5"/>
        <v>256000</v>
      </c>
      <c r="I19" s="107"/>
      <c r="J19" s="107"/>
      <c r="K19" s="107"/>
      <c r="L19" s="107">
        <f t="shared" si="6"/>
        <v>192000</v>
      </c>
      <c r="M19" s="107"/>
      <c r="N19" s="107"/>
      <c r="O19" s="107"/>
      <c r="P19" s="50" t="s">
        <v>9</v>
      </c>
      <c r="Q19" s="49" t="s">
        <v>398</v>
      </c>
      <c r="R19" s="66" t="s">
        <v>505</v>
      </c>
    </row>
    <row r="20" spans="1:18" ht="35.25" customHeight="1" x14ac:dyDescent="0.2">
      <c r="A20" s="46" t="s">
        <v>234</v>
      </c>
      <c r="B20" s="46" t="s">
        <v>36</v>
      </c>
      <c r="C20" s="30" t="s">
        <v>13</v>
      </c>
      <c r="D20" s="109">
        <v>38400</v>
      </c>
      <c r="E20" s="109"/>
      <c r="F20" s="109"/>
      <c r="G20" s="109"/>
      <c r="H20" s="109">
        <f t="shared" si="5"/>
        <v>30720</v>
      </c>
      <c r="I20" s="109"/>
      <c r="J20" s="109"/>
      <c r="K20" s="109"/>
      <c r="L20" s="109">
        <f t="shared" si="6"/>
        <v>23040</v>
      </c>
      <c r="M20" s="109"/>
      <c r="N20" s="109"/>
      <c r="O20" s="109"/>
      <c r="P20" s="56" t="s">
        <v>9</v>
      </c>
      <c r="Q20" s="55" t="s">
        <v>400</v>
      </c>
      <c r="R20" s="66" t="s">
        <v>505</v>
      </c>
    </row>
    <row r="21" spans="1:18" ht="43.5" x14ac:dyDescent="0.2">
      <c r="A21" s="42" t="s">
        <v>228</v>
      </c>
      <c r="B21" s="42" t="s">
        <v>454</v>
      </c>
      <c r="C21" s="37" t="s">
        <v>13</v>
      </c>
      <c r="D21" s="107">
        <v>21600</v>
      </c>
      <c r="E21" s="107">
        <f>D21-(D21*10/100)</f>
        <v>19440</v>
      </c>
      <c r="F21" s="107">
        <f>D21-(D21*20/100)</f>
        <v>17280</v>
      </c>
      <c r="G21" s="107">
        <f>D21-(D21*30/100)</f>
        <v>15120</v>
      </c>
      <c r="H21" s="107">
        <f>D21-(D21*20/100)</f>
        <v>17280</v>
      </c>
      <c r="I21" s="107"/>
      <c r="J21" s="107"/>
      <c r="K21" s="107"/>
      <c r="L21" s="107">
        <f>D21-(D21*40/100)</f>
        <v>12960</v>
      </c>
      <c r="M21" s="107"/>
      <c r="N21" s="107"/>
      <c r="O21" s="107"/>
      <c r="P21" s="50" t="s">
        <v>9</v>
      </c>
      <c r="Q21" s="49" t="s">
        <v>399</v>
      </c>
      <c r="R21" s="66" t="s">
        <v>505</v>
      </c>
    </row>
    <row r="22" spans="1:18" ht="54" customHeight="1" x14ac:dyDescent="0.2">
      <c r="A22" s="42" t="s">
        <v>235</v>
      </c>
      <c r="B22" s="42" t="s">
        <v>35</v>
      </c>
      <c r="C22" s="37" t="s">
        <v>13</v>
      </c>
      <c r="D22" s="107">
        <v>17600</v>
      </c>
      <c r="E22" s="107">
        <v>20000</v>
      </c>
      <c r="F22" s="107">
        <v>20000</v>
      </c>
      <c r="G22" s="107">
        <v>20000</v>
      </c>
      <c r="H22" s="107">
        <f t="shared" si="5"/>
        <v>14080</v>
      </c>
      <c r="I22" s="107"/>
      <c r="J22" s="107"/>
      <c r="K22" s="107"/>
      <c r="L22" s="107">
        <f t="shared" si="6"/>
        <v>10560</v>
      </c>
      <c r="M22" s="107"/>
      <c r="N22" s="107"/>
      <c r="O22" s="107"/>
      <c r="P22" s="50" t="s">
        <v>9</v>
      </c>
      <c r="Q22" s="49" t="s">
        <v>400</v>
      </c>
      <c r="R22" s="66" t="s">
        <v>505</v>
      </c>
    </row>
    <row r="23" spans="1:18" s="35" customFormat="1" ht="39" customHeight="1" x14ac:dyDescent="0.2">
      <c r="A23" s="45" t="s">
        <v>236</v>
      </c>
      <c r="B23" s="45" t="s">
        <v>62</v>
      </c>
      <c r="C23" s="37" t="s">
        <v>13</v>
      </c>
      <c r="D23" s="107">
        <v>16000</v>
      </c>
      <c r="E23" s="107">
        <f>D23-(D23*10/100)</f>
        <v>14400</v>
      </c>
      <c r="F23" s="107">
        <f>D23-(D23*20/100)</f>
        <v>12800</v>
      </c>
      <c r="G23" s="107">
        <f>D23-(D23*30/100)</f>
        <v>11200</v>
      </c>
      <c r="H23" s="107">
        <f t="shared" si="5"/>
        <v>12800</v>
      </c>
      <c r="I23" s="107"/>
      <c r="J23" s="107"/>
      <c r="K23" s="107"/>
      <c r="L23" s="107">
        <f t="shared" si="6"/>
        <v>9600</v>
      </c>
      <c r="M23" s="107"/>
      <c r="N23" s="107"/>
      <c r="O23" s="107"/>
      <c r="P23" s="50" t="s">
        <v>9</v>
      </c>
      <c r="Q23" s="49" t="s">
        <v>402</v>
      </c>
      <c r="R23" s="66" t="s">
        <v>505</v>
      </c>
    </row>
    <row r="24" spans="1:18" ht="48.75" customHeight="1" x14ac:dyDescent="0.2">
      <c r="A24" s="55" t="s">
        <v>237</v>
      </c>
      <c r="B24" s="55" t="s">
        <v>135</v>
      </c>
      <c r="C24" s="56" t="s">
        <v>24</v>
      </c>
      <c r="D24" s="109">
        <v>100000</v>
      </c>
      <c r="E24" s="109"/>
      <c r="F24" s="109"/>
      <c r="G24" s="109"/>
      <c r="H24" s="109">
        <f t="shared" si="5"/>
        <v>80000</v>
      </c>
      <c r="I24" s="109"/>
      <c r="J24" s="109"/>
      <c r="K24" s="109"/>
      <c r="L24" s="109">
        <f t="shared" si="6"/>
        <v>60000</v>
      </c>
      <c r="M24" s="109"/>
      <c r="N24" s="109"/>
      <c r="O24" s="109"/>
      <c r="P24" s="56" t="s">
        <v>9</v>
      </c>
      <c r="Q24" s="56" t="s">
        <v>23</v>
      </c>
      <c r="R24" s="89" t="s">
        <v>505</v>
      </c>
    </row>
    <row r="25" spans="1:18" ht="48.75" customHeight="1" x14ac:dyDescent="0.2">
      <c r="A25" s="49" t="s">
        <v>238</v>
      </c>
      <c r="B25" s="49" t="s">
        <v>491</v>
      </c>
      <c r="C25" s="59" t="s">
        <v>24</v>
      </c>
      <c r="D25" s="107">
        <v>16000</v>
      </c>
      <c r="E25" s="107"/>
      <c r="F25" s="107"/>
      <c r="G25" s="107"/>
      <c r="H25" s="107">
        <f t="shared" si="5"/>
        <v>12800</v>
      </c>
      <c r="I25" s="107"/>
      <c r="J25" s="107"/>
      <c r="K25" s="107"/>
      <c r="L25" s="107">
        <f t="shared" si="6"/>
        <v>9600</v>
      </c>
      <c r="M25" s="107"/>
      <c r="N25" s="107"/>
      <c r="O25" s="107"/>
      <c r="P25" s="50" t="s">
        <v>9</v>
      </c>
      <c r="Q25" s="49" t="s">
        <v>401</v>
      </c>
      <c r="R25" s="66" t="s">
        <v>505</v>
      </c>
    </row>
    <row r="26" spans="1:18" s="19" customFormat="1" ht="43.5" customHeight="1" x14ac:dyDescent="0.2">
      <c r="A26" s="45" t="s">
        <v>239</v>
      </c>
      <c r="B26" s="45" t="s">
        <v>63</v>
      </c>
      <c r="C26" s="37" t="s">
        <v>13</v>
      </c>
      <c r="D26" s="107">
        <v>18000</v>
      </c>
      <c r="E26" s="107">
        <v>20000</v>
      </c>
      <c r="F26" s="107">
        <v>20000</v>
      </c>
      <c r="G26" s="107">
        <v>20000</v>
      </c>
      <c r="H26" s="107">
        <f t="shared" si="5"/>
        <v>14400</v>
      </c>
      <c r="I26" s="107"/>
      <c r="J26" s="107"/>
      <c r="K26" s="107"/>
      <c r="L26" s="107">
        <f t="shared" si="6"/>
        <v>10800</v>
      </c>
      <c r="M26" s="107"/>
      <c r="N26" s="107"/>
      <c r="O26" s="107"/>
      <c r="P26" s="50" t="s">
        <v>9</v>
      </c>
      <c r="Q26" s="49" t="s">
        <v>401</v>
      </c>
      <c r="R26" s="66" t="s">
        <v>505</v>
      </c>
    </row>
    <row r="27" spans="1:18" s="19" customFormat="1" ht="43.5" customHeight="1" x14ac:dyDescent="0.2">
      <c r="A27" s="49" t="s">
        <v>240</v>
      </c>
      <c r="B27" s="49" t="s">
        <v>113</v>
      </c>
      <c r="C27" s="50" t="s">
        <v>13</v>
      </c>
      <c r="D27" s="107">
        <v>13000</v>
      </c>
      <c r="E27" s="107"/>
      <c r="F27" s="107"/>
      <c r="G27" s="107"/>
      <c r="H27" s="107">
        <f>D27-(D27*20/100)</f>
        <v>10400</v>
      </c>
      <c r="I27" s="107"/>
      <c r="J27" s="107"/>
      <c r="K27" s="107"/>
      <c r="L27" s="107">
        <f>D27-(D27*40/100)</f>
        <v>7800</v>
      </c>
      <c r="M27" s="107"/>
      <c r="N27" s="107"/>
      <c r="O27" s="107"/>
      <c r="P27" s="50" t="s">
        <v>9</v>
      </c>
      <c r="Q27" s="49" t="s">
        <v>402</v>
      </c>
      <c r="R27" s="66" t="s">
        <v>505</v>
      </c>
    </row>
    <row r="28" spans="1:18" s="19" customFormat="1" ht="21.75" x14ac:dyDescent="0.2">
      <c r="A28" s="113" t="s">
        <v>245</v>
      </c>
      <c r="B28" s="113" t="s">
        <v>60</v>
      </c>
      <c r="C28" s="50" t="s">
        <v>14</v>
      </c>
      <c r="D28" s="50">
        <v>3000</v>
      </c>
      <c r="E28" s="50">
        <f>MROUND(D28-(D28*10/100),50)</f>
        <v>2700</v>
      </c>
      <c r="F28" s="50">
        <f>MROUND(D28-(D28*20/100),50)</f>
        <v>2400</v>
      </c>
      <c r="G28" s="50">
        <f>MROUND(D28-(D28*30/100),50)</f>
        <v>2100</v>
      </c>
      <c r="H28" s="50">
        <f>MROUND(D28-(D28*10/100),50)</f>
        <v>2700</v>
      </c>
      <c r="I28" s="50">
        <f>MROUND(H28-(H28*10/100),50)</f>
        <v>2450</v>
      </c>
      <c r="J28" s="50">
        <f>MROUND(H28-(H28*20/100),50)</f>
        <v>2150</v>
      </c>
      <c r="K28" s="50">
        <f>MROUND(H28-(H28*30/100),50)</f>
        <v>1900</v>
      </c>
      <c r="L28" s="50">
        <f>MROUND(D28-(D28*20/100),50)</f>
        <v>2400</v>
      </c>
      <c r="M28" s="50">
        <f>MROUND(L28-(L28*10/100),50)</f>
        <v>2150</v>
      </c>
      <c r="N28" s="50">
        <f>MROUND(L28-(L28*20/100),50)</f>
        <v>1900</v>
      </c>
      <c r="O28" s="50">
        <f>MROUND(L28-(L28*30/100),50)</f>
        <v>1700</v>
      </c>
      <c r="P28" s="108" t="s">
        <v>10</v>
      </c>
      <c r="Q28" s="108" t="s">
        <v>23</v>
      </c>
      <c r="R28" s="112" t="s">
        <v>502</v>
      </c>
    </row>
    <row r="29" spans="1:18" ht="45.75" customHeight="1" x14ac:dyDescent="0.2">
      <c r="A29" s="113"/>
      <c r="B29" s="113"/>
      <c r="C29" s="50" t="s">
        <v>16</v>
      </c>
      <c r="D29" s="50">
        <f t="shared" ref="D29" si="7">D28*50/100</f>
        <v>1500</v>
      </c>
      <c r="E29" s="51">
        <f t="shared" ref="E29:O29" si="8">MROUND(E28*50/100,50)</f>
        <v>1350</v>
      </c>
      <c r="F29" s="51">
        <f t="shared" si="8"/>
        <v>1200</v>
      </c>
      <c r="G29" s="51">
        <f t="shared" si="8"/>
        <v>1050</v>
      </c>
      <c r="H29" s="51">
        <f t="shared" si="8"/>
        <v>1350</v>
      </c>
      <c r="I29" s="51">
        <f t="shared" si="8"/>
        <v>1250</v>
      </c>
      <c r="J29" s="51">
        <f t="shared" si="8"/>
        <v>1100</v>
      </c>
      <c r="K29" s="51">
        <f t="shared" si="8"/>
        <v>950</v>
      </c>
      <c r="L29" s="51">
        <f t="shared" si="8"/>
        <v>1200</v>
      </c>
      <c r="M29" s="51">
        <f t="shared" si="8"/>
        <v>1100</v>
      </c>
      <c r="N29" s="51">
        <f t="shared" si="8"/>
        <v>950</v>
      </c>
      <c r="O29" s="51">
        <f t="shared" si="8"/>
        <v>850</v>
      </c>
      <c r="P29" s="108"/>
      <c r="Q29" s="108"/>
      <c r="R29" s="112"/>
    </row>
    <row r="30" spans="1:18" ht="83.25" customHeight="1" x14ac:dyDescent="0.2">
      <c r="A30" s="58" t="s">
        <v>459</v>
      </c>
      <c r="B30" s="49" t="s">
        <v>114</v>
      </c>
      <c r="C30" s="37" t="s">
        <v>13</v>
      </c>
      <c r="D30" s="107">
        <v>19200</v>
      </c>
      <c r="E30" s="107"/>
      <c r="F30" s="107"/>
      <c r="G30" s="107"/>
      <c r="H30" s="107">
        <f>D30-(D30*20/100)</f>
        <v>15360</v>
      </c>
      <c r="I30" s="107"/>
      <c r="J30" s="107"/>
      <c r="K30" s="107"/>
      <c r="L30" s="107">
        <f>D30-(D30*40/100)</f>
        <v>11520</v>
      </c>
      <c r="M30" s="107"/>
      <c r="N30" s="107"/>
      <c r="O30" s="107"/>
      <c r="P30" s="50" t="s">
        <v>9</v>
      </c>
      <c r="Q30" s="51" t="s">
        <v>23</v>
      </c>
      <c r="R30" s="66" t="s">
        <v>505</v>
      </c>
    </row>
    <row r="31" spans="1:18" s="15" customFormat="1" ht="100.5" customHeight="1" x14ac:dyDescent="0.2">
      <c r="A31" s="58" t="s">
        <v>241</v>
      </c>
      <c r="B31" s="49" t="s">
        <v>115</v>
      </c>
      <c r="C31" s="37" t="s">
        <v>13</v>
      </c>
      <c r="D31" s="107">
        <v>12800</v>
      </c>
      <c r="E31" s="107"/>
      <c r="F31" s="107"/>
      <c r="G31" s="107"/>
      <c r="H31" s="107">
        <f>D31-(D31*20/100)</f>
        <v>10240</v>
      </c>
      <c r="I31" s="107"/>
      <c r="J31" s="107"/>
      <c r="K31" s="107"/>
      <c r="L31" s="107">
        <f>D31-(D31*40/100)</f>
        <v>7680</v>
      </c>
      <c r="M31" s="107"/>
      <c r="N31" s="107"/>
      <c r="O31" s="107"/>
      <c r="P31" s="50" t="s">
        <v>9</v>
      </c>
      <c r="Q31" s="51" t="s">
        <v>23</v>
      </c>
      <c r="R31" s="86" t="s">
        <v>509</v>
      </c>
    </row>
    <row r="32" spans="1:18" s="15" customFormat="1" ht="42.75" customHeight="1" x14ac:dyDescent="0.2">
      <c r="A32" s="58" t="s">
        <v>242</v>
      </c>
      <c r="B32" s="45" t="s">
        <v>432</v>
      </c>
      <c r="C32" s="34" t="s">
        <v>13</v>
      </c>
      <c r="D32" s="107">
        <v>12800</v>
      </c>
      <c r="E32" s="107"/>
      <c r="F32" s="107"/>
      <c r="G32" s="107"/>
      <c r="H32" s="107">
        <f>D32-(D32*20/100)</f>
        <v>10240</v>
      </c>
      <c r="I32" s="107"/>
      <c r="J32" s="107"/>
      <c r="K32" s="107"/>
      <c r="L32" s="107">
        <f>D32-(D32*40/100)</f>
        <v>7680</v>
      </c>
      <c r="M32" s="107"/>
      <c r="N32" s="107"/>
      <c r="O32" s="107"/>
      <c r="P32" s="51" t="s">
        <v>9</v>
      </c>
      <c r="Q32" s="49" t="s">
        <v>401</v>
      </c>
      <c r="R32" s="66" t="s">
        <v>505</v>
      </c>
    </row>
    <row r="33" spans="1:21" s="20" customFormat="1" ht="43.5" x14ac:dyDescent="0.2">
      <c r="A33" s="58" t="s">
        <v>246</v>
      </c>
      <c r="B33" s="45" t="s">
        <v>32</v>
      </c>
      <c r="C33" s="59" t="s">
        <v>24</v>
      </c>
      <c r="D33" s="107">
        <v>5000</v>
      </c>
      <c r="E33" s="107"/>
      <c r="F33" s="107"/>
      <c r="G33" s="107"/>
      <c r="H33" s="107">
        <f>D33-(D33*20/100)</f>
        <v>4000</v>
      </c>
      <c r="I33" s="107"/>
      <c r="J33" s="107"/>
      <c r="K33" s="107"/>
      <c r="L33" s="107">
        <f>D33-(D33*40/100)</f>
        <v>3000</v>
      </c>
      <c r="M33" s="107"/>
      <c r="N33" s="107"/>
      <c r="O33" s="107"/>
      <c r="P33" s="50" t="s">
        <v>9</v>
      </c>
      <c r="Q33" s="49" t="s">
        <v>23</v>
      </c>
      <c r="R33" s="97" t="s">
        <v>521</v>
      </c>
      <c r="S33" s="18"/>
    </row>
    <row r="34" spans="1:21" s="20" customFormat="1" ht="18.75" customHeight="1" x14ac:dyDescent="0.2">
      <c r="A34" s="128" t="s">
        <v>247</v>
      </c>
      <c r="B34" s="113" t="s">
        <v>72</v>
      </c>
      <c r="C34" s="51" t="s">
        <v>14</v>
      </c>
      <c r="D34" s="51">
        <v>2000</v>
      </c>
      <c r="E34" s="51">
        <f>MROUND(D34-(D34*10/100),50)</f>
        <v>1800</v>
      </c>
      <c r="F34" s="51">
        <f>MROUND(D34-(D34*20/100),50)</f>
        <v>1600</v>
      </c>
      <c r="G34" s="51">
        <f>MROUND(D34-(D34*30/100),50)</f>
        <v>1400</v>
      </c>
      <c r="H34" s="51">
        <f>MROUND(D34-(D34*10/100),50)</f>
        <v>1800</v>
      </c>
      <c r="I34" s="51">
        <f>MROUND(H34-(H34*10/100),50)</f>
        <v>1600</v>
      </c>
      <c r="J34" s="51">
        <f>MROUND(H34-(H34*20/100),50)</f>
        <v>1450</v>
      </c>
      <c r="K34" s="51">
        <f>MROUND(H34-(H34*30/100),50)</f>
        <v>1250</v>
      </c>
      <c r="L34" s="51">
        <f>MROUND(D34-(D34*20/100),50)</f>
        <v>1600</v>
      </c>
      <c r="M34" s="51">
        <f>MROUND(L34-(L34*10/100),50)</f>
        <v>1450</v>
      </c>
      <c r="N34" s="51">
        <f>MROUND(L34-(L34*20/100),50)</f>
        <v>1300</v>
      </c>
      <c r="O34" s="51">
        <f>MROUND(L34-(L34*30/100),50)</f>
        <v>1100</v>
      </c>
      <c r="P34" s="107" t="s">
        <v>10</v>
      </c>
      <c r="Q34" s="113" t="s">
        <v>412</v>
      </c>
      <c r="R34" s="113" t="s">
        <v>507</v>
      </c>
    </row>
    <row r="35" spans="1:21" s="28" customFormat="1" ht="35.25" customHeight="1" x14ac:dyDescent="0.2">
      <c r="A35" s="128"/>
      <c r="B35" s="113"/>
      <c r="C35" s="51" t="s">
        <v>16</v>
      </c>
      <c r="D35" s="51">
        <f t="shared" ref="D35" si="9">D34*50/100</f>
        <v>1000</v>
      </c>
      <c r="E35" s="51">
        <f t="shared" ref="E35:O35" si="10">MROUND(E34*50/100,50)</f>
        <v>900</v>
      </c>
      <c r="F35" s="51">
        <f t="shared" si="10"/>
        <v>800</v>
      </c>
      <c r="G35" s="51">
        <f t="shared" si="10"/>
        <v>700</v>
      </c>
      <c r="H35" s="51">
        <f t="shared" si="10"/>
        <v>900</v>
      </c>
      <c r="I35" s="51">
        <f t="shared" si="10"/>
        <v>800</v>
      </c>
      <c r="J35" s="51">
        <f t="shared" si="10"/>
        <v>750</v>
      </c>
      <c r="K35" s="51">
        <f t="shared" si="10"/>
        <v>650</v>
      </c>
      <c r="L35" s="51">
        <f t="shared" si="10"/>
        <v>800</v>
      </c>
      <c r="M35" s="51">
        <f t="shared" si="10"/>
        <v>750</v>
      </c>
      <c r="N35" s="51">
        <f t="shared" si="10"/>
        <v>650</v>
      </c>
      <c r="O35" s="51">
        <f t="shared" si="10"/>
        <v>550</v>
      </c>
      <c r="P35" s="107"/>
      <c r="Q35" s="113"/>
      <c r="R35" s="113"/>
      <c r="S35" s="9"/>
      <c r="T35" s="9"/>
      <c r="U35" s="9"/>
    </row>
    <row r="36" spans="1:21" s="28" customFormat="1" ht="14.25" customHeight="1" x14ac:dyDescent="0.2">
      <c r="A36" s="128" t="s">
        <v>243</v>
      </c>
      <c r="B36" s="113" t="s">
        <v>64</v>
      </c>
      <c r="C36" s="51" t="s">
        <v>14</v>
      </c>
      <c r="D36" s="51">
        <v>3000</v>
      </c>
      <c r="E36" s="51">
        <f>MROUND(D36-(D36*10/100),50)</f>
        <v>2700</v>
      </c>
      <c r="F36" s="51">
        <f>MROUND(D36-(D36*20/100),50)</f>
        <v>2400</v>
      </c>
      <c r="G36" s="51">
        <f>MROUND(D36-(D36*30/100),50)</f>
        <v>2100</v>
      </c>
      <c r="H36" s="51">
        <f>MROUND(D36-(D36*10/100),50)</f>
        <v>2700</v>
      </c>
      <c r="I36" s="51">
        <f>MROUND(H36-(H36*10/100),50)</f>
        <v>2450</v>
      </c>
      <c r="J36" s="51">
        <f>MROUND(H36-(H36*20/100),50)</f>
        <v>2150</v>
      </c>
      <c r="K36" s="51">
        <f>MROUND(H36-(H36*30/100),50)</f>
        <v>1900</v>
      </c>
      <c r="L36" s="51">
        <f>MROUND(D36-(D36*20/100),50)</f>
        <v>2400</v>
      </c>
      <c r="M36" s="51">
        <f>MROUND(L36-(L36*10/100),50)</f>
        <v>2150</v>
      </c>
      <c r="N36" s="51">
        <f>MROUND(L36-(L36*20/100),50)</f>
        <v>1900</v>
      </c>
      <c r="O36" s="51">
        <f>MROUND(L36-(L36*30/100),50)</f>
        <v>1700</v>
      </c>
      <c r="P36" s="107" t="s">
        <v>10</v>
      </c>
      <c r="Q36" s="107" t="s">
        <v>23</v>
      </c>
      <c r="R36" s="113" t="s">
        <v>507</v>
      </c>
      <c r="S36" s="9"/>
      <c r="T36" s="9"/>
      <c r="U36" s="9"/>
    </row>
    <row r="37" spans="1:21" s="28" customFormat="1" ht="57.75" customHeight="1" x14ac:dyDescent="0.2">
      <c r="A37" s="128"/>
      <c r="B37" s="113"/>
      <c r="C37" s="51" t="s">
        <v>15</v>
      </c>
      <c r="D37" s="51">
        <f>D36*50/100</f>
        <v>1500</v>
      </c>
      <c r="E37" s="51">
        <f t="shared" ref="E37:O37" si="11">MROUND(E36*50/100,50)</f>
        <v>1350</v>
      </c>
      <c r="F37" s="51">
        <f t="shared" si="11"/>
        <v>1200</v>
      </c>
      <c r="G37" s="51">
        <f t="shared" si="11"/>
        <v>1050</v>
      </c>
      <c r="H37" s="51">
        <f t="shared" si="11"/>
        <v>1350</v>
      </c>
      <c r="I37" s="51">
        <f t="shared" si="11"/>
        <v>1250</v>
      </c>
      <c r="J37" s="51">
        <f t="shared" si="11"/>
        <v>1100</v>
      </c>
      <c r="K37" s="51">
        <f t="shared" si="11"/>
        <v>950</v>
      </c>
      <c r="L37" s="51">
        <f t="shared" si="11"/>
        <v>1200</v>
      </c>
      <c r="M37" s="51">
        <f t="shared" si="11"/>
        <v>1100</v>
      </c>
      <c r="N37" s="51">
        <f t="shared" si="11"/>
        <v>950</v>
      </c>
      <c r="O37" s="51">
        <f t="shared" si="11"/>
        <v>850</v>
      </c>
      <c r="P37" s="107"/>
      <c r="Q37" s="107" t="s">
        <v>23</v>
      </c>
      <c r="R37" s="113"/>
      <c r="S37" s="9"/>
      <c r="T37" s="9"/>
      <c r="U37" s="9"/>
    </row>
    <row r="38" spans="1:21" s="28" customFormat="1" ht="49.5" customHeight="1" x14ac:dyDescent="0.2">
      <c r="A38" s="58" t="s">
        <v>244</v>
      </c>
      <c r="B38" s="49" t="s">
        <v>65</v>
      </c>
      <c r="C38" s="34" t="s">
        <v>13</v>
      </c>
      <c r="D38" s="107">
        <v>5000</v>
      </c>
      <c r="E38" s="107"/>
      <c r="F38" s="107"/>
      <c r="G38" s="107"/>
      <c r="H38" s="107">
        <f>D38-(D38*20/100)</f>
        <v>4000</v>
      </c>
      <c r="I38" s="107"/>
      <c r="J38" s="107"/>
      <c r="K38" s="107"/>
      <c r="L38" s="107">
        <f>D38-(D38*40/100)</f>
        <v>3000</v>
      </c>
      <c r="M38" s="107"/>
      <c r="N38" s="107"/>
      <c r="O38" s="107"/>
      <c r="P38" s="51" t="s">
        <v>9</v>
      </c>
      <c r="Q38" s="51" t="s">
        <v>23</v>
      </c>
      <c r="R38" s="63" t="s">
        <v>507</v>
      </c>
      <c r="S38" s="9"/>
      <c r="T38" s="9"/>
      <c r="U38" s="9"/>
    </row>
    <row r="39" spans="1:21" s="28" customFormat="1" ht="43.5" x14ac:dyDescent="0.2">
      <c r="A39" s="58" t="s">
        <v>248</v>
      </c>
      <c r="B39" s="49" t="s">
        <v>436</v>
      </c>
      <c r="C39" s="34" t="s">
        <v>13</v>
      </c>
      <c r="D39" s="107">
        <v>16000</v>
      </c>
      <c r="E39" s="107"/>
      <c r="F39" s="107"/>
      <c r="G39" s="107"/>
      <c r="H39" s="107">
        <f>D39-(D39*20/100)</f>
        <v>12800</v>
      </c>
      <c r="I39" s="107"/>
      <c r="J39" s="107"/>
      <c r="K39" s="107"/>
      <c r="L39" s="107">
        <f>D39-(D39*40/100)</f>
        <v>9600</v>
      </c>
      <c r="M39" s="107"/>
      <c r="N39" s="107"/>
      <c r="O39" s="107"/>
      <c r="P39" s="51" t="s">
        <v>9</v>
      </c>
      <c r="Q39" s="51" t="s">
        <v>23</v>
      </c>
      <c r="R39" s="68" t="s">
        <v>508</v>
      </c>
      <c r="S39" s="9"/>
      <c r="T39" s="9"/>
      <c r="U39" s="9"/>
    </row>
    <row r="40" spans="1:21" s="28" customFormat="1" ht="39" customHeight="1" x14ac:dyDescent="0.2">
      <c r="A40" s="58" t="s">
        <v>249</v>
      </c>
      <c r="B40" s="66" t="s">
        <v>422</v>
      </c>
      <c r="C40" s="34" t="s">
        <v>13</v>
      </c>
      <c r="D40" s="107">
        <v>19200</v>
      </c>
      <c r="E40" s="107"/>
      <c r="F40" s="107"/>
      <c r="G40" s="107"/>
      <c r="H40" s="107">
        <f>D40-(D40*20/100)</f>
        <v>15360</v>
      </c>
      <c r="I40" s="107"/>
      <c r="J40" s="107"/>
      <c r="K40" s="107"/>
      <c r="L40" s="107">
        <f>D40-(D40*40/100)</f>
        <v>11520</v>
      </c>
      <c r="M40" s="107"/>
      <c r="N40" s="107"/>
      <c r="O40" s="107"/>
      <c r="P40" s="51" t="s">
        <v>9</v>
      </c>
      <c r="Q40" s="51" t="s">
        <v>23</v>
      </c>
      <c r="R40" s="68" t="s">
        <v>508</v>
      </c>
      <c r="S40" s="9"/>
      <c r="T40" s="9"/>
      <c r="U40" s="9"/>
    </row>
    <row r="41" spans="1:21" s="19" customFormat="1" ht="47.25" customHeight="1" x14ac:dyDescent="0.2">
      <c r="A41" s="58" t="s">
        <v>250</v>
      </c>
      <c r="B41" s="49" t="s">
        <v>457</v>
      </c>
      <c r="C41" s="34" t="s">
        <v>13</v>
      </c>
      <c r="D41" s="107">
        <v>32000</v>
      </c>
      <c r="E41" s="107"/>
      <c r="F41" s="107"/>
      <c r="G41" s="107"/>
      <c r="H41" s="107">
        <f>D41-(D41*20/100)</f>
        <v>25600</v>
      </c>
      <c r="I41" s="107"/>
      <c r="J41" s="107"/>
      <c r="K41" s="107"/>
      <c r="L41" s="107">
        <f>D41-(D41*40/100)</f>
        <v>19200</v>
      </c>
      <c r="M41" s="107"/>
      <c r="N41" s="107"/>
      <c r="O41" s="107"/>
      <c r="P41" s="51" t="s">
        <v>9</v>
      </c>
      <c r="Q41" s="51" t="s">
        <v>23</v>
      </c>
      <c r="R41" s="68" t="s">
        <v>508</v>
      </c>
    </row>
    <row r="42" spans="1:21" s="6" customFormat="1" ht="39.950000000000003" customHeight="1" x14ac:dyDescent="0.2">
      <c r="A42" s="58" t="s">
        <v>251</v>
      </c>
      <c r="B42" s="49" t="s">
        <v>101</v>
      </c>
      <c r="C42" s="50" t="s">
        <v>13</v>
      </c>
      <c r="D42" s="107">
        <v>13000</v>
      </c>
      <c r="E42" s="107"/>
      <c r="F42" s="107"/>
      <c r="G42" s="107"/>
      <c r="H42" s="107">
        <f>D42-(D42*20/100)</f>
        <v>10400</v>
      </c>
      <c r="I42" s="107"/>
      <c r="J42" s="107"/>
      <c r="K42" s="107"/>
      <c r="L42" s="107">
        <f>D42-(D42*40/100)</f>
        <v>7800</v>
      </c>
      <c r="M42" s="107"/>
      <c r="N42" s="107"/>
      <c r="O42" s="107"/>
      <c r="P42" s="50" t="s">
        <v>9</v>
      </c>
      <c r="Q42" s="59" t="s">
        <v>23</v>
      </c>
      <c r="R42" s="68" t="s">
        <v>508</v>
      </c>
    </row>
    <row r="43" spans="1:21" s="21" customFormat="1" ht="39.950000000000003" customHeight="1" x14ac:dyDescent="0.2">
      <c r="A43" s="58" t="s">
        <v>254</v>
      </c>
      <c r="B43" s="49" t="s">
        <v>116</v>
      </c>
      <c r="C43" s="51" t="s">
        <v>24</v>
      </c>
      <c r="D43" s="107">
        <v>4500</v>
      </c>
      <c r="E43" s="107"/>
      <c r="F43" s="107"/>
      <c r="G43" s="107"/>
      <c r="H43" s="107">
        <f t="shared" ref="H43:H44" si="12">D43-(D43*20/100)</f>
        <v>3600</v>
      </c>
      <c r="I43" s="107"/>
      <c r="J43" s="107"/>
      <c r="K43" s="107"/>
      <c r="L43" s="107">
        <f t="shared" ref="L43:L44" si="13">D43-(D43*40/100)</f>
        <v>2700</v>
      </c>
      <c r="M43" s="107"/>
      <c r="N43" s="107"/>
      <c r="O43" s="107"/>
      <c r="P43" s="50" t="s">
        <v>9</v>
      </c>
      <c r="Q43" s="54" t="s">
        <v>404</v>
      </c>
      <c r="R43" s="66" t="s">
        <v>516</v>
      </c>
    </row>
    <row r="44" spans="1:21" ht="48.75" customHeight="1" x14ac:dyDescent="0.2">
      <c r="A44" s="58" t="s">
        <v>252</v>
      </c>
      <c r="B44" s="49" t="s">
        <v>102</v>
      </c>
      <c r="C44" s="51" t="s">
        <v>24</v>
      </c>
      <c r="D44" s="107">
        <v>4500</v>
      </c>
      <c r="E44" s="107"/>
      <c r="F44" s="107"/>
      <c r="G44" s="107"/>
      <c r="H44" s="107">
        <f t="shared" si="12"/>
        <v>3600</v>
      </c>
      <c r="I44" s="107"/>
      <c r="J44" s="107"/>
      <c r="K44" s="107"/>
      <c r="L44" s="107">
        <f t="shared" si="13"/>
        <v>2700</v>
      </c>
      <c r="M44" s="107"/>
      <c r="N44" s="107"/>
      <c r="O44" s="107"/>
      <c r="P44" s="50" t="s">
        <v>9</v>
      </c>
      <c r="Q44" s="54" t="s">
        <v>404</v>
      </c>
      <c r="R44" s="66" t="s">
        <v>505</v>
      </c>
    </row>
    <row r="45" spans="1:21" ht="15.75" customHeight="1" x14ac:dyDescent="0.2">
      <c r="A45" s="128" t="s">
        <v>253</v>
      </c>
      <c r="B45" s="113" t="s">
        <v>423</v>
      </c>
      <c r="C45" s="50" t="s">
        <v>14</v>
      </c>
      <c r="D45" s="50">
        <v>500</v>
      </c>
      <c r="E45" s="50">
        <f t="shared" ref="E45" si="14">MROUND(D45-(D45*10/100),50)</f>
        <v>450</v>
      </c>
      <c r="F45" s="50">
        <f t="shared" ref="F45" si="15">MROUND(D45-(D45*20/100),50)</f>
        <v>400</v>
      </c>
      <c r="G45" s="50">
        <f t="shared" ref="G45" si="16">MROUND(D45-(D45*30/100),50)</f>
        <v>350</v>
      </c>
      <c r="H45" s="50">
        <f t="shared" ref="H45" si="17">MROUND(D45-(D45*10/100),50)</f>
        <v>450</v>
      </c>
      <c r="I45" s="50">
        <f t="shared" ref="I45" si="18">MROUND(H45-(H45*10/100),50)</f>
        <v>400</v>
      </c>
      <c r="J45" s="50">
        <f t="shared" ref="J45" si="19">MROUND(H45-(H45*20/100),50)</f>
        <v>350</v>
      </c>
      <c r="K45" s="50">
        <f t="shared" ref="K45" si="20">MROUND(H45-(H45*30/100),50)</f>
        <v>300</v>
      </c>
      <c r="L45" s="50">
        <f t="shared" ref="L45" si="21">MROUND(D45-(D45*20/100),50)</f>
        <v>400</v>
      </c>
      <c r="M45" s="50">
        <f t="shared" ref="M45" si="22">MROUND(L45-(L45*10/100),50)</f>
        <v>350</v>
      </c>
      <c r="N45" s="50">
        <f t="shared" ref="N45" si="23">MROUND(L45-(L45*20/100),50)</f>
        <v>300</v>
      </c>
      <c r="O45" s="50">
        <f t="shared" ref="O45" si="24">MROUND(L45-(L45*30/100),50)</f>
        <v>300</v>
      </c>
      <c r="P45" s="108" t="s">
        <v>10</v>
      </c>
      <c r="Q45" s="113" t="s">
        <v>413</v>
      </c>
      <c r="R45" s="113" t="s">
        <v>516</v>
      </c>
    </row>
    <row r="46" spans="1:21" s="16" customFormat="1" ht="42.75" customHeight="1" x14ac:dyDescent="0.2">
      <c r="A46" s="128"/>
      <c r="B46" s="113"/>
      <c r="C46" s="50" t="s">
        <v>15</v>
      </c>
      <c r="D46" s="50">
        <f t="shared" ref="D46" si="25">D45*50/100</f>
        <v>250</v>
      </c>
      <c r="E46" s="50">
        <f t="shared" ref="E46:O46" si="26">MROUND(E45*50/100,50)</f>
        <v>250</v>
      </c>
      <c r="F46" s="50">
        <f t="shared" si="26"/>
        <v>200</v>
      </c>
      <c r="G46" s="50">
        <f t="shared" si="26"/>
        <v>200</v>
      </c>
      <c r="H46" s="50">
        <f t="shared" si="26"/>
        <v>250</v>
      </c>
      <c r="I46" s="50">
        <f t="shared" si="26"/>
        <v>200</v>
      </c>
      <c r="J46" s="50">
        <f t="shared" si="26"/>
        <v>200</v>
      </c>
      <c r="K46" s="50">
        <f t="shared" si="26"/>
        <v>150</v>
      </c>
      <c r="L46" s="50">
        <f t="shared" si="26"/>
        <v>200</v>
      </c>
      <c r="M46" s="50">
        <f t="shared" si="26"/>
        <v>200</v>
      </c>
      <c r="N46" s="50">
        <f t="shared" si="26"/>
        <v>150</v>
      </c>
      <c r="O46" s="50">
        <f t="shared" si="26"/>
        <v>150</v>
      </c>
      <c r="P46" s="108"/>
      <c r="Q46" s="113"/>
      <c r="R46" s="113"/>
    </row>
    <row r="47" spans="1:21" s="19" customFormat="1" ht="60.75" customHeight="1" x14ac:dyDescent="0.2">
      <c r="A47" s="58" t="s">
        <v>258</v>
      </c>
      <c r="B47" s="49" t="s">
        <v>74</v>
      </c>
      <c r="C47" s="59" t="s">
        <v>24</v>
      </c>
      <c r="D47" s="107">
        <v>18000</v>
      </c>
      <c r="E47" s="107">
        <f t="shared" ref="E47" si="27">D47-(D47*10/100)</f>
        <v>16200</v>
      </c>
      <c r="F47" s="107">
        <f t="shared" ref="F47" si="28">D47-(D47*20/100)</f>
        <v>14400</v>
      </c>
      <c r="G47" s="107">
        <f t="shared" ref="G47" si="29">D47-(D47*30/100)</f>
        <v>12600</v>
      </c>
      <c r="H47" s="107">
        <f>D47-(D47*20/100)</f>
        <v>14400</v>
      </c>
      <c r="I47" s="107"/>
      <c r="J47" s="107"/>
      <c r="K47" s="107"/>
      <c r="L47" s="107">
        <f>D47-(D47*40/100)</f>
        <v>10800</v>
      </c>
      <c r="M47" s="107"/>
      <c r="N47" s="107"/>
      <c r="O47" s="107"/>
      <c r="P47" s="50" t="s">
        <v>9</v>
      </c>
      <c r="Q47" s="51" t="s">
        <v>23</v>
      </c>
      <c r="R47" s="63" t="s">
        <v>505</v>
      </c>
    </row>
    <row r="48" spans="1:21" ht="43.5" x14ac:dyDescent="0.2">
      <c r="A48" s="57" t="s">
        <v>259</v>
      </c>
      <c r="B48" s="30" t="s">
        <v>424</v>
      </c>
      <c r="C48" s="37" t="s">
        <v>13</v>
      </c>
      <c r="D48" s="107">
        <v>8000</v>
      </c>
      <c r="E48" s="107"/>
      <c r="F48" s="107"/>
      <c r="G48" s="107"/>
      <c r="H48" s="107">
        <f>D48-(D48*20/100)</f>
        <v>6400</v>
      </c>
      <c r="I48" s="107"/>
      <c r="J48" s="107"/>
      <c r="K48" s="107"/>
      <c r="L48" s="107">
        <f>D48-(D48*40/100)</f>
        <v>4800</v>
      </c>
      <c r="M48" s="107"/>
      <c r="N48" s="107"/>
      <c r="O48" s="107"/>
      <c r="P48" s="50" t="s">
        <v>9</v>
      </c>
      <c r="Q48" s="51" t="s">
        <v>23</v>
      </c>
      <c r="R48" s="63" t="s">
        <v>505</v>
      </c>
    </row>
    <row r="49" spans="1:19" ht="30" customHeight="1" x14ac:dyDescent="0.2">
      <c r="A49" s="128" t="s">
        <v>260</v>
      </c>
      <c r="B49" s="112" t="s">
        <v>26</v>
      </c>
      <c r="C49" s="50" t="s">
        <v>14</v>
      </c>
      <c r="D49" s="50">
        <v>3000</v>
      </c>
      <c r="E49" s="50">
        <f>MROUND(D49-(D49*10/100),50)</f>
        <v>2700</v>
      </c>
      <c r="F49" s="50">
        <f>MROUND(D49-(D49*20/100),50)</f>
        <v>2400</v>
      </c>
      <c r="G49" s="50">
        <f>MROUND(D49-(D49*30/100),50)</f>
        <v>2100</v>
      </c>
      <c r="H49" s="50">
        <f>MROUND(D49-(D49*10/100),50)</f>
        <v>2700</v>
      </c>
      <c r="I49" s="50">
        <f>MROUND(H49-(H49*10/100),50)</f>
        <v>2450</v>
      </c>
      <c r="J49" s="50">
        <f>MROUND(H49-(H49*20/100),50)</f>
        <v>2150</v>
      </c>
      <c r="K49" s="50">
        <f>MROUND(H49-(H49*30/100),50)</f>
        <v>1900</v>
      </c>
      <c r="L49" s="50">
        <f>MROUND(D49-(D49*20/100),50)</f>
        <v>2400</v>
      </c>
      <c r="M49" s="50">
        <f>MROUND(L49-(L49*10/100),50)</f>
        <v>2150</v>
      </c>
      <c r="N49" s="50">
        <f>MROUND(L49-(L49*20/100),50)</f>
        <v>1900</v>
      </c>
      <c r="O49" s="50">
        <f>MROUND(L49-(L49*30/100),50)</f>
        <v>1700</v>
      </c>
      <c r="P49" s="108" t="s">
        <v>10</v>
      </c>
      <c r="Q49" s="108" t="s">
        <v>23</v>
      </c>
      <c r="R49" s="112" t="s">
        <v>505</v>
      </c>
    </row>
    <row r="50" spans="1:19" s="20" customFormat="1" ht="28.5" customHeight="1" x14ac:dyDescent="0.2">
      <c r="A50" s="128"/>
      <c r="B50" s="112"/>
      <c r="C50" s="50" t="s">
        <v>16</v>
      </c>
      <c r="D50" s="50">
        <f t="shared" ref="D50" si="30">D49*50/100</f>
        <v>1500</v>
      </c>
      <c r="E50" s="51">
        <f t="shared" ref="E50:O50" si="31">MROUND(E49*50/100,50)</f>
        <v>1350</v>
      </c>
      <c r="F50" s="51">
        <f t="shared" si="31"/>
        <v>1200</v>
      </c>
      <c r="G50" s="51">
        <f t="shared" si="31"/>
        <v>1050</v>
      </c>
      <c r="H50" s="51">
        <f t="shared" si="31"/>
        <v>1350</v>
      </c>
      <c r="I50" s="51">
        <f t="shared" si="31"/>
        <v>1250</v>
      </c>
      <c r="J50" s="51">
        <f t="shared" si="31"/>
        <v>1100</v>
      </c>
      <c r="K50" s="51">
        <f t="shared" si="31"/>
        <v>950</v>
      </c>
      <c r="L50" s="51">
        <f t="shared" si="31"/>
        <v>1200</v>
      </c>
      <c r="M50" s="51">
        <f t="shared" si="31"/>
        <v>1100</v>
      </c>
      <c r="N50" s="51">
        <f t="shared" si="31"/>
        <v>950</v>
      </c>
      <c r="O50" s="51">
        <f t="shared" si="31"/>
        <v>850</v>
      </c>
      <c r="P50" s="108"/>
      <c r="Q50" s="108"/>
      <c r="R50" s="112"/>
    </row>
    <row r="51" spans="1:19" s="20" customFormat="1" ht="32.25" customHeight="1" x14ac:dyDescent="0.2">
      <c r="A51" s="128" t="s">
        <v>261</v>
      </c>
      <c r="B51" s="123" t="s">
        <v>425</v>
      </c>
      <c r="C51" s="51" t="s">
        <v>14</v>
      </c>
      <c r="D51" s="51">
        <v>3000</v>
      </c>
      <c r="E51" s="51">
        <f>MROUND(D51-(D51*10/100),50)</f>
        <v>2700</v>
      </c>
      <c r="F51" s="51">
        <f>MROUND(D51-(D51*20/100),50)</f>
        <v>2400</v>
      </c>
      <c r="G51" s="51">
        <f>MROUND(D51-(D51*30/100),50)</f>
        <v>2100</v>
      </c>
      <c r="H51" s="51">
        <f>MROUND(D51-(D51*10/100),50)</f>
        <v>2700</v>
      </c>
      <c r="I51" s="51">
        <f>MROUND(H51-(H51*10/100),50)</f>
        <v>2450</v>
      </c>
      <c r="J51" s="51">
        <f>MROUND(H51-(H51*20/100),50)</f>
        <v>2150</v>
      </c>
      <c r="K51" s="51">
        <f>MROUND(H51-(H51*30/100),50)</f>
        <v>1900</v>
      </c>
      <c r="L51" s="51">
        <f>MROUND(D51-(D51*20/100),50)</f>
        <v>2400</v>
      </c>
      <c r="M51" s="51">
        <f>MROUND(L51-(L51*10/100),50)</f>
        <v>2150</v>
      </c>
      <c r="N51" s="51">
        <f>MROUND(L51-(L51*20/100),50)</f>
        <v>1900</v>
      </c>
      <c r="O51" s="51">
        <f>MROUND(L51-(L51*30/100),50)</f>
        <v>1700</v>
      </c>
      <c r="P51" s="107" t="s">
        <v>10</v>
      </c>
      <c r="Q51" s="107" t="s">
        <v>23</v>
      </c>
      <c r="R51" s="113" t="s">
        <v>505</v>
      </c>
    </row>
    <row r="52" spans="1:19" s="4" customFormat="1" ht="36" customHeight="1" x14ac:dyDescent="0.2">
      <c r="A52" s="128"/>
      <c r="B52" s="123"/>
      <c r="C52" s="51" t="s">
        <v>16</v>
      </c>
      <c r="D52" s="51">
        <f t="shared" ref="D52" si="32">D51*50/100</f>
        <v>1500</v>
      </c>
      <c r="E52" s="51">
        <f t="shared" ref="E52:O52" si="33">MROUND(E51*50/100,50)</f>
        <v>1350</v>
      </c>
      <c r="F52" s="51">
        <f t="shared" si="33"/>
        <v>1200</v>
      </c>
      <c r="G52" s="51">
        <f t="shared" si="33"/>
        <v>1050</v>
      </c>
      <c r="H52" s="51">
        <f t="shared" si="33"/>
        <v>1350</v>
      </c>
      <c r="I52" s="51">
        <f t="shared" si="33"/>
        <v>1250</v>
      </c>
      <c r="J52" s="51">
        <f t="shared" si="33"/>
        <v>1100</v>
      </c>
      <c r="K52" s="51">
        <f t="shared" si="33"/>
        <v>950</v>
      </c>
      <c r="L52" s="51">
        <f t="shared" si="33"/>
        <v>1200</v>
      </c>
      <c r="M52" s="51">
        <f t="shared" si="33"/>
        <v>1100</v>
      </c>
      <c r="N52" s="51">
        <f t="shared" si="33"/>
        <v>950</v>
      </c>
      <c r="O52" s="51">
        <f t="shared" si="33"/>
        <v>850</v>
      </c>
      <c r="P52" s="107"/>
      <c r="Q52" s="107"/>
      <c r="R52" s="113"/>
    </row>
    <row r="53" spans="1:19" s="19" customFormat="1" ht="18.75" customHeight="1" x14ac:dyDescent="0.2">
      <c r="A53" s="58" t="s">
        <v>262</v>
      </c>
      <c r="B53" s="49" t="s">
        <v>473</v>
      </c>
      <c r="C53" s="37" t="s">
        <v>13</v>
      </c>
      <c r="D53" s="107">
        <v>3000</v>
      </c>
      <c r="E53" s="107"/>
      <c r="F53" s="107"/>
      <c r="G53" s="107"/>
      <c r="H53" s="107">
        <f>D53-(D53*20/100)</f>
        <v>2400</v>
      </c>
      <c r="I53" s="107"/>
      <c r="J53" s="107"/>
      <c r="K53" s="107"/>
      <c r="L53" s="107">
        <f>D53-(D53*40/100)</f>
        <v>1800</v>
      </c>
      <c r="M53" s="107"/>
      <c r="N53" s="107"/>
      <c r="O53" s="107"/>
      <c r="P53" s="50" t="s">
        <v>9</v>
      </c>
      <c r="Q53" s="49" t="s">
        <v>446</v>
      </c>
      <c r="R53" s="66" t="s">
        <v>509</v>
      </c>
    </row>
    <row r="54" spans="1:19" s="19" customFormat="1" ht="21.75" x14ac:dyDescent="0.2">
      <c r="A54" s="128" t="s">
        <v>263</v>
      </c>
      <c r="B54" s="113" t="s">
        <v>137</v>
      </c>
      <c r="C54" s="50" t="s">
        <v>14</v>
      </c>
      <c r="D54" s="50">
        <v>3000</v>
      </c>
      <c r="E54" s="50">
        <f>MROUND(D54-(D54*10/100),50)</f>
        <v>2700</v>
      </c>
      <c r="F54" s="50">
        <f>MROUND(D54-(D54*20/100),50)</f>
        <v>2400</v>
      </c>
      <c r="G54" s="50">
        <f>MROUND(D54-(D54*30/100),50)</f>
        <v>2100</v>
      </c>
      <c r="H54" s="50">
        <f>MROUND(D54-(D54*10/100),50)</f>
        <v>2700</v>
      </c>
      <c r="I54" s="50">
        <f>MROUND(H54-(H54*10/100),50)</f>
        <v>2450</v>
      </c>
      <c r="J54" s="50">
        <f>MROUND(H54-(H54*20/100),50)</f>
        <v>2150</v>
      </c>
      <c r="K54" s="50">
        <f>MROUND(H54-(H54*30/100),50)</f>
        <v>1900</v>
      </c>
      <c r="L54" s="50">
        <f>MROUND(D54-(D54*20/100),50)</f>
        <v>2400</v>
      </c>
      <c r="M54" s="50">
        <f>MROUND(L54-(L54*10/100),50)</f>
        <v>2150</v>
      </c>
      <c r="N54" s="50">
        <f>MROUND(L54-(L54*20/100),50)</f>
        <v>1900</v>
      </c>
      <c r="O54" s="50">
        <f>MROUND(L54-(L54*30/100),50)</f>
        <v>1700</v>
      </c>
      <c r="P54" s="108" t="s">
        <v>10</v>
      </c>
      <c r="Q54" s="113" t="s">
        <v>23</v>
      </c>
      <c r="R54" s="113" t="s">
        <v>509</v>
      </c>
    </row>
    <row r="55" spans="1:19" s="4" customFormat="1" ht="18" customHeight="1" x14ac:dyDescent="0.2">
      <c r="A55" s="128"/>
      <c r="B55" s="113"/>
      <c r="C55" s="50" t="s">
        <v>16</v>
      </c>
      <c r="D55" s="50">
        <f t="shared" ref="D55" si="34">D54*50/100</f>
        <v>1500</v>
      </c>
      <c r="E55" s="51">
        <f t="shared" ref="E55:O55" si="35">MROUND(E54*50/100,50)</f>
        <v>1350</v>
      </c>
      <c r="F55" s="51">
        <f t="shared" si="35"/>
        <v>1200</v>
      </c>
      <c r="G55" s="51">
        <f t="shared" si="35"/>
        <v>1050</v>
      </c>
      <c r="H55" s="51">
        <f t="shared" si="35"/>
        <v>1350</v>
      </c>
      <c r="I55" s="51">
        <f t="shared" si="35"/>
        <v>1250</v>
      </c>
      <c r="J55" s="51">
        <f t="shared" si="35"/>
        <v>1100</v>
      </c>
      <c r="K55" s="51">
        <f t="shared" si="35"/>
        <v>950</v>
      </c>
      <c r="L55" s="51">
        <f t="shared" si="35"/>
        <v>1200</v>
      </c>
      <c r="M55" s="51">
        <f t="shared" si="35"/>
        <v>1100</v>
      </c>
      <c r="N55" s="51">
        <f t="shared" si="35"/>
        <v>950</v>
      </c>
      <c r="O55" s="51">
        <f t="shared" si="35"/>
        <v>850</v>
      </c>
      <c r="P55" s="108"/>
      <c r="Q55" s="113" t="s">
        <v>23</v>
      </c>
      <c r="R55" s="113"/>
    </row>
    <row r="56" spans="1:19" s="4" customFormat="1" ht="18" customHeight="1" x14ac:dyDescent="0.2">
      <c r="A56" s="128" t="s">
        <v>264</v>
      </c>
      <c r="B56" s="113" t="s">
        <v>103</v>
      </c>
      <c r="C56" s="50" t="s">
        <v>14</v>
      </c>
      <c r="D56" s="51">
        <v>2000</v>
      </c>
      <c r="E56" s="50">
        <f>MROUND(D56-(D56*10/100),50)</f>
        <v>1800</v>
      </c>
      <c r="F56" s="50">
        <f>MROUND(D56-(D56*20/100),50)</f>
        <v>1600</v>
      </c>
      <c r="G56" s="50">
        <f>MROUND(D56-(D56*30/100),50)</f>
        <v>1400</v>
      </c>
      <c r="H56" s="50">
        <f>MROUND(D56-(D56*10/100),50)</f>
        <v>1800</v>
      </c>
      <c r="I56" s="50">
        <f>MROUND(H56-(H56*10/100),50)</f>
        <v>1600</v>
      </c>
      <c r="J56" s="50">
        <f>MROUND(H56-(H56*20/100),50)</f>
        <v>1450</v>
      </c>
      <c r="K56" s="50">
        <f>MROUND(H56-(H56*30/100),50)</f>
        <v>1250</v>
      </c>
      <c r="L56" s="50">
        <f>MROUND(D56-(D56*20/100),50)</f>
        <v>1600</v>
      </c>
      <c r="M56" s="50">
        <f>MROUND(L56-(L56*10/100),50)</f>
        <v>1450</v>
      </c>
      <c r="N56" s="50">
        <f>MROUND(L56-(L56*20/100),50)</f>
        <v>1300</v>
      </c>
      <c r="O56" s="50">
        <f>MROUND(L56-(L56*30/100),50)</f>
        <v>1100</v>
      </c>
      <c r="P56" s="108" t="s">
        <v>10</v>
      </c>
      <c r="Q56" s="117" t="s">
        <v>414</v>
      </c>
      <c r="R56" s="113" t="s">
        <v>505</v>
      </c>
    </row>
    <row r="57" spans="1:19" s="20" customFormat="1" ht="21.75" x14ac:dyDescent="0.2">
      <c r="A57" s="128"/>
      <c r="B57" s="113"/>
      <c r="C57" s="50" t="s">
        <v>16</v>
      </c>
      <c r="D57" s="50">
        <f>D56*50/100</f>
        <v>1000</v>
      </c>
      <c r="E57" s="50">
        <f t="shared" ref="E57:O57" si="36">MROUND(E56*50/100,50)</f>
        <v>900</v>
      </c>
      <c r="F57" s="50">
        <f t="shared" si="36"/>
        <v>800</v>
      </c>
      <c r="G57" s="50">
        <f t="shared" si="36"/>
        <v>700</v>
      </c>
      <c r="H57" s="50">
        <f t="shared" si="36"/>
        <v>900</v>
      </c>
      <c r="I57" s="50">
        <f t="shared" si="36"/>
        <v>800</v>
      </c>
      <c r="J57" s="50">
        <f t="shared" si="36"/>
        <v>750</v>
      </c>
      <c r="K57" s="50">
        <f t="shared" si="36"/>
        <v>650</v>
      </c>
      <c r="L57" s="50">
        <f t="shared" si="36"/>
        <v>800</v>
      </c>
      <c r="M57" s="50">
        <f t="shared" si="36"/>
        <v>750</v>
      </c>
      <c r="N57" s="50">
        <f t="shared" si="36"/>
        <v>650</v>
      </c>
      <c r="O57" s="50">
        <f t="shared" si="36"/>
        <v>550</v>
      </c>
      <c r="P57" s="108"/>
      <c r="Q57" s="117"/>
      <c r="R57" s="113"/>
    </row>
    <row r="58" spans="1:19" s="20" customFormat="1" ht="21.75" x14ac:dyDescent="0.2">
      <c r="A58" s="128" t="s">
        <v>265</v>
      </c>
      <c r="B58" s="113" t="s">
        <v>117</v>
      </c>
      <c r="C58" s="51" t="s">
        <v>14</v>
      </c>
      <c r="D58" s="51">
        <v>5000</v>
      </c>
      <c r="E58" s="51">
        <f>MROUND(D58-(D58*10/100),50)</f>
        <v>4500</v>
      </c>
      <c r="F58" s="51">
        <f>MROUND(D58-(D58*20/100),50)</f>
        <v>4000</v>
      </c>
      <c r="G58" s="51">
        <f>MROUND(D58-(D58*30/100),50)</f>
        <v>3500</v>
      </c>
      <c r="H58" s="51">
        <f>MROUND(D58-(D58*10/100),50)</f>
        <v>4500</v>
      </c>
      <c r="I58" s="51">
        <f>MROUND(H58-(H58*10/100),50)</f>
        <v>4050</v>
      </c>
      <c r="J58" s="51">
        <f>MROUND(H58-(H58*20/100),50)</f>
        <v>3600</v>
      </c>
      <c r="K58" s="51">
        <f>MROUND(H58-(H58*30/100),50)</f>
        <v>3150</v>
      </c>
      <c r="L58" s="51">
        <f>MROUND(D58-(D58*20/100),50)</f>
        <v>4000</v>
      </c>
      <c r="M58" s="51">
        <f>MROUND(L58-(L58*10/100),50)</f>
        <v>3600</v>
      </c>
      <c r="N58" s="51">
        <f>MROUND(L58-(L58*20/100),50)</f>
        <v>3200</v>
      </c>
      <c r="O58" s="51">
        <f>MROUND(L58-(L58*30/100),50)</f>
        <v>2800</v>
      </c>
      <c r="P58" s="107" t="s">
        <v>10</v>
      </c>
      <c r="Q58" s="117" t="s">
        <v>395</v>
      </c>
      <c r="R58" s="113" t="s">
        <v>505</v>
      </c>
    </row>
    <row r="59" spans="1:19" s="6" customFormat="1" ht="21.75" x14ac:dyDescent="0.2">
      <c r="A59" s="128"/>
      <c r="B59" s="113"/>
      <c r="C59" s="51" t="s">
        <v>16</v>
      </c>
      <c r="D59" s="51">
        <f t="shared" ref="D59" si="37">D58*50/100</f>
        <v>2500</v>
      </c>
      <c r="E59" s="51">
        <f t="shared" ref="E59:O59" si="38">MROUND(E58*50/100,50)</f>
        <v>2250</v>
      </c>
      <c r="F59" s="51">
        <f t="shared" si="38"/>
        <v>2000</v>
      </c>
      <c r="G59" s="51">
        <f t="shared" si="38"/>
        <v>1750</v>
      </c>
      <c r="H59" s="51">
        <f t="shared" si="38"/>
        <v>2250</v>
      </c>
      <c r="I59" s="51">
        <f t="shared" si="38"/>
        <v>2050</v>
      </c>
      <c r="J59" s="51">
        <f t="shared" si="38"/>
        <v>1800</v>
      </c>
      <c r="K59" s="51">
        <f t="shared" si="38"/>
        <v>1600</v>
      </c>
      <c r="L59" s="51">
        <f t="shared" si="38"/>
        <v>2000</v>
      </c>
      <c r="M59" s="51">
        <f t="shared" si="38"/>
        <v>1800</v>
      </c>
      <c r="N59" s="51">
        <f t="shared" si="38"/>
        <v>1600</v>
      </c>
      <c r="O59" s="51">
        <f t="shared" si="38"/>
        <v>1400</v>
      </c>
      <c r="P59" s="107"/>
      <c r="Q59" s="117"/>
      <c r="R59" s="113"/>
    </row>
    <row r="60" spans="1:19" s="19" customFormat="1" ht="40.5" customHeight="1" x14ac:dyDescent="0.2">
      <c r="A60" s="57" t="s">
        <v>266</v>
      </c>
      <c r="B60" s="51" t="s">
        <v>389</v>
      </c>
      <c r="C60" s="59" t="s">
        <v>24</v>
      </c>
      <c r="D60" s="107">
        <v>3000</v>
      </c>
      <c r="E60" s="107"/>
      <c r="F60" s="107"/>
      <c r="G60" s="107"/>
      <c r="H60" s="107">
        <f>D60-(D60*20/100)</f>
        <v>2400</v>
      </c>
      <c r="I60" s="107"/>
      <c r="J60" s="107"/>
      <c r="K60" s="107"/>
      <c r="L60" s="107">
        <f>D60-(D60*40/100)</f>
        <v>1800</v>
      </c>
      <c r="M60" s="107"/>
      <c r="N60" s="107"/>
      <c r="O60" s="107"/>
      <c r="P60" s="50" t="s">
        <v>9</v>
      </c>
      <c r="Q60" s="50" t="s">
        <v>23</v>
      </c>
      <c r="R60" s="67" t="s">
        <v>505</v>
      </c>
    </row>
    <row r="61" spans="1:19" s="19" customFormat="1" ht="28.5" customHeight="1" x14ac:dyDescent="0.2">
      <c r="A61" s="128" t="s">
        <v>267</v>
      </c>
      <c r="B61" s="112" t="s">
        <v>105</v>
      </c>
      <c r="C61" s="50" t="s">
        <v>14</v>
      </c>
      <c r="D61" s="50">
        <v>2000</v>
      </c>
      <c r="E61" s="50">
        <f>MROUND(D61-(D61*10/100),50)</f>
        <v>1800</v>
      </c>
      <c r="F61" s="50">
        <f>MROUND(D61-(D61*20/100),50)</f>
        <v>1600</v>
      </c>
      <c r="G61" s="50">
        <f>MROUND(D61-(D61*30/100),50)</f>
        <v>1400</v>
      </c>
      <c r="H61" s="50">
        <f>MROUND(D61-(D61*10/100),50)</f>
        <v>1800</v>
      </c>
      <c r="I61" s="50">
        <f>MROUND(H61-(H61*10/100),50)</f>
        <v>1600</v>
      </c>
      <c r="J61" s="50">
        <f>MROUND(H61-(H61*20/100),50)</f>
        <v>1450</v>
      </c>
      <c r="K61" s="50">
        <f>MROUND(H61-(H61*30/100),50)</f>
        <v>1250</v>
      </c>
      <c r="L61" s="50">
        <f>MROUND(D61-(D61*20/100),50)</f>
        <v>1600</v>
      </c>
      <c r="M61" s="50">
        <f>MROUND(L61-(L61*10/100),50)</f>
        <v>1450</v>
      </c>
      <c r="N61" s="50">
        <f>MROUND(L61-(L61*20/100),50)</f>
        <v>1300</v>
      </c>
      <c r="O61" s="50">
        <f>MROUND(L61-(L61*30/100),50)</f>
        <v>1100</v>
      </c>
      <c r="P61" s="108" t="s">
        <v>10</v>
      </c>
      <c r="Q61" s="117" t="s">
        <v>411</v>
      </c>
      <c r="R61" s="113" t="s">
        <v>512</v>
      </c>
      <c r="S61" s="4"/>
    </row>
    <row r="62" spans="1:19" s="19" customFormat="1" ht="34.5" customHeight="1" x14ac:dyDescent="0.2">
      <c r="A62" s="128"/>
      <c r="B62" s="112"/>
      <c r="C62" s="50" t="s">
        <v>16</v>
      </c>
      <c r="D62" s="50">
        <f t="shared" ref="D62" si="39">D61*50/100</f>
        <v>1000</v>
      </c>
      <c r="E62" s="51">
        <f t="shared" ref="E62:O62" si="40">MROUND(E61*50/100,50)</f>
        <v>900</v>
      </c>
      <c r="F62" s="51">
        <f t="shared" si="40"/>
        <v>800</v>
      </c>
      <c r="G62" s="51">
        <f t="shared" si="40"/>
        <v>700</v>
      </c>
      <c r="H62" s="51">
        <f t="shared" si="40"/>
        <v>900</v>
      </c>
      <c r="I62" s="51">
        <f t="shared" si="40"/>
        <v>800</v>
      </c>
      <c r="J62" s="51">
        <f t="shared" si="40"/>
        <v>750</v>
      </c>
      <c r="K62" s="51">
        <f t="shared" si="40"/>
        <v>650</v>
      </c>
      <c r="L62" s="51">
        <f t="shared" si="40"/>
        <v>800</v>
      </c>
      <c r="M62" s="51">
        <f t="shared" si="40"/>
        <v>750</v>
      </c>
      <c r="N62" s="51">
        <f t="shared" si="40"/>
        <v>650</v>
      </c>
      <c r="O62" s="51">
        <f t="shared" si="40"/>
        <v>550</v>
      </c>
      <c r="P62" s="108"/>
      <c r="Q62" s="117"/>
      <c r="R62" s="113"/>
      <c r="S62" s="4"/>
    </row>
    <row r="63" spans="1:19" s="19" customFormat="1" ht="24.75" customHeight="1" x14ac:dyDescent="0.2">
      <c r="A63" s="128" t="s">
        <v>268</v>
      </c>
      <c r="B63" s="112" t="s">
        <v>106</v>
      </c>
      <c r="C63" s="50" t="s">
        <v>14</v>
      </c>
      <c r="D63" s="50">
        <v>1000</v>
      </c>
      <c r="E63" s="50">
        <f>MROUND(D63-(D63*10/100),50)</f>
        <v>900</v>
      </c>
      <c r="F63" s="50">
        <f>MROUND(D63-(D63*20/100),50)</f>
        <v>800</v>
      </c>
      <c r="G63" s="50">
        <f>MROUND(D63-(D63*30/100),50)</f>
        <v>700</v>
      </c>
      <c r="H63" s="50">
        <f>MROUND(D63-(D63*10/100),50)</f>
        <v>900</v>
      </c>
      <c r="I63" s="50">
        <f>MROUND(H63-(H63*10/100),50)</f>
        <v>800</v>
      </c>
      <c r="J63" s="50">
        <f>MROUND(H63-(H63*20/100),50)</f>
        <v>700</v>
      </c>
      <c r="K63" s="50">
        <f>MROUND(H63-(H63*30/100),50)</f>
        <v>650</v>
      </c>
      <c r="L63" s="50">
        <f>MROUND(D63-(D63*20/100),50)</f>
        <v>800</v>
      </c>
      <c r="M63" s="50">
        <f>MROUND(L63-(L63*10/100),50)</f>
        <v>700</v>
      </c>
      <c r="N63" s="50">
        <f>MROUND(L63-(L63*20/100),50)</f>
        <v>650</v>
      </c>
      <c r="O63" s="50">
        <f>MROUND(L63-(L63*30/100),50)</f>
        <v>550</v>
      </c>
      <c r="P63" s="108" t="s">
        <v>10</v>
      </c>
      <c r="Q63" s="117" t="s">
        <v>411</v>
      </c>
      <c r="R63" s="113" t="s">
        <v>509</v>
      </c>
      <c r="S63" s="4"/>
    </row>
    <row r="64" spans="1:19" s="20" customFormat="1" ht="18.75" customHeight="1" x14ac:dyDescent="0.2">
      <c r="A64" s="128"/>
      <c r="B64" s="112"/>
      <c r="C64" s="50" t="s">
        <v>16</v>
      </c>
      <c r="D64" s="50">
        <f>D63*80/100</f>
        <v>800</v>
      </c>
      <c r="E64" s="50">
        <f t="shared" ref="E64:O64" si="41">MROUND(E63*80/100,50)</f>
        <v>700</v>
      </c>
      <c r="F64" s="50">
        <f t="shared" si="41"/>
        <v>650</v>
      </c>
      <c r="G64" s="50">
        <f t="shared" si="41"/>
        <v>550</v>
      </c>
      <c r="H64" s="50">
        <f t="shared" si="41"/>
        <v>700</v>
      </c>
      <c r="I64" s="50">
        <f t="shared" si="41"/>
        <v>650</v>
      </c>
      <c r="J64" s="50">
        <f t="shared" si="41"/>
        <v>550</v>
      </c>
      <c r="K64" s="50">
        <f t="shared" si="41"/>
        <v>500</v>
      </c>
      <c r="L64" s="50">
        <f t="shared" si="41"/>
        <v>650</v>
      </c>
      <c r="M64" s="50">
        <f t="shared" si="41"/>
        <v>550</v>
      </c>
      <c r="N64" s="50">
        <f t="shared" si="41"/>
        <v>500</v>
      </c>
      <c r="O64" s="50">
        <f t="shared" si="41"/>
        <v>450</v>
      </c>
      <c r="P64" s="108"/>
      <c r="Q64" s="117"/>
      <c r="R64" s="113"/>
    </row>
    <row r="65" spans="1:23" s="20" customFormat="1" ht="21.75" x14ac:dyDescent="0.2">
      <c r="A65" s="128" t="s">
        <v>269</v>
      </c>
      <c r="B65" s="113" t="s">
        <v>107</v>
      </c>
      <c r="C65" s="51" t="s">
        <v>14</v>
      </c>
      <c r="D65" s="51">
        <v>2000</v>
      </c>
      <c r="E65" s="51">
        <f>MROUND(D65-(D65*10/100),50)</f>
        <v>1800</v>
      </c>
      <c r="F65" s="51">
        <f>MROUND(D65-(D65*20/100),50)</f>
        <v>1600</v>
      </c>
      <c r="G65" s="51">
        <f>MROUND(D65-(D65*30/100),50)</f>
        <v>1400</v>
      </c>
      <c r="H65" s="51">
        <f>MROUND(D65-(D65*10/100),50)</f>
        <v>1800</v>
      </c>
      <c r="I65" s="51">
        <f>MROUND(H65-(H65*10/100),50)</f>
        <v>1600</v>
      </c>
      <c r="J65" s="51">
        <f>MROUND(H65-(H65*20/100),50)</f>
        <v>1450</v>
      </c>
      <c r="K65" s="51">
        <f>MROUND(H65-(H65*30/100),50)</f>
        <v>1250</v>
      </c>
      <c r="L65" s="51">
        <f>MROUND(D65-(D65*20/100),50)</f>
        <v>1600</v>
      </c>
      <c r="M65" s="51">
        <f>MROUND(L65-(L65*10/100),50)</f>
        <v>1450</v>
      </c>
      <c r="N65" s="51">
        <f>MROUND(L65-(L65*20/100),50)</f>
        <v>1300</v>
      </c>
      <c r="O65" s="51">
        <f>MROUND(L65-(L65*30/100),50)</f>
        <v>1100</v>
      </c>
      <c r="P65" s="107" t="s">
        <v>10</v>
      </c>
      <c r="Q65" s="117" t="s">
        <v>411</v>
      </c>
      <c r="R65" s="112" t="s">
        <v>505</v>
      </c>
    </row>
    <row r="66" spans="1:23" s="20" customFormat="1" ht="30.75" customHeight="1" x14ac:dyDescent="0.2">
      <c r="A66" s="128"/>
      <c r="B66" s="113"/>
      <c r="C66" s="50" t="s">
        <v>16</v>
      </c>
      <c r="D66" s="50">
        <f t="shared" ref="D66" si="42">D65*50/100</f>
        <v>1000</v>
      </c>
      <c r="E66" s="50">
        <f t="shared" ref="E66:O66" si="43">MROUND(E65*50/100,50)</f>
        <v>900</v>
      </c>
      <c r="F66" s="50">
        <f t="shared" si="43"/>
        <v>800</v>
      </c>
      <c r="G66" s="50">
        <f t="shared" si="43"/>
        <v>700</v>
      </c>
      <c r="H66" s="50">
        <f t="shared" si="43"/>
        <v>900</v>
      </c>
      <c r="I66" s="50">
        <f t="shared" si="43"/>
        <v>800</v>
      </c>
      <c r="J66" s="50">
        <f t="shared" si="43"/>
        <v>750</v>
      </c>
      <c r="K66" s="50">
        <f t="shared" si="43"/>
        <v>650</v>
      </c>
      <c r="L66" s="50">
        <f t="shared" si="43"/>
        <v>800</v>
      </c>
      <c r="M66" s="50">
        <f t="shared" si="43"/>
        <v>750</v>
      </c>
      <c r="N66" s="50">
        <f t="shared" si="43"/>
        <v>650</v>
      </c>
      <c r="O66" s="50">
        <f t="shared" si="43"/>
        <v>550</v>
      </c>
      <c r="P66" s="107"/>
      <c r="Q66" s="117"/>
      <c r="R66" s="112"/>
    </row>
    <row r="67" spans="1:23" ht="23.25" customHeight="1" x14ac:dyDescent="0.2">
      <c r="A67" s="58" t="s">
        <v>270</v>
      </c>
      <c r="B67" s="49" t="s">
        <v>465</v>
      </c>
      <c r="C67" s="59" t="s">
        <v>24</v>
      </c>
      <c r="D67" s="51">
        <v>5000</v>
      </c>
      <c r="E67" s="51">
        <f>MROUND(D67-(D67*10/100),50)</f>
        <v>4500</v>
      </c>
      <c r="F67" s="51">
        <f>MROUND(D67-(D67*20/100),50)</f>
        <v>4000</v>
      </c>
      <c r="G67" s="51">
        <f>MROUND(D67-(D67*30/100),50)</f>
        <v>3500</v>
      </c>
      <c r="H67" s="51">
        <f>MROUND(D67-(D67*10/100),50)</f>
        <v>4500</v>
      </c>
      <c r="I67" s="51">
        <f>MROUND(H67-(H67*10/100),50)</f>
        <v>4050</v>
      </c>
      <c r="J67" s="51">
        <f>MROUND(H67-(H67*20/100),50)</f>
        <v>3600</v>
      </c>
      <c r="K67" s="51">
        <f>MROUND(H67-(H67*30/100),50)</f>
        <v>3150</v>
      </c>
      <c r="L67" s="51">
        <f>MROUND(D67-(D67*20/100),50)</f>
        <v>4000</v>
      </c>
      <c r="M67" s="51">
        <f>MROUND(L67-(L67*10/100),50)</f>
        <v>3600</v>
      </c>
      <c r="N67" s="51">
        <f>MROUND(L67-(L67*20/100),50)</f>
        <v>3200</v>
      </c>
      <c r="O67" s="51">
        <f>MROUND(L67-(L67*30/100),50)</f>
        <v>2800</v>
      </c>
      <c r="P67" s="51" t="s">
        <v>10</v>
      </c>
      <c r="Q67" s="54" t="s">
        <v>23</v>
      </c>
      <c r="R67" s="71" t="s">
        <v>502</v>
      </c>
    </row>
    <row r="68" spans="1:23" ht="23.25" x14ac:dyDescent="0.2">
      <c r="A68" s="106" t="s">
        <v>456</v>
      </c>
      <c r="B68" s="106"/>
      <c r="C68" s="106"/>
      <c r="D68" s="106"/>
      <c r="E68" s="106"/>
      <c r="F68" s="106"/>
      <c r="G68" s="106"/>
      <c r="H68" s="106"/>
      <c r="I68" s="106"/>
      <c r="J68" s="106"/>
      <c r="K68" s="106"/>
      <c r="L68" s="106"/>
      <c r="M68" s="106"/>
      <c r="N68" s="106"/>
      <c r="O68" s="106"/>
      <c r="P68" s="106"/>
      <c r="Q68" s="106"/>
      <c r="R68" s="106"/>
    </row>
    <row r="69" spans="1:23" ht="52.5" customHeight="1" x14ac:dyDescent="0.2">
      <c r="A69" s="50" t="s">
        <v>271</v>
      </c>
      <c r="B69" s="50" t="s">
        <v>66</v>
      </c>
      <c r="C69" s="59" t="s">
        <v>24</v>
      </c>
      <c r="D69" s="107">
        <v>4000</v>
      </c>
      <c r="E69" s="107"/>
      <c r="F69" s="107"/>
      <c r="G69" s="107"/>
      <c r="H69" s="107">
        <f t="shared" ref="H69:H71" si="44">D69-(D69*20/100)</f>
        <v>3200</v>
      </c>
      <c r="I69" s="107"/>
      <c r="J69" s="107"/>
      <c r="K69" s="107"/>
      <c r="L69" s="107">
        <f t="shared" ref="L69:L71" si="45">D69-(D69*40/100)</f>
        <v>2400</v>
      </c>
      <c r="M69" s="107"/>
      <c r="N69" s="107"/>
      <c r="O69" s="107"/>
      <c r="P69" s="50" t="s">
        <v>9</v>
      </c>
      <c r="Q69" s="50" t="s">
        <v>23</v>
      </c>
      <c r="R69" s="64" t="s">
        <v>510</v>
      </c>
    </row>
    <row r="70" spans="1:23" ht="60.75" customHeight="1" x14ac:dyDescent="0.2">
      <c r="A70" s="37" t="s">
        <v>272</v>
      </c>
      <c r="B70" s="42" t="s">
        <v>433</v>
      </c>
      <c r="C70" s="37" t="s">
        <v>13</v>
      </c>
      <c r="D70" s="107">
        <v>9000</v>
      </c>
      <c r="E70" s="107">
        <f>D70-(D70*10/100)</f>
        <v>8100</v>
      </c>
      <c r="F70" s="107">
        <f>D70-(D70*20/100)</f>
        <v>7200</v>
      </c>
      <c r="G70" s="107">
        <f>D70-(D70*30/100)</f>
        <v>6300</v>
      </c>
      <c r="H70" s="107">
        <f t="shared" si="44"/>
        <v>7200</v>
      </c>
      <c r="I70" s="107"/>
      <c r="J70" s="107"/>
      <c r="K70" s="107"/>
      <c r="L70" s="107">
        <f t="shared" si="45"/>
        <v>5400</v>
      </c>
      <c r="M70" s="107"/>
      <c r="N70" s="107"/>
      <c r="O70" s="107"/>
      <c r="P70" s="50" t="s">
        <v>9</v>
      </c>
      <c r="Q70" s="51" t="s">
        <v>23</v>
      </c>
      <c r="R70" s="64" t="s">
        <v>510</v>
      </c>
    </row>
    <row r="71" spans="1:23" ht="36.75" customHeight="1" x14ac:dyDescent="0.2">
      <c r="A71" s="50" t="s">
        <v>273</v>
      </c>
      <c r="B71" s="52" t="s">
        <v>428</v>
      </c>
      <c r="C71" s="37" t="s">
        <v>13</v>
      </c>
      <c r="D71" s="107">
        <v>5000</v>
      </c>
      <c r="E71" s="107"/>
      <c r="F71" s="107"/>
      <c r="G71" s="107"/>
      <c r="H71" s="107">
        <f t="shared" si="44"/>
        <v>4000</v>
      </c>
      <c r="I71" s="107"/>
      <c r="J71" s="107"/>
      <c r="K71" s="107"/>
      <c r="L71" s="107">
        <f t="shared" si="45"/>
        <v>3000</v>
      </c>
      <c r="M71" s="107"/>
      <c r="N71" s="107"/>
      <c r="O71" s="107"/>
      <c r="P71" s="50" t="s">
        <v>9</v>
      </c>
      <c r="Q71" s="51" t="s">
        <v>23</v>
      </c>
      <c r="R71" s="64" t="s">
        <v>510</v>
      </c>
    </row>
    <row r="72" spans="1:23" ht="43.5" x14ac:dyDescent="0.2">
      <c r="A72" s="51" t="s">
        <v>274</v>
      </c>
      <c r="B72" s="51" t="s">
        <v>61</v>
      </c>
      <c r="C72" s="37" t="s">
        <v>13</v>
      </c>
      <c r="D72" s="107">
        <v>5000</v>
      </c>
      <c r="E72" s="107"/>
      <c r="F72" s="107"/>
      <c r="G72" s="107"/>
      <c r="H72" s="107">
        <f>D72-(D72*20/100)</f>
        <v>4000</v>
      </c>
      <c r="I72" s="107"/>
      <c r="J72" s="107"/>
      <c r="K72" s="107"/>
      <c r="L72" s="107">
        <f>D72-(D72*40/100)</f>
        <v>3000</v>
      </c>
      <c r="M72" s="107"/>
      <c r="N72" s="107"/>
      <c r="O72" s="107"/>
      <c r="P72" s="50" t="s">
        <v>9</v>
      </c>
      <c r="Q72" s="50" t="s">
        <v>23</v>
      </c>
      <c r="R72" s="64" t="s">
        <v>510</v>
      </c>
    </row>
    <row r="73" spans="1:23" ht="43.5" customHeight="1" x14ac:dyDescent="0.2">
      <c r="A73" s="59" t="s">
        <v>275</v>
      </c>
      <c r="B73" s="59" t="s">
        <v>28</v>
      </c>
      <c r="C73" s="59" t="s">
        <v>24</v>
      </c>
      <c r="D73" s="107">
        <v>1000</v>
      </c>
      <c r="E73" s="107"/>
      <c r="F73" s="107"/>
      <c r="G73" s="107"/>
      <c r="H73" s="107">
        <f>D73-(D73*20/100)</f>
        <v>800</v>
      </c>
      <c r="I73" s="107"/>
      <c r="J73" s="107"/>
      <c r="K73" s="107"/>
      <c r="L73" s="107">
        <f>D73-(D73*40/100)</f>
        <v>600</v>
      </c>
      <c r="M73" s="107"/>
      <c r="N73" s="107"/>
      <c r="O73" s="107"/>
      <c r="P73" s="50" t="s">
        <v>9</v>
      </c>
      <c r="Q73" s="54" t="s">
        <v>415</v>
      </c>
      <c r="R73" s="96" t="s">
        <v>510</v>
      </c>
      <c r="S73" s="22"/>
    </row>
    <row r="74" spans="1:23" ht="22.5" customHeight="1" x14ac:dyDescent="0.2">
      <c r="A74" s="108" t="s">
        <v>276</v>
      </c>
      <c r="B74" s="108" t="s">
        <v>29</v>
      </c>
      <c r="C74" s="50" t="s">
        <v>14</v>
      </c>
      <c r="D74" s="50">
        <v>500</v>
      </c>
      <c r="E74" s="50">
        <f>MROUND(D74-(D74*10/100),50)</f>
        <v>450</v>
      </c>
      <c r="F74" s="50">
        <f>MROUND(D74-(D74*20/100),50)</f>
        <v>400</v>
      </c>
      <c r="G74" s="50">
        <f>MROUND(D74-(D74*30/100),50)</f>
        <v>350</v>
      </c>
      <c r="H74" s="50">
        <f>MROUND(D74-(D74*10/100),50)</f>
        <v>450</v>
      </c>
      <c r="I74" s="50">
        <f>MROUND(H74-(H74*10/100),50)</f>
        <v>400</v>
      </c>
      <c r="J74" s="50">
        <f>MROUND(H74-(H74*20/100),50)</f>
        <v>350</v>
      </c>
      <c r="K74" s="50">
        <f>MROUND(H74-(H74*30/100),50)</f>
        <v>300</v>
      </c>
      <c r="L74" s="50">
        <f>MROUND(D74-(D74*20/100),50)</f>
        <v>400</v>
      </c>
      <c r="M74" s="50">
        <f>MROUND(L74-(L74*10/100),50)</f>
        <v>350</v>
      </c>
      <c r="N74" s="50">
        <f>MROUND(L74-(L74*20/100),50)</f>
        <v>300</v>
      </c>
      <c r="O74" s="50">
        <f>MROUND(L74-(L74*30/100),50)</f>
        <v>300</v>
      </c>
      <c r="P74" s="108" t="s">
        <v>10</v>
      </c>
      <c r="Q74" s="112" t="s">
        <v>416</v>
      </c>
      <c r="R74" s="114" t="s">
        <v>510</v>
      </c>
      <c r="S74" s="22"/>
    </row>
    <row r="75" spans="1:23" s="16" customFormat="1" ht="18" customHeight="1" x14ac:dyDescent="0.2">
      <c r="A75" s="108"/>
      <c r="B75" s="108"/>
      <c r="C75" s="50" t="s">
        <v>16</v>
      </c>
      <c r="D75" s="51">
        <f t="shared" ref="D75" si="46">D74*50/100</f>
        <v>250</v>
      </c>
      <c r="E75" s="51">
        <f t="shared" ref="E75:M75" si="47">MROUND(E74*50/100,50)</f>
        <v>250</v>
      </c>
      <c r="F75" s="51">
        <f t="shared" si="47"/>
        <v>200</v>
      </c>
      <c r="G75" s="51">
        <f t="shared" si="47"/>
        <v>200</v>
      </c>
      <c r="H75" s="51">
        <f t="shared" si="47"/>
        <v>250</v>
      </c>
      <c r="I75" s="51">
        <f t="shared" si="47"/>
        <v>200</v>
      </c>
      <c r="J75" s="51">
        <f t="shared" si="47"/>
        <v>200</v>
      </c>
      <c r="K75" s="51">
        <f t="shared" si="47"/>
        <v>150</v>
      </c>
      <c r="L75" s="51">
        <f t="shared" si="47"/>
        <v>200</v>
      </c>
      <c r="M75" s="51">
        <f t="shared" si="47"/>
        <v>200</v>
      </c>
      <c r="N75" s="50">
        <f t="shared" ref="N75:O75" si="48">MROUND(N74*80/100,50)</f>
        <v>250</v>
      </c>
      <c r="O75" s="50">
        <f t="shared" si="48"/>
        <v>250</v>
      </c>
      <c r="P75" s="108"/>
      <c r="Q75" s="112"/>
      <c r="R75" s="115"/>
    </row>
    <row r="76" spans="1:23" s="16" customFormat="1" ht="18.75" customHeight="1" x14ac:dyDescent="0.2">
      <c r="A76" s="107" t="s">
        <v>277</v>
      </c>
      <c r="B76" s="113" t="s">
        <v>429</v>
      </c>
      <c r="C76" s="50" t="s">
        <v>14</v>
      </c>
      <c r="D76" s="50">
        <v>1000</v>
      </c>
      <c r="E76" s="50">
        <f>MROUND(D76-(D76*10/100),50)</f>
        <v>900</v>
      </c>
      <c r="F76" s="50">
        <f>MROUND(D76-(D76*20/100),50)</f>
        <v>800</v>
      </c>
      <c r="G76" s="50">
        <f>MROUND(D76-(D76*30/100),50)</f>
        <v>700</v>
      </c>
      <c r="H76" s="50">
        <f>MROUND(D76-(D76*10/100),50)</f>
        <v>900</v>
      </c>
      <c r="I76" s="50">
        <f>MROUND(H76-(H76*10/100),50)</f>
        <v>800</v>
      </c>
      <c r="J76" s="50">
        <f>MROUND(H76-(H76*20/100),50)</f>
        <v>700</v>
      </c>
      <c r="K76" s="50">
        <f>MROUND(H76-(H76*30/100),50)</f>
        <v>650</v>
      </c>
      <c r="L76" s="50">
        <f>MROUND(D76-(D76*20/100),50)</f>
        <v>800</v>
      </c>
      <c r="M76" s="50">
        <f>MROUND(L76-(L76*10/100),50)</f>
        <v>700</v>
      </c>
      <c r="N76" s="50">
        <f>MROUND(L76-(L76*20/100),50)</f>
        <v>650</v>
      </c>
      <c r="O76" s="50">
        <f>MROUND(L76-(L76*30/100),50)</f>
        <v>550</v>
      </c>
      <c r="P76" s="108" t="s">
        <v>10</v>
      </c>
      <c r="Q76" s="112" t="s">
        <v>23</v>
      </c>
      <c r="R76" s="113" t="s">
        <v>510</v>
      </c>
    </row>
    <row r="77" spans="1:23" s="16" customFormat="1" ht="18.75" customHeight="1" x14ac:dyDescent="0.2">
      <c r="A77" s="107"/>
      <c r="B77" s="113"/>
      <c r="C77" s="50" t="s">
        <v>16</v>
      </c>
      <c r="D77" s="50">
        <f t="shared" ref="D77" si="49">D76*50/100</f>
        <v>500</v>
      </c>
      <c r="E77" s="51">
        <f t="shared" ref="E77:O77" si="50">MROUND(E76*50/100,50)</f>
        <v>450</v>
      </c>
      <c r="F77" s="51">
        <f t="shared" si="50"/>
        <v>400</v>
      </c>
      <c r="G77" s="51">
        <f t="shared" si="50"/>
        <v>350</v>
      </c>
      <c r="H77" s="51">
        <f t="shared" si="50"/>
        <v>450</v>
      </c>
      <c r="I77" s="51">
        <f t="shared" si="50"/>
        <v>400</v>
      </c>
      <c r="J77" s="51">
        <f t="shared" si="50"/>
        <v>350</v>
      </c>
      <c r="K77" s="51">
        <f t="shared" si="50"/>
        <v>350</v>
      </c>
      <c r="L77" s="51">
        <f t="shared" si="50"/>
        <v>400</v>
      </c>
      <c r="M77" s="51">
        <f t="shared" si="50"/>
        <v>350</v>
      </c>
      <c r="N77" s="51">
        <f t="shared" si="50"/>
        <v>350</v>
      </c>
      <c r="O77" s="51">
        <f t="shared" si="50"/>
        <v>300</v>
      </c>
      <c r="P77" s="108"/>
      <c r="Q77" s="112"/>
      <c r="R77" s="113"/>
      <c r="S77" s="23"/>
      <c r="T77" s="23"/>
      <c r="U77" s="23"/>
      <c r="V77" s="23"/>
      <c r="W77" s="23"/>
    </row>
    <row r="78" spans="1:23" s="16" customFormat="1" ht="31.5" customHeight="1" x14ac:dyDescent="0.2">
      <c r="A78" s="51" t="s">
        <v>278</v>
      </c>
      <c r="B78" s="51" t="s">
        <v>27</v>
      </c>
      <c r="C78" s="59" t="s">
        <v>24</v>
      </c>
      <c r="D78" s="107">
        <v>3000</v>
      </c>
      <c r="E78" s="107"/>
      <c r="F78" s="107"/>
      <c r="G78" s="107"/>
      <c r="H78" s="107">
        <f>D78-(D78*20/100)</f>
        <v>2400</v>
      </c>
      <c r="I78" s="107"/>
      <c r="J78" s="107"/>
      <c r="K78" s="107"/>
      <c r="L78" s="107">
        <f>D78-(D78*40/100)</f>
        <v>1800</v>
      </c>
      <c r="M78" s="107"/>
      <c r="N78" s="107"/>
      <c r="O78" s="107"/>
      <c r="P78" s="50" t="s">
        <v>9</v>
      </c>
      <c r="Q78" s="52" t="s">
        <v>23</v>
      </c>
      <c r="R78" s="88" t="s">
        <v>510</v>
      </c>
    </row>
    <row r="79" spans="1:23" s="21" customFormat="1" ht="35.25" customHeight="1" x14ac:dyDescent="0.2">
      <c r="A79" s="108" t="s">
        <v>279</v>
      </c>
      <c r="B79" s="108" t="s">
        <v>118</v>
      </c>
      <c r="C79" s="50" t="s">
        <v>14</v>
      </c>
      <c r="D79" s="50">
        <v>2000</v>
      </c>
      <c r="E79" s="50">
        <f>MROUND(D79-(D79*10/100),50)</f>
        <v>1800</v>
      </c>
      <c r="F79" s="50">
        <f>MROUND(D79-(D79*20/100),50)</f>
        <v>1600</v>
      </c>
      <c r="G79" s="50">
        <f>MROUND(D79-(D79*30/100),50)</f>
        <v>1400</v>
      </c>
      <c r="H79" s="50">
        <f>MROUND(D79-(D79*10/100),50)</f>
        <v>1800</v>
      </c>
      <c r="I79" s="50">
        <f>MROUND(H79-(H79*10/100),50)</f>
        <v>1600</v>
      </c>
      <c r="J79" s="50">
        <f>MROUND(H79-(H79*20/100),50)</f>
        <v>1450</v>
      </c>
      <c r="K79" s="50">
        <f>MROUND(H79-(H79*30/100),50)</f>
        <v>1250</v>
      </c>
      <c r="L79" s="50">
        <f>MROUND(D79-(D79*20/100),50)</f>
        <v>1600</v>
      </c>
      <c r="M79" s="50">
        <f>MROUND(L79-(L79*10/100),50)</f>
        <v>1450</v>
      </c>
      <c r="N79" s="50">
        <f>MROUND(L79-(L79*20/100),50)</f>
        <v>1300</v>
      </c>
      <c r="O79" s="50">
        <f>MROUND(L79-(L79*30/100),50)</f>
        <v>1100</v>
      </c>
      <c r="P79" s="108" t="s">
        <v>10</v>
      </c>
      <c r="Q79" s="117" t="s">
        <v>414</v>
      </c>
      <c r="R79" s="113" t="s">
        <v>510</v>
      </c>
      <c r="S79" s="22"/>
    </row>
    <row r="80" spans="1:23" s="19" customFormat="1" ht="24.75" customHeight="1" x14ac:dyDescent="0.2">
      <c r="A80" s="108"/>
      <c r="B80" s="108"/>
      <c r="C80" s="51" t="s">
        <v>16</v>
      </c>
      <c r="D80" s="51">
        <f t="shared" ref="D80" si="51">D79*50/100</f>
        <v>1000</v>
      </c>
      <c r="E80" s="51">
        <f t="shared" ref="E80:O80" si="52">MROUND(E79*50/100,50)</f>
        <v>900</v>
      </c>
      <c r="F80" s="51">
        <f t="shared" si="52"/>
        <v>800</v>
      </c>
      <c r="G80" s="51">
        <f t="shared" si="52"/>
        <v>700</v>
      </c>
      <c r="H80" s="51">
        <f t="shared" si="52"/>
        <v>900</v>
      </c>
      <c r="I80" s="51">
        <f t="shared" si="52"/>
        <v>800</v>
      </c>
      <c r="J80" s="51">
        <f t="shared" si="52"/>
        <v>750</v>
      </c>
      <c r="K80" s="51">
        <f t="shared" si="52"/>
        <v>650</v>
      </c>
      <c r="L80" s="51">
        <f t="shared" si="52"/>
        <v>800</v>
      </c>
      <c r="M80" s="51">
        <f t="shared" si="52"/>
        <v>750</v>
      </c>
      <c r="N80" s="51">
        <f t="shared" si="52"/>
        <v>650</v>
      </c>
      <c r="O80" s="51">
        <f t="shared" si="52"/>
        <v>550</v>
      </c>
      <c r="P80" s="108"/>
      <c r="Q80" s="117"/>
      <c r="R80" s="113"/>
    </row>
    <row r="81" spans="1:18" s="19" customFormat="1" ht="19.5" customHeight="1" x14ac:dyDescent="0.2">
      <c r="A81" s="108" t="s">
        <v>280</v>
      </c>
      <c r="B81" s="108" t="s">
        <v>109</v>
      </c>
      <c r="C81" s="50" t="s">
        <v>14</v>
      </c>
      <c r="D81" s="50">
        <v>1000</v>
      </c>
      <c r="E81" s="50">
        <f>MROUND(D81-(D81*10/100),50)</f>
        <v>900</v>
      </c>
      <c r="F81" s="50">
        <f>MROUND(D81-(D81*20/100),50)</f>
        <v>800</v>
      </c>
      <c r="G81" s="50">
        <f>MROUND(D81-(D81*30/100),50)</f>
        <v>700</v>
      </c>
      <c r="H81" s="50">
        <f>MROUND(D81-(D81*10/100),50)</f>
        <v>900</v>
      </c>
      <c r="I81" s="50">
        <f>MROUND(H81-(H81*10/100),50)</f>
        <v>800</v>
      </c>
      <c r="J81" s="50">
        <f>MROUND(H81-(H81*20/100),50)</f>
        <v>700</v>
      </c>
      <c r="K81" s="50">
        <f>MROUND(H81-(H81*30/100),50)</f>
        <v>650</v>
      </c>
      <c r="L81" s="50">
        <f>MROUND(D81-(D81*20/100),50)</f>
        <v>800</v>
      </c>
      <c r="M81" s="50">
        <f>MROUND(L81-(L81*10/100),50)</f>
        <v>700</v>
      </c>
      <c r="N81" s="50">
        <f>MROUND(L81-(L81*20/100),50)</f>
        <v>650</v>
      </c>
      <c r="O81" s="50">
        <f>MROUND(L81-(L81*30/100),50)</f>
        <v>550</v>
      </c>
      <c r="P81" s="108" t="s">
        <v>10</v>
      </c>
      <c r="Q81" s="117" t="s">
        <v>414</v>
      </c>
      <c r="R81" s="112" t="s">
        <v>510</v>
      </c>
    </row>
    <row r="82" spans="1:18" ht="28.5" customHeight="1" x14ac:dyDescent="0.2">
      <c r="A82" s="108"/>
      <c r="B82" s="108"/>
      <c r="C82" s="50" t="s">
        <v>16</v>
      </c>
      <c r="D82" s="50">
        <f t="shared" ref="D82" si="53">D81*50/100</f>
        <v>500</v>
      </c>
      <c r="E82" s="50">
        <f t="shared" ref="E82:O82" si="54">MROUND(E81*50/100,50)</f>
        <v>450</v>
      </c>
      <c r="F82" s="50">
        <f t="shared" si="54"/>
        <v>400</v>
      </c>
      <c r="G82" s="50">
        <f t="shared" si="54"/>
        <v>350</v>
      </c>
      <c r="H82" s="50">
        <f t="shared" si="54"/>
        <v>450</v>
      </c>
      <c r="I82" s="50">
        <f t="shared" si="54"/>
        <v>400</v>
      </c>
      <c r="J82" s="50">
        <f t="shared" si="54"/>
        <v>350</v>
      </c>
      <c r="K82" s="50">
        <f t="shared" si="54"/>
        <v>350</v>
      </c>
      <c r="L82" s="50">
        <f t="shared" si="54"/>
        <v>400</v>
      </c>
      <c r="M82" s="50">
        <f t="shared" si="54"/>
        <v>350</v>
      </c>
      <c r="N82" s="50">
        <f t="shared" si="54"/>
        <v>350</v>
      </c>
      <c r="O82" s="50">
        <f t="shared" si="54"/>
        <v>300</v>
      </c>
      <c r="P82" s="108"/>
      <c r="Q82" s="117"/>
      <c r="R82" s="112"/>
    </row>
    <row r="83" spans="1:18" ht="25.5" customHeight="1" x14ac:dyDescent="0.2">
      <c r="A83" s="107" t="s">
        <v>281</v>
      </c>
      <c r="B83" s="107" t="s">
        <v>119</v>
      </c>
      <c r="C83" s="50" t="s">
        <v>14</v>
      </c>
      <c r="D83" s="50">
        <v>1000</v>
      </c>
      <c r="E83" s="50">
        <f>MROUND(D83-(D83*10/100),50)</f>
        <v>900</v>
      </c>
      <c r="F83" s="50">
        <f>MROUND(D83-(D83*20/100),50)</f>
        <v>800</v>
      </c>
      <c r="G83" s="50">
        <f>MROUND(D83-(D83*30/100),50)</f>
        <v>700</v>
      </c>
      <c r="H83" s="50">
        <f>MROUND(D83-(D83*10/100),50)</f>
        <v>900</v>
      </c>
      <c r="I83" s="50">
        <f>MROUND(H83-(H83*10/100),50)</f>
        <v>800</v>
      </c>
      <c r="J83" s="50">
        <f>MROUND(H83-(H83*20/100),50)</f>
        <v>700</v>
      </c>
      <c r="K83" s="50">
        <f>MROUND(H83-(H83*30/100),50)</f>
        <v>650</v>
      </c>
      <c r="L83" s="50">
        <f>MROUND(D83-(D83*20/100),50)</f>
        <v>800</v>
      </c>
      <c r="M83" s="50">
        <f>MROUND(L83-(L83*10/100),50)</f>
        <v>700</v>
      </c>
      <c r="N83" s="50">
        <f>MROUND(L83-(L83*20/100),50)</f>
        <v>650</v>
      </c>
      <c r="O83" s="50">
        <f>MROUND(L83-(L83*30/100),50)</f>
        <v>550</v>
      </c>
      <c r="P83" s="108" t="s">
        <v>10</v>
      </c>
      <c r="Q83" s="117" t="s">
        <v>414</v>
      </c>
      <c r="R83" s="112" t="s">
        <v>505</v>
      </c>
    </row>
    <row r="84" spans="1:18" ht="23.25" customHeight="1" x14ac:dyDescent="0.2">
      <c r="A84" s="107"/>
      <c r="B84" s="107"/>
      <c r="C84" s="50" t="s">
        <v>16</v>
      </c>
      <c r="D84" s="51">
        <f t="shared" ref="D84" si="55">D83*50/100</f>
        <v>500</v>
      </c>
      <c r="E84" s="51">
        <f t="shared" ref="E84:M84" si="56">MROUND(E83*50/100,50)</f>
        <v>450</v>
      </c>
      <c r="F84" s="51">
        <f t="shared" si="56"/>
        <v>400</v>
      </c>
      <c r="G84" s="51">
        <f t="shared" si="56"/>
        <v>350</v>
      </c>
      <c r="H84" s="51">
        <f t="shared" si="56"/>
        <v>450</v>
      </c>
      <c r="I84" s="51">
        <f t="shared" si="56"/>
        <v>400</v>
      </c>
      <c r="J84" s="51">
        <f t="shared" si="56"/>
        <v>350</v>
      </c>
      <c r="K84" s="51">
        <f t="shared" si="56"/>
        <v>350</v>
      </c>
      <c r="L84" s="51">
        <f t="shared" si="56"/>
        <v>400</v>
      </c>
      <c r="M84" s="51">
        <f t="shared" si="56"/>
        <v>350</v>
      </c>
      <c r="N84" s="50">
        <f>MROUND(N83*80/100,50)</f>
        <v>500</v>
      </c>
      <c r="O84" s="50">
        <f>MROUND(O83*80/100,50)</f>
        <v>450</v>
      </c>
      <c r="P84" s="108"/>
      <c r="Q84" s="117"/>
      <c r="R84" s="112"/>
    </row>
    <row r="85" spans="1:18" ht="23.25" customHeight="1" x14ac:dyDescent="0.2">
      <c r="A85" s="105" t="s">
        <v>40</v>
      </c>
      <c r="B85" s="105"/>
      <c r="C85" s="105"/>
      <c r="D85" s="105"/>
      <c r="E85" s="105"/>
      <c r="F85" s="105"/>
      <c r="G85" s="105"/>
      <c r="H85" s="105"/>
      <c r="I85" s="105"/>
      <c r="J85" s="105"/>
      <c r="K85" s="105"/>
      <c r="L85" s="105"/>
      <c r="M85" s="105"/>
      <c r="N85" s="105"/>
      <c r="O85" s="105"/>
      <c r="P85" s="105"/>
      <c r="Q85" s="105"/>
      <c r="R85" s="105"/>
    </row>
    <row r="86" spans="1:18" s="19" customFormat="1" ht="65.25" x14ac:dyDescent="0.2">
      <c r="A86" s="51" t="s">
        <v>282</v>
      </c>
      <c r="B86" s="49" t="s">
        <v>430</v>
      </c>
      <c r="C86" s="42" t="s">
        <v>13</v>
      </c>
      <c r="D86" s="113">
        <v>100000</v>
      </c>
      <c r="E86" s="113"/>
      <c r="F86" s="113"/>
      <c r="G86" s="113"/>
      <c r="H86" s="113">
        <f t="shared" ref="H86:H90" si="57">D86-(D86*20/100)</f>
        <v>80000</v>
      </c>
      <c r="I86" s="113"/>
      <c r="J86" s="113"/>
      <c r="K86" s="113"/>
      <c r="L86" s="113">
        <f t="shared" ref="L86:L90" si="58">D86-(D86*40/100)</f>
        <v>60000</v>
      </c>
      <c r="M86" s="113"/>
      <c r="N86" s="113"/>
      <c r="O86" s="113"/>
      <c r="P86" s="50" t="s">
        <v>9</v>
      </c>
      <c r="Q86" s="59" t="s">
        <v>23</v>
      </c>
      <c r="R86" s="95" t="s">
        <v>522</v>
      </c>
    </row>
    <row r="87" spans="1:18" ht="65.25" x14ac:dyDescent="0.2">
      <c r="A87" s="51" t="s">
        <v>283</v>
      </c>
      <c r="B87" s="49" t="s">
        <v>120</v>
      </c>
      <c r="C87" s="54" t="s">
        <v>24</v>
      </c>
      <c r="D87" s="113">
        <v>100000</v>
      </c>
      <c r="E87" s="113"/>
      <c r="F87" s="113"/>
      <c r="G87" s="113"/>
      <c r="H87" s="113">
        <f t="shared" si="57"/>
        <v>80000</v>
      </c>
      <c r="I87" s="113"/>
      <c r="J87" s="113"/>
      <c r="K87" s="113"/>
      <c r="L87" s="113">
        <f t="shared" si="58"/>
        <v>60000</v>
      </c>
      <c r="M87" s="113"/>
      <c r="N87" s="113"/>
      <c r="O87" s="113"/>
      <c r="P87" s="50" t="s">
        <v>9</v>
      </c>
      <c r="Q87" s="59" t="s">
        <v>23</v>
      </c>
      <c r="R87" s="95" t="s">
        <v>522</v>
      </c>
    </row>
    <row r="88" spans="1:18" ht="65.25" x14ac:dyDescent="0.2">
      <c r="A88" s="65" t="s">
        <v>494</v>
      </c>
      <c r="B88" s="66" t="s">
        <v>483</v>
      </c>
      <c r="C88" s="69"/>
      <c r="D88" s="113">
        <v>10000</v>
      </c>
      <c r="E88" s="113"/>
      <c r="F88" s="113"/>
      <c r="G88" s="113"/>
      <c r="H88" s="113">
        <v>8000</v>
      </c>
      <c r="I88" s="113"/>
      <c r="J88" s="113"/>
      <c r="K88" s="113"/>
      <c r="L88" s="113">
        <v>6000</v>
      </c>
      <c r="M88" s="113"/>
      <c r="N88" s="113"/>
      <c r="O88" s="113"/>
      <c r="P88" s="64" t="s">
        <v>9</v>
      </c>
      <c r="Q88" s="71" t="s">
        <v>23</v>
      </c>
      <c r="R88" s="95" t="s">
        <v>522</v>
      </c>
    </row>
    <row r="89" spans="1:18" ht="43.5" x14ac:dyDescent="0.2">
      <c r="A89" s="57" t="s">
        <v>495</v>
      </c>
      <c r="B89" s="51" t="s">
        <v>33</v>
      </c>
      <c r="C89" s="37" t="s">
        <v>13</v>
      </c>
      <c r="D89" s="107">
        <v>30000</v>
      </c>
      <c r="E89" s="107">
        <f>D89-(D89*10/100)</f>
        <v>27000</v>
      </c>
      <c r="F89" s="107">
        <f>D89-(D89*20/100)</f>
        <v>24000</v>
      </c>
      <c r="G89" s="107">
        <f>D89-(D89*30/100)</f>
        <v>21000</v>
      </c>
      <c r="H89" s="107">
        <f t="shared" si="57"/>
        <v>24000</v>
      </c>
      <c r="I89" s="107"/>
      <c r="J89" s="107"/>
      <c r="K89" s="107"/>
      <c r="L89" s="107">
        <f t="shared" si="58"/>
        <v>18000</v>
      </c>
      <c r="M89" s="107"/>
      <c r="N89" s="107"/>
      <c r="O89" s="107"/>
      <c r="P89" s="50" t="s">
        <v>9</v>
      </c>
      <c r="Q89" s="59" t="s">
        <v>23</v>
      </c>
      <c r="R89" s="98" t="s">
        <v>506</v>
      </c>
    </row>
    <row r="90" spans="1:18" ht="47.25" customHeight="1" x14ac:dyDescent="0.2">
      <c r="A90" s="57" t="s">
        <v>496</v>
      </c>
      <c r="B90" s="51" t="s">
        <v>431</v>
      </c>
      <c r="C90" s="37" t="s">
        <v>13</v>
      </c>
      <c r="D90" s="107">
        <v>20000</v>
      </c>
      <c r="E90" s="107">
        <f t="shared" ref="E90:E91" si="59">D90-(D90*10/100)</f>
        <v>18000</v>
      </c>
      <c r="F90" s="107">
        <f t="shared" ref="F90:F91" si="60">D90-(D90*20/100)</f>
        <v>16000</v>
      </c>
      <c r="G90" s="107">
        <f t="shared" ref="G90:G91" si="61">D90-(D90*30/100)</f>
        <v>14000</v>
      </c>
      <c r="H90" s="107">
        <f t="shared" si="57"/>
        <v>16000</v>
      </c>
      <c r="I90" s="107"/>
      <c r="J90" s="107"/>
      <c r="K90" s="107"/>
      <c r="L90" s="107">
        <f t="shared" si="58"/>
        <v>12000</v>
      </c>
      <c r="M90" s="107"/>
      <c r="N90" s="107"/>
      <c r="O90" s="107"/>
      <c r="P90" s="50" t="s">
        <v>9</v>
      </c>
      <c r="Q90" s="59" t="s">
        <v>23</v>
      </c>
      <c r="R90" s="98" t="s">
        <v>506</v>
      </c>
    </row>
    <row r="91" spans="1:18" ht="43.5" x14ac:dyDescent="0.2">
      <c r="A91" s="57" t="s">
        <v>143</v>
      </c>
      <c r="B91" s="51" t="s">
        <v>112</v>
      </c>
      <c r="C91" s="37" t="s">
        <v>13</v>
      </c>
      <c r="D91" s="107">
        <v>15000</v>
      </c>
      <c r="E91" s="107">
        <f t="shared" si="59"/>
        <v>13500</v>
      </c>
      <c r="F91" s="107">
        <f t="shared" si="60"/>
        <v>12000</v>
      </c>
      <c r="G91" s="107">
        <f t="shared" si="61"/>
        <v>10500</v>
      </c>
      <c r="H91" s="107">
        <f>D91-(D91*20/100)</f>
        <v>12000</v>
      </c>
      <c r="I91" s="107"/>
      <c r="J91" s="107"/>
      <c r="K91" s="107"/>
      <c r="L91" s="107">
        <f>D91-(D91*40/100)</f>
        <v>9000</v>
      </c>
      <c r="M91" s="107"/>
      <c r="N91" s="107"/>
      <c r="O91" s="107"/>
      <c r="P91" s="50" t="s">
        <v>9</v>
      </c>
      <c r="Q91" s="59" t="s">
        <v>23</v>
      </c>
      <c r="R91" s="95" t="s">
        <v>523</v>
      </c>
    </row>
    <row r="92" spans="1:18" ht="43.5" x14ac:dyDescent="0.2">
      <c r="A92" s="57" t="s">
        <v>497</v>
      </c>
      <c r="B92" s="42" t="s">
        <v>440</v>
      </c>
      <c r="C92" s="46" t="s">
        <v>13</v>
      </c>
      <c r="D92" s="123">
        <v>50000</v>
      </c>
      <c r="E92" s="123">
        <f>D92-(D92*10/100)</f>
        <v>45000</v>
      </c>
      <c r="F92" s="123">
        <f>D92-(D92*20/100)</f>
        <v>40000</v>
      </c>
      <c r="G92" s="123">
        <f>D92-(D92*30/100)</f>
        <v>35000</v>
      </c>
      <c r="H92" s="123">
        <f>D92-(D92*20/100)</f>
        <v>40000</v>
      </c>
      <c r="I92" s="123"/>
      <c r="J92" s="123"/>
      <c r="K92" s="123"/>
      <c r="L92" s="123">
        <f>D92-(D92*40/100)</f>
        <v>30000</v>
      </c>
      <c r="M92" s="123"/>
      <c r="N92" s="123"/>
      <c r="O92" s="123"/>
      <c r="P92" s="55" t="s">
        <v>9</v>
      </c>
      <c r="Q92" s="49" t="s">
        <v>23</v>
      </c>
      <c r="R92" s="95" t="s">
        <v>518</v>
      </c>
    </row>
    <row r="93" spans="1:18" s="4" customFormat="1" ht="43.5" x14ac:dyDescent="0.2">
      <c r="A93" s="57" t="s">
        <v>498</v>
      </c>
      <c r="B93" s="49" t="s">
        <v>475</v>
      </c>
      <c r="C93" s="49" t="s">
        <v>24</v>
      </c>
      <c r="D93" s="113">
        <v>5000</v>
      </c>
      <c r="E93" s="113"/>
      <c r="F93" s="113"/>
      <c r="G93" s="113"/>
      <c r="H93" s="113">
        <f>D93-(D93*20/100)</f>
        <v>4000</v>
      </c>
      <c r="I93" s="113"/>
      <c r="J93" s="113"/>
      <c r="K93" s="113"/>
      <c r="L93" s="113">
        <f>D93-(D93*40/100)</f>
        <v>3000</v>
      </c>
      <c r="M93" s="113"/>
      <c r="N93" s="113"/>
      <c r="O93" s="113"/>
      <c r="P93" s="49" t="s">
        <v>9</v>
      </c>
      <c r="Q93" s="49" t="s">
        <v>480</v>
      </c>
      <c r="R93" s="98" t="s">
        <v>506</v>
      </c>
    </row>
  </sheetData>
  <mergeCells count="249">
    <mergeCell ref="D88:G88"/>
    <mergeCell ref="H88:K88"/>
    <mergeCell ref="L88:O88"/>
    <mergeCell ref="P56:P57"/>
    <mergeCell ref="A61:A62"/>
    <mergeCell ref="A63:A64"/>
    <mergeCell ref="A79:A80"/>
    <mergeCell ref="P63:P64"/>
    <mergeCell ref="Q83:Q84"/>
    <mergeCell ref="A83:A84"/>
    <mergeCell ref="A81:A82"/>
    <mergeCell ref="B81:B82"/>
    <mergeCell ref="P81:P82"/>
    <mergeCell ref="Q81:Q82"/>
    <mergeCell ref="D78:G78"/>
    <mergeCell ref="H78:K78"/>
    <mergeCell ref="L78:O78"/>
    <mergeCell ref="A76:A77"/>
    <mergeCell ref="B76:B77"/>
    <mergeCell ref="P76:P77"/>
    <mergeCell ref="Q74:Q75"/>
    <mergeCell ref="B79:B80"/>
    <mergeCell ref="P79:P80"/>
    <mergeCell ref="Q79:Q80"/>
    <mergeCell ref="Q76:Q77"/>
    <mergeCell ref="L69:O69"/>
    <mergeCell ref="P74:P75"/>
    <mergeCell ref="B74:B75"/>
    <mergeCell ref="B45:B46"/>
    <mergeCell ref="D6:G6"/>
    <mergeCell ref="H6:K6"/>
    <mergeCell ref="L6:O6"/>
    <mergeCell ref="L90:O90"/>
    <mergeCell ref="H86:K86"/>
    <mergeCell ref="L86:O86"/>
    <mergeCell ref="D89:G89"/>
    <mergeCell ref="H89:K89"/>
    <mergeCell ref="L89:O89"/>
    <mergeCell ref="D86:G86"/>
    <mergeCell ref="D87:G87"/>
    <mergeCell ref="L31:O31"/>
    <mergeCell ref="D44:G44"/>
    <mergeCell ref="H44:K44"/>
    <mergeCell ref="L44:O44"/>
    <mergeCell ref="D70:G70"/>
    <mergeCell ref="D69:G69"/>
    <mergeCell ref="H69:K69"/>
    <mergeCell ref="B83:B84"/>
    <mergeCell ref="B63:B64"/>
    <mergeCell ref="D91:G91"/>
    <mergeCell ref="H91:K91"/>
    <mergeCell ref="L91:O91"/>
    <mergeCell ref="L42:O42"/>
    <mergeCell ref="L43:O43"/>
    <mergeCell ref="D90:G90"/>
    <mergeCell ref="H90:K90"/>
    <mergeCell ref="D48:G48"/>
    <mergeCell ref="H48:K48"/>
    <mergeCell ref="L48:O48"/>
    <mergeCell ref="D42:G42"/>
    <mergeCell ref="H87:K87"/>
    <mergeCell ref="L87:O87"/>
    <mergeCell ref="D53:G53"/>
    <mergeCell ref="H53:K53"/>
    <mergeCell ref="L53:O53"/>
    <mergeCell ref="D60:G60"/>
    <mergeCell ref="H60:K60"/>
    <mergeCell ref="L72:O72"/>
    <mergeCell ref="D73:G73"/>
    <mergeCell ref="L70:O70"/>
    <mergeCell ref="L73:O73"/>
    <mergeCell ref="L60:O60"/>
    <mergeCell ref="Q34:Q35"/>
    <mergeCell ref="Q36:Q37"/>
    <mergeCell ref="L30:O30"/>
    <mergeCell ref="D32:G32"/>
    <mergeCell ref="P15:P16"/>
    <mergeCell ref="A54:A55"/>
    <mergeCell ref="B54:B55"/>
    <mergeCell ref="A51:A52"/>
    <mergeCell ref="Q45:Q46"/>
    <mergeCell ref="A49:A50"/>
    <mergeCell ref="P45:P46"/>
    <mergeCell ref="Q49:Q50"/>
    <mergeCell ref="B49:B50"/>
    <mergeCell ref="A45:A46"/>
    <mergeCell ref="Q54:Q55"/>
    <mergeCell ref="B51:B52"/>
    <mergeCell ref="D27:G27"/>
    <mergeCell ref="H27:K27"/>
    <mergeCell ref="L27:O27"/>
    <mergeCell ref="D31:G31"/>
    <mergeCell ref="H31:K31"/>
    <mergeCell ref="D47:G47"/>
    <mergeCell ref="H47:K47"/>
    <mergeCell ref="L47:O47"/>
    <mergeCell ref="A2:A3"/>
    <mergeCell ref="A28:A29"/>
    <mergeCell ref="B28:B29"/>
    <mergeCell ref="P28:P29"/>
    <mergeCell ref="L19:O19"/>
    <mergeCell ref="D20:G20"/>
    <mergeCell ref="H20:K20"/>
    <mergeCell ref="H22:K22"/>
    <mergeCell ref="L22:O22"/>
    <mergeCell ref="D22:G22"/>
    <mergeCell ref="P13:P14"/>
    <mergeCell ref="A8:A9"/>
    <mergeCell ref="B8:B9"/>
    <mergeCell ref="P8:P9"/>
    <mergeCell ref="B2:B3"/>
    <mergeCell ref="C2:C3"/>
    <mergeCell ref="D2:G2"/>
    <mergeCell ref="D5:G5"/>
    <mergeCell ref="H5:K5"/>
    <mergeCell ref="L5:O5"/>
    <mergeCell ref="B15:B16"/>
    <mergeCell ref="H11:K11"/>
    <mergeCell ref="L20:O20"/>
    <mergeCell ref="H24:K24"/>
    <mergeCell ref="D7:G7"/>
    <mergeCell ref="H7:K7"/>
    <mergeCell ref="L7:O7"/>
    <mergeCell ref="H10:K10"/>
    <mergeCell ref="H70:K70"/>
    <mergeCell ref="L2:O2"/>
    <mergeCell ref="D26:G26"/>
    <mergeCell ref="D10:G10"/>
    <mergeCell ref="Q8:Q9"/>
    <mergeCell ref="Q2:Q3"/>
    <mergeCell ref="Q28:Q29"/>
    <mergeCell ref="H41:K41"/>
    <mergeCell ref="L41:O41"/>
    <mergeCell ref="L24:O24"/>
    <mergeCell ref="H26:K26"/>
    <mergeCell ref="L10:O10"/>
    <mergeCell ref="D12:G12"/>
    <mergeCell ref="H12:K12"/>
    <mergeCell ref="L11:O11"/>
    <mergeCell ref="L12:O12"/>
    <mergeCell ref="D11:G11"/>
    <mergeCell ref="D19:G19"/>
    <mergeCell ref="Q15:Q16"/>
    <mergeCell ref="P49:P50"/>
    <mergeCell ref="H42:K42"/>
    <mergeCell ref="D38:G38"/>
    <mergeCell ref="H38:K38"/>
    <mergeCell ref="L38:O38"/>
    <mergeCell ref="D41:G41"/>
    <mergeCell ref="D39:G39"/>
    <mergeCell ref="H39:K39"/>
    <mergeCell ref="H40:K40"/>
    <mergeCell ref="L40:O40"/>
    <mergeCell ref="A13:A14"/>
    <mergeCell ref="B13:B14"/>
    <mergeCell ref="P58:P59"/>
    <mergeCell ref="P51:P52"/>
    <mergeCell ref="Q51:Q52"/>
    <mergeCell ref="Q58:Q59"/>
    <mergeCell ref="B34:B35"/>
    <mergeCell ref="H32:K32"/>
    <mergeCell ref="L39:O39"/>
    <mergeCell ref="D24:G24"/>
    <mergeCell ref="P54:P55"/>
    <mergeCell ref="D33:G33"/>
    <mergeCell ref="H33:K33"/>
    <mergeCell ref="L33:O33"/>
    <mergeCell ref="D40:G40"/>
    <mergeCell ref="D43:G43"/>
    <mergeCell ref="A34:A35"/>
    <mergeCell ref="A36:A37"/>
    <mergeCell ref="A15:A16"/>
    <mergeCell ref="B36:B37"/>
    <mergeCell ref="P36:P37"/>
    <mergeCell ref="P34:P35"/>
    <mergeCell ref="H19:K19"/>
    <mergeCell ref="L25:O25"/>
    <mergeCell ref="A74:A75"/>
    <mergeCell ref="H73:K73"/>
    <mergeCell ref="Q63:Q64"/>
    <mergeCell ref="H43:K43"/>
    <mergeCell ref="D21:G21"/>
    <mergeCell ref="H21:K21"/>
    <mergeCell ref="L21:O21"/>
    <mergeCell ref="H23:K23"/>
    <mergeCell ref="L23:O23"/>
    <mergeCell ref="H30:K30"/>
    <mergeCell ref="D30:G30"/>
    <mergeCell ref="D25:G25"/>
    <mergeCell ref="H25:K25"/>
    <mergeCell ref="Q56:Q57"/>
    <mergeCell ref="A58:A59"/>
    <mergeCell ref="B58:B59"/>
    <mergeCell ref="B61:B62"/>
    <mergeCell ref="A65:A66"/>
    <mergeCell ref="B65:B66"/>
    <mergeCell ref="P65:P66"/>
    <mergeCell ref="Q65:Q66"/>
    <mergeCell ref="A56:A57"/>
    <mergeCell ref="B56:B57"/>
    <mergeCell ref="Q61:Q62"/>
    <mergeCell ref="R2:R3"/>
    <mergeCell ref="R28:R29"/>
    <mergeCell ref="D93:G93"/>
    <mergeCell ref="H93:K93"/>
    <mergeCell ref="L93:O93"/>
    <mergeCell ref="D92:G92"/>
    <mergeCell ref="H92:K92"/>
    <mergeCell ref="L92:O92"/>
    <mergeCell ref="Q13:Q14"/>
    <mergeCell ref="D18:G18"/>
    <mergeCell ref="H18:K18"/>
    <mergeCell ref="L18:O18"/>
    <mergeCell ref="D23:G23"/>
    <mergeCell ref="P61:P62"/>
    <mergeCell ref="H2:K2"/>
    <mergeCell ref="P2:P3"/>
    <mergeCell ref="P83:P84"/>
    <mergeCell ref="D71:G71"/>
    <mergeCell ref="H71:K71"/>
    <mergeCell ref="L71:O71"/>
    <mergeCell ref="D72:G72"/>
    <mergeCell ref="H72:K72"/>
    <mergeCell ref="L26:O26"/>
    <mergeCell ref="L32:O32"/>
    <mergeCell ref="A1:R1"/>
    <mergeCell ref="A4:R4"/>
    <mergeCell ref="A17:R17"/>
    <mergeCell ref="A68:R68"/>
    <mergeCell ref="A85:R85"/>
    <mergeCell ref="R34:R35"/>
    <mergeCell ref="R36:R37"/>
    <mergeCell ref="R45:R46"/>
    <mergeCell ref="R49:R50"/>
    <mergeCell ref="R51:R52"/>
    <mergeCell ref="R54:R55"/>
    <mergeCell ref="R56:R57"/>
    <mergeCell ref="R58:R59"/>
    <mergeCell ref="R63:R64"/>
    <mergeCell ref="R79:R80"/>
    <mergeCell ref="R81:R82"/>
    <mergeCell ref="R76:R77"/>
    <mergeCell ref="R83:R84"/>
    <mergeCell ref="R61:R62"/>
    <mergeCell ref="R65:R66"/>
    <mergeCell ref="R74:R75"/>
    <mergeCell ref="R8:R9"/>
    <mergeCell ref="R13:R14"/>
    <mergeCell ref="R15:R16"/>
  </mergeCells>
  <pageMargins left="0.7" right="0.7" top="0.75" bottom="0.75" header="0.3" footer="0.3"/>
  <pageSetup scale="43" fitToHeight="0" orientation="landscape"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72"/>
  <sheetViews>
    <sheetView rightToLeft="1" topLeftCell="B31" zoomScale="85" zoomScaleNormal="85" workbookViewId="0">
      <selection activeCell="R39" sqref="R39"/>
    </sheetView>
  </sheetViews>
  <sheetFormatPr defaultColWidth="9.125" defaultRowHeight="14.25" x14ac:dyDescent="0.2"/>
  <cols>
    <col min="1" max="1" width="9" style="16" customWidth="1"/>
    <col min="2" max="2" width="64.125" style="16" bestFit="1" customWidth="1"/>
    <col min="3" max="3" width="10.125" style="16" customWidth="1"/>
    <col min="4" max="4" width="5.375" style="16" bestFit="1" customWidth="1"/>
    <col min="5" max="5" width="6.25" style="16" bestFit="1" customWidth="1"/>
    <col min="6" max="6" width="6.125" style="16" bestFit="1" customWidth="1"/>
    <col min="7" max="7" width="5.75" style="16" bestFit="1" customWidth="1"/>
    <col min="8" max="8" width="5.375" style="16" bestFit="1" customWidth="1"/>
    <col min="9" max="9" width="6.25" style="16" bestFit="1" customWidth="1"/>
    <col min="10" max="10" width="6.125" style="16" bestFit="1" customWidth="1"/>
    <col min="11" max="11" width="5.75" style="16" bestFit="1" customWidth="1"/>
    <col min="12" max="12" width="5.375" style="16" bestFit="1" customWidth="1"/>
    <col min="13" max="13" width="6.25" style="16" bestFit="1" customWidth="1"/>
    <col min="14" max="14" width="6.125" style="16" bestFit="1" customWidth="1"/>
    <col min="15" max="15" width="5.75" style="16" bestFit="1" customWidth="1"/>
    <col min="16" max="16" width="25.875" style="16" customWidth="1"/>
    <col min="17" max="18" width="28.625" style="16" bestFit="1" customWidth="1"/>
    <col min="19" max="16384" width="9.125" style="16"/>
  </cols>
  <sheetData>
    <row r="1" spans="1:48" ht="34.5" customHeight="1" x14ac:dyDescent="0.2">
      <c r="A1" s="130" t="s">
        <v>434</v>
      </c>
      <c r="B1" s="130"/>
      <c r="C1" s="130"/>
      <c r="D1" s="130"/>
      <c r="E1" s="130"/>
      <c r="F1" s="130"/>
      <c r="G1" s="130"/>
      <c r="H1" s="130"/>
      <c r="I1" s="130"/>
      <c r="J1" s="130"/>
      <c r="K1" s="130"/>
      <c r="L1" s="130"/>
      <c r="M1" s="130"/>
      <c r="N1" s="130"/>
      <c r="O1" s="130"/>
      <c r="P1" s="130"/>
      <c r="Q1" s="130"/>
      <c r="R1" s="130"/>
    </row>
    <row r="2" spans="1:48" ht="41.25" customHeight="1" x14ac:dyDescent="0.2">
      <c r="A2" s="116" t="s">
        <v>4</v>
      </c>
      <c r="B2" s="116" t="s">
        <v>3</v>
      </c>
      <c r="C2" s="116" t="s">
        <v>136</v>
      </c>
      <c r="D2" s="116" t="s">
        <v>2</v>
      </c>
      <c r="E2" s="116"/>
      <c r="F2" s="116"/>
      <c r="G2" s="116"/>
      <c r="H2" s="116" t="s">
        <v>1</v>
      </c>
      <c r="I2" s="116"/>
      <c r="J2" s="116"/>
      <c r="K2" s="116"/>
      <c r="L2" s="121" t="s">
        <v>458</v>
      </c>
      <c r="M2" s="121"/>
      <c r="N2" s="121"/>
      <c r="O2" s="121"/>
      <c r="P2" s="116" t="s">
        <v>57</v>
      </c>
      <c r="Q2" s="116" t="s">
        <v>25</v>
      </c>
      <c r="R2" s="116" t="s">
        <v>482</v>
      </c>
    </row>
    <row r="3" spans="1:48" ht="53.25" customHeight="1" x14ac:dyDescent="0.2">
      <c r="A3" s="116"/>
      <c r="B3" s="116"/>
      <c r="C3" s="116"/>
      <c r="D3" s="53" t="s">
        <v>8</v>
      </c>
      <c r="E3" s="53" t="s">
        <v>7</v>
      </c>
      <c r="F3" s="53" t="s">
        <v>6</v>
      </c>
      <c r="G3" s="53" t="s">
        <v>5</v>
      </c>
      <c r="H3" s="53" t="s">
        <v>8</v>
      </c>
      <c r="I3" s="53" t="s">
        <v>7</v>
      </c>
      <c r="J3" s="53" t="s">
        <v>6</v>
      </c>
      <c r="K3" s="53" t="s">
        <v>5</v>
      </c>
      <c r="L3" s="53" t="s">
        <v>8</v>
      </c>
      <c r="M3" s="53" t="s">
        <v>7</v>
      </c>
      <c r="N3" s="53" t="s">
        <v>6</v>
      </c>
      <c r="O3" s="53" t="s">
        <v>5</v>
      </c>
      <c r="P3" s="116"/>
      <c r="Q3" s="116"/>
      <c r="R3" s="116"/>
    </row>
    <row r="4" spans="1:48" ht="18" customHeight="1" x14ac:dyDescent="0.2">
      <c r="A4" s="105" t="s">
        <v>89</v>
      </c>
      <c r="B4" s="105"/>
      <c r="C4" s="105"/>
      <c r="D4" s="105"/>
      <c r="E4" s="105"/>
      <c r="F4" s="105"/>
      <c r="G4" s="105"/>
      <c r="H4" s="105"/>
      <c r="I4" s="105"/>
      <c r="J4" s="105"/>
      <c r="K4" s="105"/>
      <c r="L4" s="105"/>
      <c r="M4" s="105"/>
      <c r="N4" s="105"/>
      <c r="O4" s="105"/>
      <c r="P4" s="105"/>
      <c r="Q4" s="105"/>
      <c r="R4" s="105"/>
    </row>
    <row r="5" spans="1:48" ht="21.75" x14ac:dyDescent="0.2">
      <c r="A5" s="51" t="s">
        <v>290</v>
      </c>
      <c r="B5" s="51" t="s">
        <v>81</v>
      </c>
      <c r="C5" s="59" t="s">
        <v>24</v>
      </c>
      <c r="D5" s="107">
        <v>30000</v>
      </c>
      <c r="E5" s="107"/>
      <c r="F5" s="107"/>
      <c r="G5" s="107"/>
      <c r="H5" s="107">
        <f>D5-(D5*20/100)</f>
        <v>24000</v>
      </c>
      <c r="I5" s="107"/>
      <c r="J5" s="107"/>
      <c r="K5" s="107"/>
      <c r="L5" s="107">
        <f>D5-(D5*40/100)</f>
        <v>18000</v>
      </c>
      <c r="M5" s="107"/>
      <c r="N5" s="107"/>
      <c r="O5" s="107"/>
      <c r="P5" s="50" t="s">
        <v>9</v>
      </c>
      <c r="Q5" s="59" t="s">
        <v>23</v>
      </c>
      <c r="R5" s="71" t="s">
        <v>502</v>
      </c>
    </row>
    <row r="6" spans="1:48" s="4" customFormat="1" ht="18" customHeight="1" x14ac:dyDescent="0.2">
      <c r="A6" s="51" t="s">
        <v>284</v>
      </c>
      <c r="B6" s="51" t="s">
        <v>92</v>
      </c>
      <c r="C6" s="59" t="s">
        <v>24</v>
      </c>
      <c r="D6" s="107">
        <v>5000</v>
      </c>
      <c r="E6" s="107"/>
      <c r="F6" s="107"/>
      <c r="G6" s="107"/>
      <c r="H6" s="107">
        <f>D6-(D6*20/100)</f>
        <v>4000</v>
      </c>
      <c r="I6" s="107"/>
      <c r="J6" s="107"/>
      <c r="K6" s="107"/>
      <c r="L6" s="107">
        <f>D6-(D6*40/100)</f>
        <v>3000</v>
      </c>
      <c r="M6" s="107"/>
      <c r="N6" s="107"/>
      <c r="O6" s="107"/>
      <c r="P6" s="50" t="s">
        <v>9</v>
      </c>
      <c r="Q6" s="54" t="s">
        <v>404</v>
      </c>
      <c r="R6" s="69" t="s">
        <v>503</v>
      </c>
    </row>
    <row r="7" spans="1:48" s="17" customFormat="1" ht="27" customHeight="1" x14ac:dyDescent="0.2">
      <c r="A7" s="50" t="s">
        <v>285</v>
      </c>
      <c r="B7" s="50" t="s">
        <v>93</v>
      </c>
      <c r="C7" s="59" t="s">
        <v>24</v>
      </c>
      <c r="D7" s="107">
        <v>1000</v>
      </c>
      <c r="E7" s="107"/>
      <c r="F7" s="107"/>
      <c r="G7" s="107"/>
      <c r="H7" s="107">
        <f>D7-(D7*20/100)</f>
        <v>800</v>
      </c>
      <c r="I7" s="107"/>
      <c r="J7" s="107"/>
      <c r="K7" s="107"/>
      <c r="L7" s="107">
        <f>D7-(D7*40/100)</f>
        <v>600</v>
      </c>
      <c r="M7" s="107"/>
      <c r="N7" s="107"/>
      <c r="O7" s="107"/>
      <c r="P7" s="50" t="s">
        <v>9</v>
      </c>
      <c r="Q7" s="54" t="s">
        <v>417</v>
      </c>
      <c r="R7" s="86" t="s">
        <v>503</v>
      </c>
      <c r="T7" s="18"/>
      <c r="U7" s="18"/>
      <c r="V7" s="18"/>
      <c r="W7" s="18"/>
    </row>
    <row r="8" spans="1:48" s="1" customFormat="1" ht="21.75" x14ac:dyDescent="0.2">
      <c r="A8" s="129" t="s">
        <v>286</v>
      </c>
      <c r="B8" s="112" t="s">
        <v>435</v>
      </c>
      <c r="C8" s="50" t="s">
        <v>59</v>
      </c>
      <c r="D8" s="50">
        <v>5000</v>
      </c>
      <c r="E8" s="50">
        <f>MROUND(D8-(D8*10/100),50)</f>
        <v>4500</v>
      </c>
      <c r="F8" s="50">
        <f>MROUND(D8-(D8*20/100),50)</f>
        <v>4000</v>
      </c>
      <c r="G8" s="50">
        <f>MROUND(D8-(D8*30/100),50)</f>
        <v>3500</v>
      </c>
      <c r="H8" s="50">
        <f>MROUND(D8-(D8*10/100),50)</f>
        <v>4500</v>
      </c>
      <c r="I8" s="50">
        <f>MROUND(H8-(H8*10/100),50)</f>
        <v>4050</v>
      </c>
      <c r="J8" s="50">
        <f>MROUND(H8-(H8*20/100),50)</f>
        <v>3600</v>
      </c>
      <c r="K8" s="50">
        <f>MROUND(H8-(H8*30/100),50)</f>
        <v>3150</v>
      </c>
      <c r="L8" s="50">
        <f>MROUND(D8-(D8*20/100),50)</f>
        <v>4000</v>
      </c>
      <c r="M8" s="50">
        <f>MROUND(L8-(L8*10/100),50)</f>
        <v>3600</v>
      </c>
      <c r="N8" s="50">
        <f>MROUND(L8-(L8*20/100),50)</f>
        <v>3200</v>
      </c>
      <c r="O8" s="50">
        <f>MROUND(L8-(L8*30/100),50)</f>
        <v>2800</v>
      </c>
      <c r="P8" s="108" t="s">
        <v>10</v>
      </c>
      <c r="Q8" s="112" t="s">
        <v>23</v>
      </c>
      <c r="R8" s="113" t="s">
        <v>517</v>
      </c>
      <c r="S8" s="18"/>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row>
    <row r="9" spans="1:48" s="1" customFormat="1" ht="21.75" customHeight="1" x14ac:dyDescent="0.2">
      <c r="A9" s="129"/>
      <c r="B9" s="112"/>
      <c r="C9" s="50" t="s">
        <v>15</v>
      </c>
      <c r="D9" s="50">
        <f t="shared" ref="D9" si="0">D8*50/100</f>
        <v>2500</v>
      </c>
      <c r="E9" s="51">
        <f t="shared" ref="E9:O9" si="1">MROUND(E8*50/100,50)</f>
        <v>2250</v>
      </c>
      <c r="F9" s="51">
        <f t="shared" si="1"/>
        <v>2000</v>
      </c>
      <c r="G9" s="51">
        <f t="shared" si="1"/>
        <v>1750</v>
      </c>
      <c r="H9" s="51">
        <f t="shared" si="1"/>
        <v>2250</v>
      </c>
      <c r="I9" s="51">
        <f t="shared" si="1"/>
        <v>2050</v>
      </c>
      <c r="J9" s="51">
        <f t="shared" si="1"/>
        <v>1800</v>
      </c>
      <c r="K9" s="51">
        <f t="shared" si="1"/>
        <v>1600</v>
      </c>
      <c r="L9" s="51">
        <f t="shared" si="1"/>
        <v>2000</v>
      </c>
      <c r="M9" s="51">
        <f t="shared" si="1"/>
        <v>1800</v>
      </c>
      <c r="N9" s="51">
        <f t="shared" si="1"/>
        <v>1600</v>
      </c>
      <c r="O9" s="51">
        <f t="shared" si="1"/>
        <v>1400</v>
      </c>
      <c r="P9" s="108"/>
      <c r="Q9" s="112"/>
      <c r="R9" s="113"/>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row>
    <row r="10" spans="1:48" s="1" customFormat="1" ht="21.75" x14ac:dyDescent="0.2">
      <c r="A10" s="129" t="s">
        <v>287</v>
      </c>
      <c r="B10" s="108" t="s">
        <v>86</v>
      </c>
      <c r="C10" s="50" t="s">
        <v>59</v>
      </c>
      <c r="D10" s="50">
        <v>2000</v>
      </c>
      <c r="E10" s="50">
        <f>MROUND(D10-(D10*10/100),50)</f>
        <v>1800</v>
      </c>
      <c r="F10" s="50">
        <f>MROUND(D10-(D10*20/100),50)</f>
        <v>1600</v>
      </c>
      <c r="G10" s="50">
        <f>MROUND(D10-(D10*30/100),50)</f>
        <v>1400</v>
      </c>
      <c r="H10" s="50">
        <f>MROUND(D10-(D10*10/100),50)</f>
        <v>1800</v>
      </c>
      <c r="I10" s="50">
        <f>MROUND(H10-(H10*10/100),50)</f>
        <v>1600</v>
      </c>
      <c r="J10" s="50">
        <f>MROUND(H10-(H10*20/100),50)</f>
        <v>1450</v>
      </c>
      <c r="K10" s="50">
        <f>MROUND(H10-(H10*30/100),50)</f>
        <v>1250</v>
      </c>
      <c r="L10" s="50">
        <f>MROUND(D10-(D10*20/100),50)</f>
        <v>1600</v>
      </c>
      <c r="M10" s="50">
        <f>MROUND(L10-(L10*10/100),50)</f>
        <v>1450</v>
      </c>
      <c r="N10" s="50">
        <f>MROUND(L10-(L10*20/100),50)</f>
        <v>1300</v>
      </c>
      <c r="O10" s="50">
        <f>MROUND(L10-(L10*30/100),50)</f>
        <v>1100</v>
      </c>
      <c r="P10" s="108" t="s">
        <v>10</v>
      </c>
      <c r="Q10" s="112" t="s">
        <v>23</v>
      </c>
      <c r="R10" s="113" t="s">
        <v>517</v>
      </c>
      <c r="S10" s="18"/>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row>
    <row r="11" spans="1:48" s="4" customFormat="1" ht="18" customHeight="1" x14ac:dyDescent="0.2">
      <c r="A11" s="129"/>
      <c r="B11" s="108"/>
      <c r="C11" s="50" t="s">
        <v>15</v>
      </c>
      <c r="D11" s="50">
        <f t="shared" ref="D11" si="2">D10*50/100</f>
        <v>1000</v>
      </c>
      <c r="E11" s="51">
        <f t="shared" ref="E11:O11" si="3">MROUND(E10*50/100,50)</f>
        <v>900</v>
      </c>
      <c r="F11" s="51">
        <f t="shared" si="3"/>
        <v>800</v>
      </c>
      <c r="G11" s="51">
        <f t="shared" si="3"/>
        <v>700</v>
      </c>
      <c r="H11" s="51">
        <f t="shared" si="3"/>
        <v>900</v>
      </c>
      <c r="I11" s="51">
        <f t="shared" si="3"/>
        <v>800</v>
      </c>
      <c r="J11" s="51">
        <f t="shared" si="3"/>
        <v>750</v>
      </c>
      <c r="K11" s="51">
        <f t="shared" si="3"/>
        <v>650</v>
      </c>
      <c r="L11" s="51">
        <f t="shared" si="3"/>
        <v>800</v>
      </c>
      <c r="M11" s="51">
        <f t="shared" si="3"/>
        <v>750</v>
      </c>
      <c r="N11" s="51">
        <f t="shared" si="3"/>
        <v>650</v>
      </c>
      <c r="O11" s="51">
        <f t="shared" si="3"/>
        <v>550</v>
      </c>
      <c r="P11" s="108"/>
      <c r="Q11" s="112"/>
      <c r="R11" s="113"/>
    </row>
    <row r="12" spans="1:48" s="4" customFormat="1" ht="47.25" customHeight="1" x14ac:dyDescent="0.2">
      <c r="A12" s="124" t="s">
        <v>288</v>
      </c>
      <c r="B12" s="107" t="s">
        <v>94</v>
      </c>
      <c r="C12" s="50" t="s">
        <v>59</v>
      </c>
      <c r="D12" s="50">
        <v>3000</v>
      </c>
      <c r="E12" s="50">
        <f>MROUND(D12-(D12*10/100),50)</f>
        <v>2700</v>
      </c>
      <c r="F12" s="50">
        <f>MROUND(D12-(D12*20/100),50)</f>
        <v>2400</v>
      </c>
      <c r="G12" s="50">
        <f>MROUND(D12-(D12*30/100),50)</f>
        <v>2100</v>
      </c>
      <c r="H12" s="50">
        <f>MROUND(D12-(D12*10/100),50)</f>
        <v>2700</v>
      </c>
      <c r="I12" s="50">
        <f>MROUND(H12-(H12*10/100),50)</f>
        <v>2450</v>
      </c>
      <c r="J12" s="50">
        <f>MROUND(H12-(H12*20/100),50)</f>
        <v>2150</v>
      </c>
      <c r="K12" s="50">
        <f>MROUND(H12-(H12*30/100),50)</f>
        <v>1900</v>
      </c>
      <c r="L12" s="50">
        <f>MROUND(D12-(D12*20/100),50)</f>
        <v>2400</v>
      </c>
      <c r="M12" s="50">
        <f>MROUND(L12-(L12*10/100),50)</f>
        <v>2150</v>
      </c>
      <c r="N12" s="50">
        <f>MROUND(L12-(L12*20/100),50)</f>
        <v>1900</v>
      </c>
      <c r="O12" s="50">
        <f>MROUND(L12-(L12*30/100),50)</f>
        <v>1700</v>
      </c>
      <c r="P12" s="108" t="s">
        <v>10</v>
      </c>
      <c r="Q12" s="112" t="s">
        <v>23</v>
      </c>
      <c r="R12" s="113" t="s">
        <v>502</v>
      </c>
    </row>
    <row r="13" spans="1:48" ht="21.75" customHeight="1" x14ac:dyDescent="0.2">
      <c r="A13" s="124"/>
      <c r="B13" s="107"/>
      <c r="C13" s="50" t="s">
        <v>16</v>
      </c>
      <c r="D13" s="50">
        <f>D12*50/100</f>
        <v>1500</v>
      </c>
      <c r="E13" s="51">
        <f t="shared" ref="E13:O13" si="4">MROUND(E12*50/100,50)</f>
        <v>1350</v>
      </c>
      <c r="F13" s="51">
        <f t="shared" si="4"/>
        <v>1200</v>
      </c>
      <c r="G13" s="51">
        <f t="shared" si="4"/>
        <v>1050</v>
      </c>
      <c r="H13" s="51">
        <f t="shared" si="4"/>
        <v>1350</v>
      </c>
      <c r="I13" s="51">
        <f t="shared" si="4"/>
        <v>1250</v>
      </c>
      <c r="J13" s="51">
        <f t="shared" si="4"/>
        <v>1100</v>
      </c>
      <c r="K13" s="51">
        <f t="shared" si="4"/>
        <v>950</v>
      </c>
      <c r="L13" s="51">
        <f t="shared" si="4"/>
        <v>1200</v>
      </c>
      <c r="M13" s="51">
        <f t="shared" si="4"/>
        <v>1100</v>
      </c>
      <c r="N13" s="51">
        <f t="shared" si="4"/>
        <v>950</v>
      </c>
      <c r="O13" s="51">
        <f t="shared" si="4"/>
        <v>850</v>
      </c>
      <c r="P13" s="108"/>
      <c r="Q13" s="112"/>
      <c r="R13" s="113"/>
    </row>
    <row r="14" spans="1:48" ht="21.75" x14ac:dyDescent="0.2">
      <c r="A14" s="129" t="s">
        <v>289</v>
      </c>
      <c r="B14" s="108" t="s">
        <v>95</v>
      </c>
      <c r="C14" s="50" t="s">
        <v>14</v>
      </c>
      <c r="D14" s="50">
        <v>5000</v>
      </c>
      <c r="E14" s="50">
        <f>MROUND(D14-(D14*10/100),50)</f>
        <v>4500</v>
      </c>
      <c r="F14" s="50">
        <f>MROUND(D14-(D14*20/100),50)</f>
        <v>4000</v>
      </c>
      <c r="G14" s="50">
        <f>MROUND(D14-(D14*30/100),50)</f>
        <v>3500</v>
      </c>
      <c r="H14" s="50">
        <f>MROUND(D14-(D14*10/100),50)</f>
        <v>4500</v>
      </c>
      <c r="I14" s="50">
        <f>MROUND(H14-(H14*10/100),50)</f>
        <v>4050</v>
      </c>
      <c r="J14" s="50">
        <f>MROUND(H14-(H14*20/100),50)</f>
        <v>3600</v>
      </c>
      <c r="K14" s="50">
        <f>MROUND(H14-(H14*30/100),50)</f>
        <v>3150</v>
      </c>
      <c r="L14" s="50">
        <f>MROUND(D14-(D14*20/100),50)</f>
        <v>4000</v>
      </c>
      <c r="M14" s="50">
        <f>MROUND(L14-(L14*10/100),50)</f>
        <v>3600</v>
      </c>
      <c r="N14" s="50">
        <f>MROUND(L14-(L14*20/100),50)</f>
        <v>3200</v>
      </c>
      <c r="O14" s="50">
        <f>MROUND(L14-(L14*30/100),50)</f>
        <v>2800</v>
      </c>
      <c r="P14" s="108" t="s">
        <v>10</v>
      </c>
      <c r="Q14" s="117" t="s">
        <v>395</v>
      </c>
      <c r="R14" s="117" t="s">
        <v>502</v>
      </c>
    </row>
    <row r="15" spans="1:48" ht="18" customHeight="1" x14ac:dyDescent="0.2">
      <c r="A15" s="129"/>
      <c r="B15" s="108"/>
      <c r="C15" s="52" t="s">
        <v>16</v>
      </c>
      <c r="D15" s="52">
        <f t="shared" ref="D15" si="5">D14*50/100</f>
        <v>2500</v>
      </c>
      <c r="E15" s="49">
        <f t="shared" ref="E15:O15" si="6">MROUND(E14*50/100,50)</f>
        <v>2250</v>
      </c>
      <c r="F15" s="49">
        <f t="shared" si="6"/>
        <v>2000</v>
      </c>
      <c r="G15" s="49">
        <f t="shared" si="6"/>
        <v>1750</v>
      </c>
      <c r="H15" s="49">
        <f t="shared" si="6"/>
        <v>2250</v>
      </c>
      <c r="I15" s="49">
        <f t="shared" si="6"/>
        <v>2050</v>
      </c>
      <c r="J15" s="49">
        <f t="shared" si="6"/>
        <v>1800</v>
      </c>
      <c r="K15" s="49">
        <f t="shared" si="6"/>
        <v>1600</v>
      </c>
      <c r="L15" s="49">
        <f t="shared" si="6"/>
        <v>2000</v>
      </c>
      <c r="M15" s="49">
        <f t="shared" si="6"/>
        <v>1800</v>
      </c>
      <c r="N15" s="49">
        <f t="shared" si="6"/>
        <v>1600</v>
      </c>
      <c r="O15" s="49">
        <f t="shared" si="6"/>
        <v>1400</v>
      </c>
      <c r="P15" s="108"/>
      <c r="Q15" s="117"/>
      <c r="R15" s="117"/>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row>
    <row r="16" spans="1:48" s="17" customFormat="1" ht="23.25" x14ac:dyDescent="0.2">
      <c r="A16" s="105" t="s">
        <v>39</v>
      </c>
      <c r="B16" s="105"/>
      <c r="C16" s="105"/>
      <c r="D16" s="105"/>
      <c r="E16" s="105"/>
      <c r="F16" s="105"/>
      <c r="G16" s="105"/>
      <c r="H16" s="105"/>
      <c r="I16" s="105"/>
      <c r="J16" s="105"/>
      <c r="K16" s="105"/>
      <c r="L16" s="105"/>
      <c r="M16" s="105"/>
      <c r="N16" s="105"/>
      <c r="O16" s="105"/>
      <c r="P16" s="105"/>
      <c r="Q16" s="105"/>
      <c r="R16" s="105"/>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row>
    <row r="17" spans="1:48" s="17" customFormat="1" ht="39" customHeight="1" x14ac:dyDescent="0.2">
      <c r="A17" s="37" t="s">
        <v>291</v>
      </c>
      <c r="B17" s="42" t="s">
        <v>420</v>
      </c>
      <c r="C17" s="37" t="s">
        <v>13</v>
      </c>
      <c r="D17" s="107">
        <v>80000</v>
      </c>
      <c r="E17" s="107"/>
      <c r="F17" s="107"/>
      <c r="G17" s="107"/>
      <c r="H17" s="107">
        <f t="shared" ref="H17:H23" si="7">D17-(D17*20/100)</f>
        <v>64000</v>
      </c>
      <c r="I17" s="107"/>
      <c r="J17" s="107"/>
      <c r="K17" s="107"/>
      <c r="L17" s="107">
        <f t="shared" ref="L17:L23" si="8">D17-(D17*40/100)</f>
        <v>48000</v>
      </c>
      <c r="M17" s="107"/>
      <c r="N17" s="107"/>
      <c r="O17" s="107"/>
      <c r="P17" s="50" t="s">
        <v>9</v>
      </c>
      <c r="Q17" s="49" t="s">
        <v>397</v>
      </c>
      <c r="R17" s="66" t="s">
        <v>505</v>
      </c>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row>
    <row r="18" spans="1:48" s="32" customFormat="1" ht="21.75" x14ac:dyDescent="0.2">
      <c r="A18" s="51" t="s">
        <v>292</v>
      </c>
      <c r="B18" s="56" t="s">
        <v>442</v>
      </c>
      <c r="C18" s="37" t="s">
        <v>13</v>
      </c>
      <c r="D18" s="107">
        <v>400000</v>
      </c>
      <c r="E18" s="107">
        <f>D18-(D18*10/100)</f>
        <v>360000</v>
      </c>
      <c r="F18" s="107">
        <f>D18-(D18*20/100)</f>
        <v>320000</v>
      </c>
      <c r="G18" s="107">
        <f>D18-(D18*30/100)</f>
        <v>280000</v>
      </c>
      <c r="H18" s="107">
        <f t="shared" si="7"/>
        <v>320000</v>
      </c>
      <c r="I18" s="107"/>
      <c r="J18" s="107"/>
      <c r="K18" s="107"/>
      <c r="L18" s="107">
        <f t="shared" si="8"/>
        <v>240000</v>
      </c>
      <c r="M18" s="107"/>
      <c r="N18" s="107"/>
      <c r="O18" s="107"/>
      <c r="P18" s="50" t="s">
        <v>9</v>
      </c>
      <c r="Q18" s="49" t="s">
        <v>398</v>
      </c>
      <c r="R18" s="66" t="s">
        <v>505</v>
      </c>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row>
    <row r="19" spans="1:48" s="17" customFormat="1" ht="21.75" x14ac:dyDescent="0.2">
      <c r="A19" s="56" t="s">
        <v>293</v>
      </c>
      <c r="B19" s="56" t="s">
        <v>71</v>
      </c>
      <c r="C19" s="30" t="s">
        <v>13</v>
      </c>
      <c r="D19" s="109">
        <v>48000</v>
      </c>
      <c r="E19" s="109">
        <f>D19-(D19*10/100)</f>
        <v>43200</v>
      </c>
      <c r="F19" s="109">
        <f>D19-(D19*20/100)</f>
        <v>38400</v>
      </c>
      <c r="G19" s="109">
        <f>D19-(D19*30/100)</f>
        <v>33600</v>
      </c>
      <c r="H19" s="109">
        <f t="shared" si="7"/>
        <v>38400</v>
      </c>
      <c r="I19" s="109"/>
      <c r="J19" s="109"/>
      <c r="K19" s="109"/>
      <c r="L19" s="109">
        <f t="shared" si="8"/>
        <v>28800</v>
      </c>
      <c r="M19" s="109"/>
      <c r="N19" s="109"/>
      <c r="O19" s="109"/>
      <c r="P19" s="56" t="s">
        <v>9</v>
      </c>
      <c r="Q19" s="55" t="s">
        <v>397</v>
      </c>
      <c r="R19" s="66" t="s">
        <v>505</v>
      </c>
      <c r="S19" s="18"/>
      <c r="T19" s="18"/>
      <c r="U19" s="18"/>
      <c r="V19" s="18"/>
      <c r="W19" s="18"/>
      <c r="X19" s="18"/>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row>
    <row r="20" spans="1:48" s="17" customFormat="1" ht="39" customHeight="1" x14ac:dyDescent="0.2">
      <c r="A20" s="37" t="s">
        <v>294</v>
      </c>
      <c r="B20" s="56" t="s">
        <v>454</v>
      </c>
      <c r="C20" s="37" t="s">
        <v>13</v>
      </c>
      <c r="D20" s="107">
        <v>24000</v>
      </c>
      <c r="E20" s="107">
        <f>D20-(D20*10/100)</f>
        <v>21600</v>
      </c>
      <c r="F20" s="107">
        <f>D20-(D20*20/100)</f>
        <v>19200</v>
      </c>
      <c r="G20" s="107">
        <f>D20-(D20*30/100)</f>
        <v>16800</v>
      </c>
      <c r="H20" s="107">
        <f t="shared" si="7"/>
        <v>19200</v>
      </c>
      <c r="I20" s="107"/>
      <c r="J20" s="107"/>
      <c r="K20" s="107"/>
      <c r="L20" s="107">
        <f t="shared" si="8"/>
        <v>14400</v>
      </c>
      <c r="M20" s="107"/>
      <c r="N20" s="107"/>
      <c r="O20" s="107"/>
      <c r="P20" s="50" t="s">
        <v>9</v>
      </c>
      <c r="Q20" s="49" t="s">
        <v>399</v>
      </c>
      <c r="R20" s="66" t="s">
        <v>505</v>
      </c>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row>
    <row r="21" spans="1:48" s="17" customFormat="1" ht="37.5" customHeight="1" x14ac:dyDescent="0.2">
      <c r="A21" s="37" t="s">
        <v>295</v>
      </c>
      <c r="B21" s="37" t="s">
        <v>34</v>
      </c>
      <c r="C21" s="37" t="s">
        <v>13</v>
      </c>
      <c r="D21" s="107">
        <v>20000</v>
      </c>
      <c r="E21" s="107"/>
      <c r="F21" s="107"/>
      <c r="G21" s="107"/>
      <c r="H21" s="107">
        <f t="shared" si="7"/>
        <v>16000</v>
      </c>
      <c r="I21" s="107"/>
      <c r="J21" s="107"/>
      <c r="K21" s="107"/>
      <c r="L21" s="107">
        <f t="shared" si="8"/>
        <v>12000</v>
      </c>
      <c r="M21" s="107"/>
      <c r="N21" s="107"/>
      <c r="O21" s="107"/>
      <c r="P21" s="50" t="s">
        <v>9</v>
      </c>
      <c r="Q21" s="49" t="s">
        <v>400</v>
      </c>
      <c r="R21" s="66" t="s">
        <v>505</v>
      </c>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row>
    <row r="22" spans="1:48" s="35" customFormat="1" ht="21.75" x14ac:dyDescent="0.2">
      <c r="A22" s="34" t="s">
        <v>296</v>
      </c>
      <c r="B22" s="34" t="s">
        <v>62</v>
      </c>
      <c r="C22" s="37" t="s">
        <v>13</v>
      </c>
      <c r="D22" s="107">
        <v>18000</v>
      </c>
      <c r="E22" s="107">
        <f>D22-(D22*10/100)</f>
        <v>16200</v>
      </c>
      <c r="F22" s="107">
        <f>D22-(D22*20/100)</f>
        <v>14400</v>
      </c>
      <c r="G22" s="107">
        <f>D22-(D22*30/100)</f>
        <v>12600</v>
      </c>
      <c r="H22" s="107">
        <f t="shared" si="7"/>
        <v>14400</v>
      </c>
      <c r="I22" s="107"/>
      <c r="J22" s="107"/>
      <c r="K22" s="107"/>
      <c r="L22" s="107">
        <f t="shared" si="8"/>
        <v>10800</v>
      </c>
      <c r="M22" s="107"/>
      <c r="N22" s="107"/>
      <c r="O22" s="107"/>
      <c r="P22" s="50"/>
      <c r="Q22" s="49" t="s">
        <v>401</v>
      </c>
      <c r="R22" s="66" t="s">
        <v>505</v>
      </c>
    </row>
    <row r="23" spans="1:48" s="19" customFormat="1" ht="42.75" customHeight="1" x14ac:dyDescent="0.2">
      <c r="A23" s="56" t="s">
        <v>297</v>
      </c>
      <c r="B23" s="56" t="s">
        <v>135</v>
      </c>
      <c r="C23" s="56" t="s">
        <v>24</v>
      </c>
      <c r="D23" s="109">
        <v>100000</v>
      </c>
      <c r="E23" s="109"/>
      <c r="F23" s="109"/>
      <c r="G23" s="109"/>
      <c r="H23" s="109">
        <f t="shared" si="7"/>
        <v>80000</v>
      </c>
      <c r="I23" s="109"/>
      <c r="J23" s="109"/>
      <c r="K23" s="109"/>
      <c r="L23" s="109">
        <f t="shared" si="8"/>
        <v>60000</v>
      </c>
      <c r="M23" s="109"/>
      <c r="N23" s="109"/>
      <c r="O23" s="109"/>
      <c r="P23" s="56" t="s">
        <v>9</v>
      </c>
      <c r="Q23" s="56" t="s">
        <v>23</v>
      </c>
      <c r="R23" s="89" t="s">
        <v>506</v>
      </c>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row>
    <row r="24" spans="1:48" ht="39.950000000000003" customHeight="1" x14ac:dyDescent="0.2">
      <c r="A24" s="51" t="s">
        <v>298</v>
      </c>
      <c r="B24" s="49" t="s">
        <v>491</v>
      </c>
      <c r="C24" s="59" t="s">
        <v>24</v>
      </c>
      <c r="D24" s="107">
        <v>18000</v>
      </c>
      <c r="E24" s="107">
        <f>D24-(D24*10/100)</f>
        <v>16200</v>
      </c>
      <c r="F24" s="107">
        <f>D24-(D24*20/100)</f>
        <v>14400</v>
      </c>
      <c r="G24" s="107">
        <f>D24-(D24*30/100)</f>
        <v>12600</v>
      </c>
      <c r="H24" s="107">
        <f t="shared" ref="H24:H29" si="9">D24-(D24*20/100)</f>
        <v>14400</v>
      </c>
      <c r="I24" s="107"/>
      <c r="J24" s="107"/>
      <c r="K24" s="107"/>
      <c r="L24" s="107">
        <f t="shared" ref="L24:L29" si="10">D24-(D24*40/100)</f>
        <v>10800</v>
      </c>
      <c r="M24" s="107"/>
      <c r="N24" s="107"/>
      <c r="O24" s="107"/>
      <c r="P24" s="50" t="s">
        <v>9</v>
      </c>
      <c r="Q24" s="49" t="s">
        <v>401</v>
      </c>
      <c r="R24" s="66" t="s">
        <v>505</v>
      </c>
    </row>
    <row r="25" spans="1:48" s="1" customFormat="1" ht="39.950000000000003" customHeight="1" x14ac:dyDescent="0.2">
      <c r="A25" s="51" t="s">
        <v>299</v>
      </c>
      <c r="B25" s="51" t="s">
        <v>122</v>
      </c>
      <c r="C25" s="59" t="s">
        <v>121</v>
      </c>
      <c r="D25" s="107">
        <v>5000</v>
      </c>
      <c r="E25" s="107">
        <f t="shared" ref="E25" si="11">D25-(D25*10/100)</f>
        <v>4500</v>
      </c>
      <c r="F25" s="107">
        <f t="shared" ref="F25" si="12">D25-(D25*20/100)</f>
        <v>4000</v>
      </c>
      <c r="G25" s="107">
        <f t="shared" ref="G25" si="13">D25-(D25*30/100)</f>
        <v>3500</v>
      </c>
      <c r="H25" s="107">
        <f t="shared" si="9"/>
        <v>4000</v>
      </c>
      <c r="I25" s="107"/>
      <c r="J25" s="107"/>
      <c r="K25" s="107"/>
      <c r="L25" s="107">
        <f t="shared" si="10"/>
        <v>3000</v>
      </c>
      <c r="M25" s="107"/>
      <c r="N25" s="107"/>
      <c r="O25" s="107"/>
      <c r="P25" s="50" t="s">
        <v>9</v>
      </c>
      <c r="Q25" s="49" t="s">
        <v>23</v>
      </c>
      <c r="R25" s="63" t="s">
        <v>512</v>
      </c>
    </row>
    <row r="26" spans="1:48" s="1" customFormat="1" ht="39.950000000000003" customHeight="1" x14ac:dyDescent="0.2">
      <c r="A26" s="51" t="s">
        <v>300</v>
      </c>
      <c r="B26" s="51" t="s">
        <v>123</v>
      </c>
      <c r="C26" s="59" t="s">
        <v>121</v>
      </c>
      <c r="D26" s="107">
        <v>18000</v>
      </c>
      <c r="E26" s="107"/>
      <c r="F26" s="107"/>
      <c r="G26" s="107"/>
      <c r="H26" s="107">
        <f t="shared" si="9"/>
        <v>14400</v>
      </c>
      <c r="I26" s="107"/>
      <c r="J26" s="107"/>
      <c r="K26" s="107"/>
      <c r="L26" s="107">
        <f t="shared" si="10"/>
        <v>10800</v>
      </c>
      <c r="M26" s="107"/>
      <c r="N26" s="107"/>
      <c r="O26" s="107"/>
      <c r="P26" s="50" t="s">
        <v>9</v>
      </c>
      <c r="Q26" s="49" t="s">
        <v>23</v>
      </c>
      <c r="R26" s="63" t="s">
        <v>512</v>
      </c>
    </row>
    <row r="27" spans="1:48" s="17" customFormat="1" ht="66" customHeight="1" x14ac:dyDescent="0.2">
      <c r="A27" s="51" t="s">
        <v>301</v>
      </c>
      <c r="B27" s="51" t="s">
        <v>499</v>
      </c>
      <c r="C27" s="59" t="s">
        <v>121</v>
      </c>
      <c r="D27" s="107">
        <v>5000</v>
      </c>
      <c r="E27" s="107">
        <f t="shared" ref="E27" si="14">D27-(D27*10/100)</f>
        <v>4500</v>
      </c>
      <c r="F27" s="107">
        <f t="shared" ref="F27" si="15">D27-(D27*20/100)</f>
        <v>4000</v>
      </c>
      <c r="G27" s="107">
        <f t="shared" ref="G27" si="16">D27-(D27*30/100)</f>
        <v>3500</v>
      </c>
      <c r="H27" s="107">
        <f t="shared" si="9"/>
        <v>4000</v>
      </c>
      <c r="I27" s="107"/>
      <c r="J27" s="107"/>
      <c r="K27" s="107"/>
      <c r="L27" s="107">
        <f t="shared" si="10"/>
        <v>3000</v>
      </c>
      <c r="M27" s="107"/>
      <c r="N27" s="107"/>
      <c r="O27" s="107"/>
      <c r="P27" s="50" t="s">
        <v>9</v>
      </c>
      <c r="Q27" s="49" t="s">
        <v>23</v>
      </c>
      <c r="R27" s="63" t="s">
        <v>512</v>
      </c>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row r="28" spans="1:48" ht="39.950000000000003" customHeight="1" x14ac:dyDescent="0.2">
      <c r="A28" s="51" t="s">
        <v>302</v>
      </c>
      <c r="B28" s="51" t="s">
        <v>63</v>
      </c>
      <c r="C28" s="37" t="s">
        <v>13</v>
      </c>
      <c r="D28" s="107">
        <v>16000</v>
      </c>
      <c r="E28" s="107"/>
      <c r="F28" s="107"/>
      <c r="G28" s="107"/>
      <c r="H28" s="107">
        <f t="shared" si="9"/>
        <v>12800</v>
      </c>
      <c r="I28" s="107"/>
      <c r="J28" s="107"/>
      <c r="K28" s="107"/>
      <c r="L28" s="107">
        <f t="shared" si="10"/>
        <v>9600</v>
      </c>
      <c r="M28" s="107"/>
      <c r="N28" s="107"/>
      <c r="O28" s="107"/>
      <c r="P28" s="50" t="s">
        <v>9</v>
      </c>
      <c r="Q28" s="49" t="s">
        <v>401</v>
      </c>
      <c r="R28" s="66" t="s">
        <v>505</v>
      </c>
    </row>
    <row r="29" spans="1:48" ht="43.5" x14ac:dyDescent="0.2">
      <c r="A29" s="51" t="s">
        <v>303</v>
      </c>
      <c r="B29" s="51" t="s">
        <v>113</v>
      </c>
      <c r="C29" s="59" t="s">
        <v>24</v>
      </c>
      <c r="D29" s="109">
        <v>15000</v>
      </c>
      <c r="E29" s="109">
        <f>D29-(D29*10/100)</f>
        <v>13500</v>
      </c>
      <c r="F29" s="109">
        <f>D29-(D29*20/100)</f>
        <v>12000</v>
      </c>
      <c r="G29" s="109">
        <f>D29-(D29*30/100)</f>
        <v>10500</v>
      </c>
      <c r="H29" s="109">
        <f t="shared" si="9"/>
        <v>12000</v>
      </c>
      <c r="I29" s="109"/>
      <c r="J29" s="109"/>
      <c r="K29" s="109"/>
      <c r="L29" s="109">
        <f t="shared" si="10"/>
        <v>9000</v>
      </c>
      <c r="M29" s="109"/>
      <c r="N29" s="109"/>
      <c r="O29" s="109"/>
      <c r="P29" s="50" t="s">
        <v>9</v>
      </c>
      <c r="Q29" s="49" t="s">
        <v>402</v>
      </c>
      <c r="R29" s="66" t="s">
        <v>505</v>
      </c>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row>
    <row r="30" spans="1:48" ht="22.5" customHeight="1" x14ac:dyDescent="0.2">
      <c r="A30" s="108" t="s">
        <v>304</v>
      </c>
      <c r="B30" s="108" t="s">
        <v>60</v>
      </c>
      <c r="C30" s="50" t="s">
        <v>14</v>
      </c>
      <c r="D30" s="50">
        <v>5000</v>
      </c>
      <c r="E30" s="50">
        <f>MROUND(D30-(D30*10/100),50)</f>
        <v>4500</v>
      </c>
      <c r="F30" s="50">
        <f>MROUND(D30-(D30*20/100),50)</f>
        <v>4000</v>
      </c>
      <c r="G30" s="50">
        <f>MROUND(D30-(D30*30/100),50)</f>
        <v>3500</v>
      </c>
      <c r="H30" s="50">
        <f>MROUND(D30-(D30*10/100),50)</f>
        <v>4500</v>
      </c>
      <c r="I30" s="50">
        <f>MROUND(H30-(H30*10/100),50)</f>
        <v>4050</v>
      </c>
      <c r="J30" s="50">
        <f>MROUND(H30-(H30*20/100),50)</f>
        <v>3600</v>
      </c>
      <c r="K30" s="50">
        <f>MROUND(H30-(H30*30/100),50)</f>
        <v>3150</v>
      </c>
      <c r="L30" s="50">
        <f>MROUND(D30-(D30*20/100),50)</f>
        <v>4000</v>
      </c>
      <c r="M30" s="50">
        <f>MROUND(L30-(L30*10/100),50)</f>
        <v>3600</v>
      </c>
      <c r="N30" s="50">
        <f>MROUND(L30-(L30*20/100),50)</f>
        <v>3200</v>
      </c>
      <c r="O30" s="50">
        <f>MROUND(L30-(L30*30/100),50)</f>
        <v>2800</v>
      </c>
      <c r="P30" s="108" t="s">
        <v>10</v>
      </c>
      <c r="Q30" s="108" t="s">
        <v>23</v>
      </c>
      <c r="R30" s="108" t="s">
        <v>512</v>
      </c>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row>
    <row r="31" spans="1:48" s="4" customFormat="1" ht="21.75" x14ac:dyDescent="0.2">
      <c r="A31" s="108"/>
      <c r="B31" s="108"/>
      <c r="C31" s="50" t="s">
        <v>16</v>
      </c>
      <c r="D31" s="50">
        <f t="shared" ref="D31" si="17">D30*50/100</f>
        <v>2500</v>
      </c>
      <c r="E31" s="51">
        <f t="shared" ref="E31:O31" si="18">MROUND(E30*50/100,50)</f>
        <v>2250</v>
      </c>
      <c r="F31" s="51">
        <f t="shared" si="18"/>
        <v>2000</v>
      </c>
      <c r="G31" s="51">
        <f t="shared" si="18"/>
        <v>1750</v>
      </c>
      <c r="H31" s="51">
        <f t="shared" si="18"/>
        <v>2250</v>
      </c>
      <c r="I31" s="51">
        <f t="shared" si="18"/>
        <v>2050</v>
      </c>
      <c r="J31" s="51">
        <f t="shared" si="18"/>
        <v>1800</v>
      </c>
      <c r="K31" s="51">
        <f t="shared" si="18"/>
        <v>1600</v>
      </c>
      <c r="L31" s="51">
        <f t="shared" si="18"/>
        <v>2000</v>
      </c>
      <c r="M31" s="51">
        <f t="shared" si="18"/>
        <v>1800</v>
      </c>
      <c r="N31" s="51">
        <f t="shared" si="18"/>
        <v>1600</v>
      </c>
      <c r="O31" s="51">
        <f t="shared" si="18"/>
        <v>1400</v>
      </c>
      <c r="P31" s="108"/>
      <c r="Q31" s="108"/>
      <c r="R31" s="108"/>
    </row>
    <row r="32" spans="1:48" s="4" customFormat="1" ht="21.75" x14ac:dyDescent="0.2">
      <c r="A32" s="57" t="s">
        <v>461</v>
      </c>
      <c r="B32" s="51" t="s">
        <v>114</v>
      </c>
      <c r="C32" s="59" t="s">
        <v>24</v>
      </c>
      <c r="D32" s="107">
        <v>24000</v>
      </c>
      <c r="E32" s="107">
        <f>D32-(D32*10/100)</f>
        <v>21600</v>
      </c>
      <c r="F32" s="107">
        <f>D32-(D32*20/100)</f>
        <v>19200</v>
      </c>
      <c r="G32" s="107">
        <f>D32-(D32*30/100)</f>
        <v>16800</v>
      </c>
      <c r="H32" s="107">
        <f>D32-(D32*20/100)</f>
        <v>19200</v>
      </c>
      <c r="I32" s="107"/>
      <c r="J32" s="107"/>
      <c r="K32" s="107"/>
      <c r="L32" s="107">
        <f>D32-(D32*40/100)</f>
        <v>14400</v>
      </c>
      <c r="M32" s="107"/>
      <c r="N32" s="107"/>
      <c r="O32" s="107"/>
      <c r="P32" s="50" t="s">
        <v>9</v>
      </c>
      <c r="Q32" s="51" t="s">
        <v>23</v>
      </c>
      <c r="R32" s="66" t="s">
        <v>505</v>
      </c>
    </row>
    <row r="33" spans="1:48" s="29" customFormat="1" ht="43.5" x14ac:dyDescent="0.2">
      <c r="A33" s="57" t="s">
        <v>305</v>
      </c>
      <c r="B33" s="51" t="s">
        <v>100</v>
      </c>
      <c r="C33" s="59" t="s">
        <v>24</v>
      </c>
      <c r="D33" s="107">
        <v>16000</v>
      </c>
      <c r="E33" s="107"/>
      <c r="F33" s="107"/>
      <c r="G33" s="107"/>
      <c r="H33" s="107">
        <f t="shared" ref="H33" si="19">D33-(D33*20/100)</f>
        <v>12800</v>
      </c>
      <c r="I33" s="107"/>
      <c r="J33" s="107"/>
      <c r="K33" s="107"/>
      <c r="L33" s="107">
        <f t="shared" ref="L33" si="20">D33-(D33*40/100)</f>
        <v>9600</v>
      </c>
      <c r="M33" s="107"/>
      <c r="N33" s="107"/>
      <c r="O33" s="107"/>
      <c r="P33" s="50" t="s">
        <v>9</v>
      </c>
      <c r="Q33" s="51" t="s">
        <v>23</v>
      </c>
      <c r="R33" s="86" t="s">
        <v>509</v>
      </c>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row>
    <row r="34" spans="1:48" s="15" customFormat="1" ht="42.75" customHeight="1" x14ac:dyDescent="0.2">
      <c r="A34" s="57" t="s">
        <v>306</v>
      </c>
      <c r="B34" s="45" t="s">
        <v>432</v>
      </c>
      <c r="C34" s="34" t="s">
        <v>13</v>
      </c>
      <c r="D34" s="107">
        <v>16000</v>
      </c>
      <c r="E34" s="107">
        <f>D34-(D34*10/100)</f>
        <v>14400</v>
      </c>
      <c r="F34" s="107">
        <f>D34-(D34*20/100)</f>
        <v>12800</v>
      </c>
      <c r="G34" s="107">
        <f>D34-(D34*30/100)</f>
        <v>11200</v>
      </c>
      <c r="H34" s="107">
        <f>D34-(D34*20/100)</f>
        <v>12800</v>
      </c>
      <c r="I34" s="107"/>
      <c r="J34" s="107"/>
      <c r="K34" s="107"/>
      <c r="L34" s="107">
        <f>D34-(D34*40/100)</f>
        <v>9600</v>
      </c>
      <c r="M34" s="107"/>
      <c r="N34" s="107"/>
      <c r="O34" s="107"/>
      <c r="P34" s="51" t="s">
        <v>9</v>
      </c>
      <c r="Q34" s="49" t="s">
        <v>401</v>
      </c>
      <c r="R34" s="66" t="s">
        <v>505</v>
      </c>
    </row>
    <row r="35" spans="1:48" s="28" customFormat="1" ht="21.75" x14ac:dyDescent="0.2">
      <c r="A35" s="57" t="s">
        <v>307</v>
      </c>
      <c r="B35" s="34" t="s">
        <v>32</v>
      </c>
      <c r="C35" s="59" t="s">
        <v>24</v>
      </c>
      <c r="D35" s="107">
        <v>5000</v>
      </c>
      <c r="E35" s="107"/>
      <c r="F35" s="107"/>
      <c r="G35" s="107"/>
      <c r="H35" s="107">
        <f>D35-(D35*20/100)</f>
        <v>4000</v>
      </c>
      <c r="I35" s="107"/>
      <c r="J35" s="107"/>
      <c r="K35" s="107"/>
      <c r="L35" s="107">
        <f>D35-(D35*40/100)</f>
        <v>3000</v>
      </c>
      <c r="M35" s="107"/>
      <c r="N35" s="107"/>
      <c r="O35" s="107"/>
      <c r="P35" s="50" t="s">
        <v>9</v>
      </c>
      <c r="Q35" s="51" t="s">
        <v>23</v>
      </c>
      <c r="R35" s="97" t="s">
        <v>521</v>
      </c>
      <c r="T35" s="9"/>
      <c r="U35" s="9"/>
      <c r="V35" s="9"/>
      <c r="W35" s="9"/>
    </row>
    <row r="36" spans="1:48" s="28" customFormat="1" ht="21.75" customHeight="1" x14ac:dyDescent="0.2">
      <c r="A36" s="124" t="s">
        <v>328</v>
      </c>
      <c r="B36" s="107" t="s">
        <v>64</v>
      </c>
      <c r="C36" s="51" t="s">
        <v>14</v>
      </c>
      <c r="D36" s="51">
        <v>5000</v>
      </c>
      <c r="E36" s="51">
        <f>MROUND(D36-(D36*10/100),50)</f>
        <v>4500</v>
      </c>
      <c r="F36" s="51">
        <f>MROUND(D36-(D36*20/100),50)</f>
        <v>4000</v>
      </c>
      <c r="G36" s="51">
        <f>MROUND(D36-(D36*30/100),50)</f>
        <v>3500</v>
      </c>
      <c r="H36" s="51">
        <f>MROUND(D36-(D36*10/100),50)</f>
        <v>4500</v>
      </c>
      <c r="I36" s="51">
        <f>MROUND(H36-(H36*10/100),50)</f>
        <v>4050</v>
      </c>
      <c r="J36" s="51">
        <f>MROUND(H36-(H36*20/100),50)</f>
        <v>3600</v>
      </c>
      <c r="K36" s="51">
        <f>MROUND(H36-(H36*30/100),50)</f>
        <v>3150</v>
      </c>
      <c r="L36" s="51">
        <f>MROUND(D36-(D36*20/100),50)</f>
        <v>4000</v>
      </c>
      <c r="M36" s="51">
        <f>MROUND(L36-(L36*10/100),50)</f>
        <v>3600</v>
      </c>
      <c r="N36" s="51">
        <f>MROUND(L36-(L36*20/100),50)</f>
        <v>3200</v>
      </c>
      <c r="O36" s="51">
        <f>MROUND(L36-(L36*30/100),50)</f>
        <v>2800</v>
      </c>
      <c r="P36" s="107" t="s">
        <v>10</v>
      </c>
      <c r="Q36" s="107" t="s">
        <v>23</v>
      </c>
      <c r="R36" s="113" t="s">
        <v>507</v>
      </c>
      <c r="S36" s="9"/>
      <c r="T36" s="9"/>
      <c r="U36" s="9"/>
      <c r="V36" s="9"/>
      <c r="W36" s="9"/>
    </row>
    <row r="37" spans="1:48" s="28" customFormat="1" ht="43.5" customHeight="1" x14ac:dyDescent="0.2">
      <c r="A37" s="124"/>
      <c r="B37" s="107"/>
      <c r="C37" s="51" t="s">
        <v>15</v>
      </c>
      <c r="D37" s="51">
        <f>D36*50/100</f>
        <v>2500</v>
      </c>
      <c r="E37" s="51">
        <f t="shared" ref="E37:O37" si="21">MROUND(E36*50/100,50)</f>
        <v>2250</v>
      </c>
      <c r="F37" s="51">
        <f t="shared" si="21"/>
        <v>2000</v>
      </c>
      <c r="G37" s="51">
        <f t="shared" si="21"/>
        <v>1750</v>
      </c>
      <c r="H37" s="51">
        <f t="shared" si="21"/>
        <v>2250</v>
      </c>
      <c r="I37" s="51">
        <f t="shared" si="21"/>
        <v>2050</v>
      </c>
      <c r="J37" s="51">
        <f t="shared" si="21"/>
        <v>1800</v>
      </c>
      <c r="K37" s="51">
        <f t="shared" si="21"/>
        <v>1600</v>
      </c>
      <c r="L37" s="51">
        <f t="shared" si="21"/>
        <v>2000</v>
      </c>
      <c r="M37" s="51">
        <f t="shared" si="21"/>
        <v>1800</v>
      </c>
      <c r="N37" s="51">
        <f t="shared" si="21"/>
        <v>1600</v>
      </c>
      <c r="O37" s="51">
        <f t="shared" si="21"/>
        <v>1400</v>
      </c>
      <c r="P37" s="107"/>
      <c r="Q37" s="107"/>
      <c r="R37" s="113"/>
      <c r="S37" s="9"/>
      <c r="T37" s="9"/>
      <c r="U37" s="9"/>
      <c r="V37" s="9"/>
      <c r="W37" s="9"/>
    </row>
    <row r="38" spans="1:48" s="28" customFormat="1" ht="43.5" x14ac:dyDescent="0.2">
      <c r="A38" s="57" t="s">
        <v>308</v>
      </c>
      <c r="B38" s="51" t="s">
        <v>65</v>
      </c>
      <c r="C38" s="34" t="s">
        <v>13</v>
      </c>
      <c r="D38" s="107">
        <v>5000</v>
      </c>
      <c r="E38" s="107"/>
      <c r="F38" s="107"/>
      <c r="G38" s="107"/>
      <c r="H38" s="107">
        <f>D38-(D38*20/100)</f>
        <v>4000</v>
      </c>
      <c r="I38" s="107"/>
      <c r="J38" s="107"/>
      <c r="K38" s="107"/>
      <c r="L38" s="107">
        <f>D38-(D38*40/100)</f>
        <v>3000</v>
      </c>
      <c r="M38" s="107"/>
      <c r="N38" s="107"/>
      <c r="O38" s="107"/>
      <c r="P38" s="51" t="s">
        <v>9</v>
      </c>
      <c r="Q38" s="50" t="s">
        <v>23</v>
      </c>
      <c r="R38" s="63" t="s">
        <v>507</v>
      </c>
      <c r="S38" s="9"/>
      <c r="T38" s="9"/>
      <c r="U38" s="9"/>
      <c r="V38" s="9"/>
      <c r="W38" s="9"/>
    </row>
    <row r="39" spans="1:48" s="28" customFormat="1" ht="43.5" x14ac:dyDescent="0.2">
      <c r="A39" s="57" t="s">
        <v>309</v>
      </c>
      <c r="B39" s="49" t="s">
        <v>436</v>
      </c>
      <c r="C39" s="34" t="s">
        <v>13</v>
      </c>
      <c r="D39" s="107">
        <v>20000</v>
      </c>
      <c r="E39" s="107"/>
      <c r="F39" s="107"/>
      <c r="G39" s="107"/>
      <c r="H39" s="107">
        <f>D39-(D39*20/100)</f>
        <v>16000</v>
      </c>
      <c r="I39" s="107"/>
      <c r="J39" s="107"/>
      <c r="K39" s="107"/>
      <c r="L39" s="107">
        <f>D39-(D39*40/100)</f>
        <v>12000</v>
      </c>
      <c r="M39" s="107"/>
      <c r="N39" s="107"/>
      <c r="O39" s="107"/>
      <c r="P39" s="51" t="s">
        <v>9</v>
      </c>
      <c r="Q39" s="50" t="s">
        <v>23</v>
      </c>
      <c r="R39" s="68" t="s">
        <v>508</v>
      </c>
      <c r="S39" s="9"/>
      <c r="T39" s="9"/>
      <c r="U39" s="9"/>
      <c r="V39" s="9"/>
      <c r="W39" s="9"/>
    </row>
    <row r="40" spans="1:48" s="28" customFormat="1" ht="57" customHeight="1" x14ac:dyDescent="0.2">
      <c r="A40" s="57" t="s">
        <v>310</v>
      </c>
      <c r="B40" s="51" t="s">
        <v>422</v>
      </c>
      <c r="C40" s="34" t="s">
        <v>13</v>
      </c>
      <c r="D40" s="107">
        <v>24000</v>
      </c>
      <c r="E40" s="107">
        <f t="shared" ref="E40:E41" si="22">D40-(D40*10/100)</f>
        <v>21600</v>
      </c>
      <c r="F40" s="107">
        <f t="shared" ref="F40:F41" si="23">D40-(D40*20/100)</f>
        <v>19200</v>
      </c>
      <c r="G40" s="107">
        <f t="shared" ref="G40:G41" si="24">D40-(D40*30/100)</f>
        <v>16800</v>
      </c>
      <c r="H40" s="107">
        <f t="shared" ref="H40:H41" si="25">D40-(D40*20/100)</f>
        <v>19200</v>
      </c>
      <c r="I40" s="107"/>
      <c r="J40" s="107"/>
      <c r="K40" s="107"/>
      <c r="L40" s="107">
        <f t="shared" ref="L40:L41" si="26">D40-(D40*40/100)</f>
        <v>14400</v>
      </c>
      <c r="M40" s="107"/>
      <c r="N40" s="107"/>
      <c r="O40" s="107"/>
      <c r="P40" s="51" t="s">
        <v>9</v>
      </c>
      <c r="Q40" s="50" t="s">
        <v>23</v>
      </c>
      <c r="R40" s="68" t="s">
        <v>508</v>
      </c>
      <c r="S40" s="9"/>
      <c r="T40" s="9"/>
      <c r="U40" s="9"/>
      <c r="V40" s="9"/>
      <c r="W40" s="9"/>
    </row>
    <row r="41" spans="1:48" ht="39.950000000000003" customHeight="1" x14ac:dyDescent="0.2">
      <c r="A41" s="57" t="s">
        <v>311</v>
      </c>
      <c r="B41" s="49" t="s">
        <v>457</v>
      </c>
      <c r="C41" s="34" t="s">
        <v>13</v>
      </c>
      <c r="D41" s="107">
        <v>40000</v>
      </c>
      <c r="E41" s="107">
        <f t="shared" si="22"/>
        <v>36000</v>
      </c>
      <c r="F41" s="107">
        <f t="shared" si="23"/>
        <v>32000</v>
      </c>
      <c r="G41" s="107">
        <f t="shared" si="24"/>
        <v>28000</v>
      </c>
      <c r="H41" s="107">
        <f t="shared" si="25"/>
        <v>32000</v>
      </c>
      <c r="I41" s="107"/>
      <c r="J41" s="107"/>
      <c r="K41" s="107"/>
      <c r="L41" s="107">
        <f t="shared" si="26"/>
        <v>24000</v>
      </c>
      <c r="M41" s="107"/>
      <c r="N41" s="107"/>
      <c r="O41" s="107"/>
      <c r="P41" s="51" t="s">
        <v>9</v>
      </c>
      <c r="Q41" s="50" t="s">
        <v>23</v>
      </c>
      <c r="R41" s="68" t="s">
        <v>508</v>
      </c>
    </row>
    <row r="42" spans="1:48" s="6" customFormat="1" ht="39.950000000000003" customHeight="1" x14ac:dyDescent="0.2">
      <c r="A42" s="57" t="s">
        <v>312</v>
      </c>
      <c r="B42" s="51" t="s">
        <v>101</v>
      </c>
      <c r="C42" s="59" t="s">
        <v>24</v>
      </c>
      <c r="D42" s="107">
        <v>15000</v>
      </c>
      <c r="E42" s="107"/>
      <c r="F42" s="107"/>
      <c r="G42" s="107"/>
      <c r="H42" s="107">
        <v>12000</v>
      </c>
      <c r="I42" s="107"/>
      <c r="J42" s="107"/>
      <c r="K42" s="107"/>
      <c r="L42" s="107">
        <v>9600</v>
      </c>
      <c r="M42" s="107"/>
      <c r="N42" s="107"/>
      <c r="O42" s="107"/>
      <c r="P42" s="50" t="s">
        <v>9</v>
      </c>
      <c r="Q42" s="59" t="s">
        <v>23</v>
      </c>
      <c r="R42" s="68" t="s">
        <v>508</v>
      </c>
    </row>
    <row r="43" spans="1:48" s="21" customFormat="1" ht="39.950000000000003" customHeight="1" x14ac:dyDescent="0.2">
      <c r="A43" s="57" t="s">
        <v>313</v>
      </c>
      <c r="B43" s="51" t="s">
        <v>116</v>
      </c>
      <c r="C43" s="51" t="s">
        <v>24</v>
      </c>
      <c r="D43" s="107">
        <v>5000</v>
      </c>
      <c r="E43" s="107">
        <f t="shared" ref="E43:E44" si="27">D43-(D43*10/100)</f>
        <v>4500</v>
      </c>
      <c r="F43" s="107">
        <f t="shared" ref="F43:F44" si="28">D43-(D43*20/100)</f>
        <v>4000</v>
      </c>
      <c r="G43" s="107">
        <f t="shared" ref="G43:G44" si="29">D43-(D43*30/100)</f>
        <v>3500</v>
      </c>
      <c r="H43" s="107">
        <f>D43-(D43*20/100)</f>
        <v>4000</v>
      </c>
      <c r="I43" s="107"/>
      <c r="J43" s="107"/>
      <c r="K43" s="107"/>
      <c r="L43" s="107">
        <f>D43-(D43*40/100)</f>
        <v>3000</v>
      </c>
      <c r="M43" s="107"/>
      <c r="N43" s="107"/>
      <c r="O43" s="107"/>
      <c r="P43" s="51" t="s">
        <v>9</v>
      </c>
      <c r="Q43" s="43" t="s">
        <v>404</v>
      </c>
      <c r="R43" s="66" t="s">
        <v>505</v>
      </c>
    </row>
    <row r="44" spans="1:48" s="17" customFormat="1" ht="18.75" customHeight="1" x14ac:dyDescent="0.2">
      <c r="A44" s="57" t="s">
        <v>314</v>
      </c>
      <c r="B44" s="51" t="s">
        <v>102</v>
      </c>
      <c r="C44" s="51" t="s">
        <v>24</v>
      </c>
      <c r="D44" s="107">
        <v>5000</v>
      </c>
      <c r="E44" s="107">
        <f t="shared" si="27"/>
        <v>4500</v>
      </c>
      <c r="F44" s="107">
        <f t="shared" si="28"/>
        <v>4000</v>
      </c>
      <c r="G44" s="107">
        <f t="shared" si="29"/>
        <v>3500</v>
      </c>
      <c r="H44" s="107">
        <f>D44-(D44*20/100)</f>
        <v>4000</v>
      </c>
      <c r="I44" s="107"/>
      <c r="J44" s="107"/>
      <c r="K44" s="107"/>
      <c r="L44" s="107">
        <f>D44-(D44*40/100)</f>
        <v>3000</v>
      </c>
      <c r="M44" s="107"/>
      <c r="N44" s="107"/>
      <c r="O44" s="107"/>
      <c r="P44" s="51" t="s">
        <v>9</v>
      </c>
      <c r="Q44" s="43" t="s">
        <v>404</v>
      </c>
      <c r="R44" s="66" t="s">
        <v>505</v>
      </c>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row>
    <row r="45" spans="1:48" s="17" customFormat="1" ht="21.75" customHeight="1" x14ac:dyDescent="0.2">
      <c r="A45" s="124" t="s">
        <v>315</v>
      </c>
      <c r="B45" s="113" t="s">
        <v>423</v>
      </c>
      <c r="C45" s="50" t="s">
        <v>14</v>
      </c>
      <c r="D45" s="50">
        <v>1000</v>
      </c>
      <c r="E45" s="50">
        <f t="shared" ref="E45" si="30">MROUND(D45-(D45*10/100),50)</f>
        <v>900</v>
      </c>
      <c r="F45" s="50">
        <f t="shared" ref="F45" si="31">MROUND(D45-(D45*20/100),50)</f>
        <v>800</v>
      </c>
      <c r="G45" s="50">
        <f t="shared" ref="G45" si="32">MROUND(D45-(D45*30/100),50)</f>
        <v>700</v>
      </c>
      <c r="H45" s="50">
        <f t="shared" ref="H45" si="33">MROUND(D45-(D45*10/100),50)</f>
        <v>900</v>
      </c>
      <c r="I45" s="50">
        <f t="shared" ref="I45" si="34">MROUND(H45-(H45*10/100),50)</f>
        <v>800</v>
      </c>
      <c r="J45" s="50">
        <f t="shared" ref="J45" si="35">MROUND(H45-(H45*20/100),50)</f>
        <v>700</v>
      </c>
      <c r="K45" s="50">
        <f t="shared" ref="K45" si="36">MROUND(H45-(H45*30/100),50)</f>
        <v>650</v>
      </c>
      <c r="L45" s="50">
        <f t="shared" ref="L45" si="37">MROUND(D45-(D45*20/100),50)</f>
        <v>800</v>
      </c>
      <c r="M45" s="50">
        <f t="shared" ref="M45" si="38">MROUND(L45-(L45*10/100),50)</f>
        <v>700</v>
      </c>
      <c r="N45" s="50">
        <f t="shared" ref="N45" si="39">MROUND(L45-(L45*20/100),50)</f>
        <v>650</v>
      </c>
      <c r="O45" s="50">
        <f t="shared" ref="O45" si="40">MROUND(L45-(L45*30/100),50)</f>
        <v>550</v>
      </c>
      <c r="P45" s="108" t="s">
        <v>10</v>
      </c>
      <c r="Q45" s="113" t="s">
        <v>394</v>
      </c>
      <c r="R45" s="113" t="s">
        <v>516</v>
      </c>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row>
    <row r="46" spans="1:48" ht="21.75" x14ac:dyDescent="0.2">
      <c r="A46" s="124"/>
      <c r="B46" s="113"/>
      <c r="C46" s="50" t="s">
        <v>15</v>
      </c>
      <c r="D46" s="50">
        <f t="shared" ref="D46" si="41">D45*50/100</f>
        <v>500</v>
      </c>
      <c r="E46" s="50">
        <f t="shared" ref="E46:O46" si="42">MROUND(E45*50/100,50)</f>
        <v>450</v>
      </c>
      <c r="F46" s="50">
        <f t="shared" si="42"/>
        <v>400</v>
      </c>
      <c r="G46" s="50">
        <f t="shared" si="42"/>
        <v>350</v>
      </c>
      <c r="H46" s="50">
        <f t="shared" si="42"/>
        <v>450</v>
      </c>
      <c r="I46" s="50">
        <f t="shared" si="42"/>
        <v>400</v>
      </c>
      <c r="J46" s="50">
        <f t="shared" si="42"/>
        <v>350</v>
      </c>
      <c r="K46" s="50">
        <f t="shared" si="42"/>
        <v>350</v>
      </c>
      <c r="L46" s="50">
        <f t="shared" si="42"/>
        <v>400</v>
      </c>
      <c r="M46" s="50">
        <f t="shared" si="42"/>
        <v>350</v>
      </c>
      <c r="N46" s="50">
        <f t="shared" si="42"/>
        <v>350</v>
      </c>
      <c r="O46" s="50">
        <f t="shared" si="42"/>
        <v>300</v>
      </c>
      <c r="P46" s="108"/>
      <c r="Q46" s="113"/>
      <c r="R46" s="113"/>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row>
    <row r="47" spans="1:48" s="17" customFormat="1" ht="21.75" x14ac:dyDescent="0.2">
      <c r="A47" s="57" t="s">
        <v>316</v>
      </c>
      <c r="B47" s="60" t="s">
        <v>74</v>
      </c>
      <c r="C47" s="59" t="s">
        <v>24</v>
      </c>
      <c r="D47" s="107">
        <v>20000</v>
      </c>
      <c r="E47" s="107">
        <f t="shared" ref="E47:E48" si="43">D47-(D47*10/100)</f>
        <v>18000</v>
      </c>
      <c r="F47" s="107">
        <f t="shared" ref="F47:F48" si="44">D47-(D47*20/100)</f>
        <v>16000</v>
      </c>
      <c r="G47" s="107">
        <f t="shared" ref="G47:G48" si="45">D47-(D47*30/100)</f>
        <v>14000</v>
      </c>
      <c r="H47" s="107">
        <f>D47-(D47*20/100)</f>
        <v>16000</v>
      </c>
      <c r="I47" s="107"/>
      <c r="J47" s="107"/>
      <c r="K47" s="107"/>
      <c r="L47" s="107">
        <f>D47-(D47*40/100)</f>
        <v>12000</v>
      </c>
      <c r="M47" s="107"/>
      <c r="N47" s="107"/>
      <c r="O47" s="107"/>
      <c r="P47" s="50" t="s">
        <v>9</v>
      </c>
      <c r="Q47" s="50" t="s">
        <v>23</v>
      </c>
      <c r="R47" s="63" t="s">
        <v>505</v>
      </c>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row>
    <row r="48" spans="1:48" s="21" customFormat="1" ht="39.950000000000003" customHeight="1" x14ac:dyDescent="0.2">
      <c r="A48" s="57" t="s">
        <v>317</v>
      </c>
      <c r="B48" s="42" t="s">
        <v>424</v>
      </c>
      <c r="C48" s="37" t="s">
        <v>13</v>
      </c>
      <c r="D48" s="107">
        <v>10000</v>
      </c>
      <c r="E48" s="107">
        <f t="shared" si="43"/>
        <v>9000</v>
      </c>
      <c r="F48" s="107">
        <f t="shared" si="44"/>
        <v>8000</v>
      </c>
      <c r="G48" s="107">
        <f t="shared" si="45"/>
        <v>7000</v>
      </c>
      <c r="H48" s="107">
        <f>D48-(D48*20/100)</f>
        <v>8000</v>
      </c>
      <c r="I48" s="107"/>
      <c r="J48" s="107"/>
      <c r="K48" s="107"/>
      <c r="L48" s="107">
        <f>D48-(D48*40/100)</f>
        <v>6000</v>
      </c>
      <c r="M48" s="107"/>
      <c r="N48" s="107"/>
      <c r="O48" s="107"/>
      <c r="P48" s="50" t="s">
        <v>9</v>
      </c>
      <c r="Q48" s="50" t="s">
        <v>23</v>
      </c>
      <c r="R48" s="63" t="s">
        <v>505</v>
      </c>
    </row>
    <row r="49" spans="1:48" s="21" customFormat="1" ht="39.950000000000003" customHeight="1" x14ac:dyDescent="0.2">
      <c r="A49" s="124" t="s">
        <v>318</v>
      </c>
      <c r="B49" s="123" t="s">
        <v>425</v>
      </c>
      <c r="C49" s="51" t="s">
        <v>14</v>
      </c>
      <c r="D49" s="51">
        <v>5000</v>
      </c>
      <c r="E49" s="51">
        <f>MROUND(D49-(D49*10/100),50)</f>
        <v>4500</v>
      </c>
      <c r="F49" s="51">
        <f>MROUND(D49-(D49*20/100),50)</f>
        <v>4000</v>
      </c>
      <c r="G49" s="51">
        <f>MROUND(D49-(D49*30/100),50)</f>
        <v>3500</v>
      </c>
      <c r="H49" s="51">
        <f>MROUND(D49-(D49*10/100),50)</f>
        <v>4500</v>
      </c>
      <c r="I49" s="51">
        <f>MROUND(H49-(H49*10/100),50)</f>
        <v>4050</v>
      </c>
      <c r="J49" s="51">
        <f>MROUND(H49-(H49*20/100),50)</f>
        <v>3600</v>
      </c>
      <c r="K49" s="51">
        <f>MROUND(H49-(H49*30/100),50)</f>
        <v>3150</v>
      </c>
      <c r="L49" s="51">
        <f>MROUND(D49-(D49*20/100),50)</f>
        <v>4000</v>
      </c>
      <c r="M49" s="51">
        <f>MROUND(L49-(L49*10/100),50)</f>
        <v>3600</v>
      </c>
      <c r="N49" s="51">
        <f>MROUND(L49-(L49*20/100),50)</f>
        <v>3200</v>
      </c>
      <c r="O49" s="51">
        <f>MROUND(L49-(L49*30/100),50)</f>
        <v>2800</v>
      </c>
      <c r="P49" s="107" t="s">
        <v>10</v>
      </c>
      <c r="Q49" s="107" t="s">
        <v>23</v>
      </c>
      <c r="R49" s="113" t="s">
        <v>505</v>
      </c>
    </row>
    <row r="50" spans="1:48" s="4" customFormat="1" ht="34.5" customHeight="1" x14ac:dyDescent="0.2">
      <c r="A50" s="124"/>
      <c r="B50" s="123"/>
      <c r="C50" s="51" t="s">
        <v>16</v>
      </c>
      <c r="D50" s="51">
        <f t="shared" ref="D50" si="46">D49*50/100</f>
        <v>2500</v>
      </c>
      <c r="E50" s="51">
        <f t="shared" ref="E50:O50" si="47">MROUND(E49*50/100,50)</f>
        <v>2250</v>
      </c>
      <c r="F50" s="51">
        <f t="shared" si="47"/>
        <v>2000</v>
      </c>
      <c r="G50" s="51">
        <f t="shared" si="47"/>
        <v>1750</v>
      </c>
      <c r="H50" s="51">
        <f t="shared" si="47"/>
        <v>2250</v>
      </c>
      <c r="I50" s="51">
        <f t="shared" si="47"/>
        <v>2050</v>
      </c>
      <c r="J50" s="51">
        <f t="shared" si="47"/>
        <v>1800</v>
      </c>
      <c r="K50" s="51">
        <f t="shared" si="47"/>
        <v>1600</v>
      </c>
      <c r="L50" s="51">
        <f t="shared" si="47"/>
        <v>2000</v>
      </c>
      <c r="M50" s="51">
        <f t="shared" si="47"/>
        <v>1800</v>
      </c>
      <c r="N50" s="51">
        <f t="shared" si="47"/>
        <v>1600</v>
      </c>
      <c r="O50" s="51">
        <f t="shared" si="47"/>
        <v>1400</v>
      </c>
      <c r="P50" s="107"/>
      <c r="Q50" s="107"/>
      <c r="R50" s="113"/>
    </row>
    <row r="51" spans="1:48" s="20" customFormat="1" ht="18" customHeight="1" x14ac:dyDescent="0.2">
      <c r="A51" s="57" t="s">
        <v>319</v>
      </c>
      <c r="B51" s="49" t="s">
        <v>473</v>
      </c>
      <c r="C51" s="37" t="s">
        <v>13</v>
      </c>
      <c r="D51" s="107">
        <v>5000</v>
      </c>
      <c r="E51" s="107"/>
      <c r="F51" s="107"/>
      <c r="G51" s="107"/>
      <c r="H51" s="107">
        <f>D51-(D51*20/100)</f>
        <v>4000</v>
      </c>
      <c r="I51" s="107"/>
      <c r="J51" s="107"/>
      <c r="K51" s="107"/>
      <c r="L51" s="107">
        <f>D51-(D51*40/100)</f>
        <v>3000</v>
      </c>
      <c r="M51" s="107"/>
      <c r="N51" s="107"/>
      <c r="O51" s="107"/>
      <c r="P51" s="50" t="s">
        <v>9</v>
      </c>
      <c r="Q51" s="49" t="s">
        <v>445</v>
      </c>
      <c r="R51" s="66" t="s">
        <v>509</v>
      </c>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row>
    <row r="52" spans="1:48" s="20" customFormat="1" ht="18" customHeight="1" x14ac:dyDescent="0.2">
      <c r="A52" s="124" t="s">
        <v>320</v>
      </c>
      <c r="B52" s="107" t="s">
        <v>137</v>
      </c>
      <c r="C52" s="51" t="s">
        <v>14</v>
      </c>
      <c r="D52" s="51">
        <v>5000</v>
      </c>
      <c r="E52" s="51">
        <f>MROUND(D52-(D52*10/100),50)</f>
        <v>4500</v>
      </c>
      <c r="F52" s="51">
        <f>MROUND(D52-(D52*20/100),50)</f>
        <v>4000</v>
      </c>
      <c r="G52" s="51">
        <f>MROUND(D52-(D52*30/100),50)</f>
        <v>3500</v>
      </c>
      <c r="H52" s="51">
        <f>MROUND(D52-(D52*10/100),50)</f>
        <v>4500</v>
      </c>
      <c r="I52" s="51">
        <f>MROUND(H52-(H52*10/100),50)</f>
        <v>4050</v>
      </c>
      <c r="J52" s="51">
        <f>MROUND(H52-(H52*20/100),50)</f>
        <v>3600</v>
      </c>
      <c r="K52" s="51">
        <f>MROUND(H52-(H52*30/100),50)</f>
        <v>3150</v>
      </c>
      <c r="L52" s="51">
        <f>MROUND(D52-(D52*20/100),50)</f>
        <v>4000</v>
      </c>
      <c r="M52" s="51">
        <f>MROUND(L52-(L52*10/100),50)</f>
        <v>3600</v>
      </c>
      <c r="N52" s="51">
        <f>MROUND(L52-(L52*20/100),50)</f>
        <v>3200</v>
      </c>
      <c r="O52" s="51">
        <f>MROUND(L52-(L52*30/100),50)</f>
        <v>2800</v>
      </c>
      <c r="P52" s="107" t="s">
        <v>10</v>
      </c>
      <c r="Q52" s="107" t="s">
        <v>23</v>
      </c>
      <c r="R52" s="113" t="s">
        <v>509</v>
      </c>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row>
    <row r="53" spans="1:48" ht="43.5" customHeight="1" x14ac:dyDescent="0.2">
      <c r="A53" s="124"/>
      <c r="B53" s="107"/>
      <c r="C53" s="51" t="s">
        <v>16</v>
      </c>
      <c r="D53" s="51">
        <f t="shared" ref="D53" si="48">D52*50/100</f>
        <v>2500</v>
      </c>
      <c r="E53" s="51">
        <f t="shared" ref="E53:O53" si="49">MROUND(E52*50/100,50)</f>
        <v>2250</v>
      </c>
      <c r="F53" s="51">
        <f t="shared" si="49"/>
        <v>2000</v>
      </c>
      <c r="G53" s="51">
        <f t="shared" si="49"/>
        <v>1750</v>
      </c>
      <c r="H53" s="51">
        <f t="shared" si="49"/>
        <v>2250</v>
      </c>
      <c r="I53" s="51">
        <f t="shared" si="49"/>
        <v>2050</v>
      </c>
      <c r="J53" s="51">
        <f t="shared" si="49"/>
        <v>1800</v>
      </c>
      <c r="K53" s="51">
        <f t="shared" si="49"/>
        <v>1600</v>
      </c>
      <c r="L53" s="51">
        <f t="shared" si="49"/>
        <v>2000</v>
      </c>
      <c r="M53" s="51">
        <f t="shared" si="49"/>
        <v>1800</v>
      </c>
      <c r="N53" s="51">
        <f t="shared" si="49"/>
        <v>1600</v>
      </c>
      <c r="O53" s="51">
        <f t="shared" si="49"/>
        <v>1400</v>
      </c>
      <c r="P53" s="107"/>
      <c r="Q53" s="107"/>
      <c r="R53" s="113"/>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row>
    <row r="54" spans="1:48" s="4" customFormat="1" ht="43.5" customHeight="1" x14ac:dyDescent="0.2">
      <c r="A54" s="57" t="s">
        <v>321</v>
      </c>
      <c r="B54" s="50" t="s">
        <v>69</v>
      </c>
      <c r="C54" s="59" t="s">
        <v>24</v>
      </c>
      <c r="D54" s="107">
        <v>5000</v>
      </c>
      <c r="E54" s="107"/>
      <c r="F54" s="107"/>
      <c r="G54" s="107"/>
      <c r="H54" s="107">
        <f>D54-(D54*20/100)</f>
        <v>4000</v>
      </c>
      <c r="I54" s="107"/>
      <c r="J54" s="107"/>
      <c r="K54" s="107"/>
      <c r="L54" s="107">
        <f>D54-(D54*40/100)</f>
        <v>3000</v>
      </c>
      <c r="M54" s="107"/>
      <c r="N54" s="107"/>
      <c r="O54" s="107"/>
      <c r="P54" s="50" t="s">
        <v>9</v>
      </c>
      <c r="Q54" s="50" t="s">
        <v>23</v>
      </c>
      <c r="R54" s="64" t="s">
        <v>510</v>
      </c>
    </row>
    <row r="55" spans="1:48" s="6" customFormat="1" ht="21.75" x14ac:dyDescent="0.2">
      <c r="A55" s="57" t="s">
        <v>329</v>
      </c>
      <c r="B55" s="51" t="s">
        <v>68</v>
      </c>
      <c r="C55" s="59" t="s">
        <v>24</v>
      </c>
      <c r="D55" s="107">
        <v>3000</v>
      </c>
      <c r="E55" s="107">
        <f t="shared" ref="E55" si="50">D55-(D55*10/100)</f>
        <v>2700</v>
      </c>
      <c r="F55" s="107">
        <f t="shared" ref="F55" si="51">D55-(D55*20/100)</f>
        <v>2400</v>
      </c>
      <c r="G55" s="107">
        <f t="shared" ref="G55" si="52">D55-(D55*30/100)</f>
        <v>2100</v>
      </c>
      <c r="H55" s="107">
        <f>D55-(D55*20/100)</f>
        <v>2400</v>
      </c>
      <c r="I55" s="107"/>
      <c r="J55" s="107"/>
      <c r="K55" s="107"/>
      <c r="L55" s="107">
        <f>D55-(D55*40/100)</f>
        <v>1800</v>
      </c>
      <c r="M55" s="107"/>
      <c r="N55" s="107"/>
      <c r="O55" s="107"/>
      <c r="P55" s="50" t="s">
        <v>9</v>
      </c>
      <c r="Q55" s="50" t="s">
        <v>23</v>
      </c>
      <c r="R55" s="64" t="s">
        <v>510</v>
      </c>
    </row>
    <row r="56" spans="1:48" s="6" customFormat="1" ht="45" customHeight="1" x14ac:dyDescent="0.2">
      <c r="A56" s="57" t="s">
        <v>322</v>
      </c>
      <c r="B56" s="49" t="s">
        <v>389</v>
      </c>
      <c r="C56" s="59" t="s">
        <v>24</v>
      </c>
      <c r="D56" s="107">
        <v>5000</v>
      </c>
      <c r="E56" s="107"/>
      <c r="F56" s="107"/>
      <c r="G56" s="107"/>
      <c r="H56" s="107">
        <f>D56-(D56*20/100)</f>
        <v>4000</v>
      </c>
      <c r="I56" s="107"/>
      <c r="J56" s="107"/>
      <c r="K56" s="107"/>
      <c r="L56" s="107">
        <f>D56-(D56*40/100)</f>
        <v>3000</v>
      </c>
      <c r="M56" s="107"/>
      <c r="N56" s="107"/>
      <c r="O56" s="107"/>
      <c r="P56" s="50" t="s">
        <v>9</v>
      </c>
      <c r="Q56" s="50" t="s">
        <v>23</v>
      </c>
      <c r="R56" s="50" t="s">
        <v>505</v>
      </c>
    </row>
    <row r="57" spans="1:48" s="6" customFormat="1" ht="21.75" x14ac:dyDescent="0.2">
      <c r="A57" s="124" t="s">
        <v>323</v>
      </c>
      <c r="B57" s="107" t="s">
        <v>132</v>
      </c>
      <c r="C57" s="51" t="s">
        <v>14</v>
      </c>
      <c r="D57" s="51">
        <v>5000</v>
      </c>
      <c r="E57" s="51">
        <f>MROUND(D57-(D57*10/100),50)</f>
        <v>4500</v>
      </c>
      <c r="F57" s="51">
        <f>MROUND(D57-(D57*20/100),50)</f>
        <v>4000</v>
      </c>
      <c r="G57" s="51">
        <f>MROUND(D57-(D57*30/100),50)</f>
        <v>3500</v>
      </c>
      <c r="H57" s="51">
        <f>MROUND(D57-(D57*10/100),50)</f>
        <v>4500</v>
      </c>
      <c r="I57" s="51">
        <f>MROUND(H57-(H57*10/100),50)</f>
        <v>4050</v>
      </c>
      <c r="J57" s="51">
        <f>MROUND(H57-(H57*20/100),50)</f>
        <v>3600</v>
      </c>
      <c r="K57" s="51">
        <f>MROUND(H57-(H57*30/100),50)</f>
        <v>3150</v>
      </c>
      <c r="L57" s="51">
        <f>MROUND(D57-(D57*20/100),50)</f>
        <v>4000</v>
      </c>
      <c r="M57" s="51">
        <f>MROUND(L57-(L57*10/100),50)</f>
        <v>3600</v>
      </c>
      <c r="N57" s="51">
        <f>MROUND(L57-(L57*20/100),50)</f>
        <v>3200</v>
      </c>
      <c r="O57" s="51">
        <f>MROUND(L57-(L57*30/100),50)</f>
        <v>2800</v>
      </c>
      <c r="P57" s="107" t="s">
        <v>10</v>
      </c>
      <c r="Q57" s="112" t="s">
        <v>396</v>
      </c>
      <c r="R57" s="110" t="s">
        <v>505</v>
      </c>
    </row>
    <row r="58" spans="1:48" s="21" customFormat="1" ht="18.75" customHeight="1" x14ac:dyDescent="0.2">
      <c r="A58" s="124"/>
      <c r="B58" s="107"/>
      <c r="C58" s="51" t="s">
        <v>16</v>
      </c>
      <c r="D58" s="51">
        <f t="shared" ref="D58" si="53">D57*50/100</f>
        <v>2500</v>
      </c>
      <c r="E58" s="51">
        <f t="shared" ref="E58:O58" si="54">MROUND(E57*50/100,50)</f>
        <v>2250</v>
      </c>
      <c r="F58" s="51">
        <f t="shared" si="54"/>
        <v>2000</v>
      </c>
      <c r="G58" s="51">
        <f t="shared" si="54"/>
        <v>1750</v>
      </c>
      <c r="H58" s="51">
        <f t="shared" si="54"/>
        <v>2250</v>
      </c>
      <c r="I58" s="51">
        <f t="shared" si="54"/>
        <v>2050</v>
      </c>
      <c r="J58" s="51">
        <f t="shared" si="54"/>
        <v>1800</v>
      </c>
      <c r="K58" s="51">
        <f t="shared" si="54"/>
        <v>1600</v>
      </c>
      <c r="L58" s="51">
        <f t="shared" si="54"/>
        <v>2000</v>
      </c>
      <c r="M58" s="51">
        <f t="shared" si="54"/>
        <v>1800</v>
      </c>
      <c r="N58" s="51">
        <f t="shared" si="54"/>
        <v>1600</v>
      </c>
      <c r="O58" s="51">
        <f t="shared" si="54"/>
        <v>1400</v>
      </c>
      <c r="P58" s="107"/>
      <c r="Q58" s="112"/>
      <c r="R58" s="111"/>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row>
    <row r="59" spans="1:48" s="21" customFormat="1" ht="44.25" customHeight="1" x14ac:dyDescent="0.2">
      <c r="A59" s="124" t="s">
        <v>324</v>
      </c>
      <c r="B59" s="107" t="s">
        <v>105</v>
      </c>
      <c r="C59" s="51" t="s">
        <v>14</v>
      </c>
      <c r="D59" s="51">
        <v>3000</v>
      </c>
      <c r="E59" s="51">
        <f>MROUND(D59-(D59*10/100),50)</f>
        <v>2700</v>
      </c>
      <c r="F59" s="51">
        <f>MROUND(D59-(D59*20/100),50)</f>
        <v>2400</v>
      </c>
      <c r="G59" s="51">
        <f>MROUND(D59-(D59*30/100),50)</f>
        <v>2100</v>
      </c>
      <c r="H59" s="51">
        <f>MROUND(D59-(D59*10/100),50)</f>
        <v>2700</v>
      </c>
      <c r="I59" s="51">
        <f>MROUND(H59-(H59*10/100),50)</f>
        <v>2450</v>
      </c>
      <c r="J59" s="51">
        <f>MROUND(H59-(H59*20/100),50)</f>
        <v>2150</v>
      </c>
      <c r="K59" s="51">
        <f>MROUND(H59-(H59*30/100),50)</f>
        <v>1900</v>
      </c>
      <c r="L59" s="51">
        <f>MROUND(D59-(D59*20/100),50)</f>
        <v>2400</v>
      </c>
      <c r="M59" s="51">
        <f>MROUND(L59-(L59*10/100),50)</f>
        <v>2150</v>
      </c>
      <c r="N59" s="51">
        <f>MROUND(L59-(L59*20/100),50)</f>
        <v>1900</v>
      </c>
      <c r="O59" s="51">
        <f>MROUND(L59-(L59*30/100),50)</f>
        <v>1700</v>
      </c>
      <c r="P59" s="107" t="s">
        <v>10</v>
      </c>
      <c r="Q59" s="112" t="s">
        <v>406</v>
      </c>
      <c r="R59" s="113" t="s">
        <v>512</v>
      </c>
      <c r="S59" s="4"/>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row>
    <row r="60" spans="1:48" ht="39.950000000000003" customHeight="1" x14ac:dyDescent="0.2">
      <c r="A60" s="124"/>
      <c r="B60" s="107"/>
      <c r="C60" s="51" t="s">
        <v>16</v>
      </c>
      <c r="D60" s="51">
        <f t="shared" ref="D60" si="55">D59*50/100</f>
        <v>1500</v>
      </c>
      <c r="E60" s="51">
        <f t="shared" ref="E60:O60" si="56">MROUND(E59*50/100,50)</f>
        <v>1350</v>
      </c>
      <c r="F60" s="51">
        <f t="shared" si="56"/>
        <v>1200</v>
      </c>
      <c r="G60" s="51">
        <f t="shared" si="56"/>
        <v>1050</v>
      </c>
      <c r="H60" s="51">
        <f t="shared" si="56"/>
        <v>1350</v>
      </c>
      <c r="I60" s="51">
        <f t="shared" si="56"/>
        <v>1250</v>
      </c>
      <c r="J60" s="51">
        <f t="shared" si="56"/>
        <v>1100</v>
      </c>
      <c r="K60" s="51">
        <f t="shared" si="56"/>
        <v>950</v>
      </c>
      <c r="L60" s="51">
        <f t="shared" si="56"/>
        <v>1200</v>
      </c>
      <c r="M60" s="51">
        <f t="shared" si="56"/>
        <v>1100</v>
      </c>
      <c r="N60" s="51">
        <f t="shared" si="56"/>
        <v>950</v>
      </c>
      <c r="O60" s="51">
        <f t="shared" si="56"/>
        <v>850</v>
      </c>
      <c r="P60" s="107"/>
      <c r="Q60" s="112"/>
      <c r="R60" s="113"/>
      <c r="S60" s="4"/>
    </row>
    <row r="61" spans="1:48" ht="39.950000000000003" customHeight="1" x14ac:dyDescent="0.2">
      <c r="A61" s="124" t="s">
        <v>325</v>
      </c>
      <c r="B61" s="107" t="s">
        <v>106</v>
      </c>
      <c r="C61" s="50" t="s">
        <v>59</v>
      </c>
      <c r="D61" s="50">
        <v>2000</v>
      </c>
      <c r="E61" s="50">
        <f>MROUND(D61-(D61*10/100),50)</f>
        <v>1800</v>
      </c>
      <c r="F61" s="50">
        <f>MROUND(D61-(D61*20/100),50)</f>
        <v>1600</v>
      </c>
      <c r="G61" s="50">
        <f>MROUND(D61-(D61*30/100),50)</f>
        <v>1400</v>
      </c>
      <c r="H61" s="50">
        <f>MROUND(D61-(D61*10/100),50)</f>
        <v>1800</v>
      </c>
      <c r="I61" s="50">
        <f>MROUND(H61-(H61*10/100),50)</f>
        <v>1600</v>
      </c>
      <c r="J61" s="50">
        <f>MROUND(H61-(H61*20/100),50)</f>
        <v>1450</v>
      </c>
      <c r="K61" s="50">
        <f>MROUND(H61-(H61*30/100),50)</f>
        <v>1250</v>
      </c>
      <c r="L61" s="50">
        <f>MROUND(D61-(D61*20/100),50)</f>
        <v>1600</v>
      </c>
      <c r="M61" s="50">
        <f>MROUND(L61-(L61*10/100),50)</f>
        <v>1450</v>
      </c>
      <c r="N61" s="50">
        <f>MROUND(L61-(L61*20/100),50)</f>
        <v>1300</v>
      </c>
      <c r="O61" s="50">
        <f>MROUND(L61-(L61*30/100),50)</f>
        <v>1100</v>
      </c>
      <c r="P61" s="108" t="s">
        <v>10</v>
      </c>
      <c r="Q61" s="112" t="s">
        <v>407</v>
      </c>
      <c r="R61" s="113" t="s">
        <v>509</v>
      </c>
      <c r="S61" s="4"/>
    </row>
    <row r="62" spans="1:48" s="29" customFormat="1" ht="21.75" customHeight="1" x14ac:dyDescent="0.2">
      <c r="A62" s="124"/>
      <c r="B62" s="107"/>
      <c r="C62" s="50" t="s">
        <v>16</v>
      </c>
      <c r="D62" s="50">
        <f t="shared" ref="D62" si="57">D61*50/100</f>
        <v>1000</v>
      </c>
      <c r="E62" s="51">
        <f t="shared" ref="E62:O62" si="58">MROUND(E61*50/100,50)</f>
        <v>900</v>
      </c>
      <c r="F62" s="51">
        <f t="shared" si="58"/>
        <v>800</v>
      </c>
      <c r="G62" s="51">
        <f t="shared" si="58"/>
        <v>700</v>
      </c>
      <c r="H62" s="51">
        <f t="shared" si="58"/>
        <v>900</v>
      </c>
      <c r="I62" s="51">
        <f t="shared" si="58"/>
        <v>800</v>
      </c>
      <c r="J62" s="51">
        <f t="shared" si="58"/>
        <v>750</v>
      </c>
      <c r="K62" s="51">
        <f t="shared" si="58"/>
        <v>650</v>
      </c>
      <c r="L62" s="51">
        <f t="shared" si="58"/>
        <v>800</v>
      </c>
      <c r="M62" s="51">
        <f t="shared" si="58"/>
        <v>750</v>
      </c>
      <c r="N62" s="51">
        <f t="shared" si="58"/>
        <v>650</v>
      </c>
      <c r="O62" s="51">
        <f t="shared" si="58"/>
        <v>550</v>
      </c>
      <c r="P62" s="108"/>
      <c r="Q62" s="112"/>
      <c r="R62" s="113"/>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row>
    <row r="63" spans="1:48" s="29" customFormat="1" ht="21.75" x14ac:dyDescent="0.2">
      <c r="A63" s="124" t="s">
        <v>326</v>
      </c>
      <c r="B63" s="108" t="s">
        <v>76</v>
      </c>
      <c r="C63" s="51" t="s">
        <v>14</v>
      </c>
      <c r="D63" s="51">
        <v>2000</v>
      </c>
      <c r="E63" s="51">
        <f t="shared" ref="E63" si="59">MROUND(D63-(D63*10/100),50)</f>
        <v>1800</v>
      </c>
      <c r="F63" s="51">
        <f t="shared" ref="F63" si="60">MROUND(D63-(D63*20/100),50)</f>
        <v>1600</v>
      </c>
      <c r="G63" s="51">
        <f t="shared" ref="G63" si="61">MROUND(D63-(D63*30/100),50)</f>
        <v>1400</v>
      </c>
      <c r="H63" s="51">
        <f t="shared" ref="H63" si="62">MROUND(D63-(D63*10/100),50)</f>
        <v>1800</v>
      </c>
      <c r="I63" s="51">
        <f t="shared" ref="I63" si="63">MROUND(H63-(H63*10/100),50)</f>
        <v>1600</v>
      </c>
      <c r="J63" s="51">
        <f t="shared" ref="J63" si="64">MROUND(H63-(H63*20/100),50)</f>
        <v>1450</v>
      </c>
      <c r="K63" s="51">
        <f t="shared" ref="K63" si="65">MROUND(H63-(H63*30/100),50)</f>
        <v>1250</v>
      </c>
      <c r="L63" s="51">
        <f t="shared" ref="L63" si="66">MROUND(D63-(D63*20/100),50)</f>
        <v>1600</v>
      </c>
      <c r="M63" s="51">
        <f t="shared" ref="M63" si="67">MROUND(L63-(L63*10/100),50)</f>
        <v>1450</v>
      </c>
      <c r="N63" s="51">
        <f t="shared" ref="N63" si="68">MROUND(L63-(L63*20/100),50)</f>
        <v>1300</v>
      </c>
      <c r="O63" s="51">
        <f t="shared" ref="O63" si="69">MROUND(L63-(L63*30/100),50)</f>
        <v>1100</v>
      </c>
      <c r="P63" s="107" t="s">
        <v>10</v>
      </c>
      <c r="Q63" s="112" t="s">
        <v>406</v>
      </c>
      <c r="R63" s="112" t="s">
        <v>505</v>
      </c>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row>
    <row r="64" spans="1:48" s="13" customFormat="1" ht="21.75" x14ac:dyDescent="0.2">
      <c r="A64" s="124"/>
      <c r="B64" s="108"/>
      <c r="C64" s="51" t="s">
        <v>15</v>
      </c>
      <c r="D64" s="51">
        <f t="shared" ref="D64" si="70">D63*50/100</f>
        <v>1000</v>
      </c>
      <c r="E64" s="51">
        <f t="shared" ref="E64:O64" si="71">MROUND(E63*50/100,50)</f>
        <v>900</v>
      </c>
      <c r="F64" s="51">
        <f t="shared" si="71"/>
        <v>800</v>
      </c>
      <c r="G64" s="51">
        <f t="shared" si="71"/>
        <v>700</v>
      </c>
      <c r="H64" s="51">
        <f t="shared" si="71"/>
        <v>900</v>
      </c>
      <c r="I64" s="51">
        <f t="shared" si="71"/>
        <v>800</v>
      </c>
      <c r="J64" s="51">
        <f t="shared" si="71"/>
        <v>750</v>
      </c>
      <c r="K64" s="51">
        <f t="shared" si="71"/>
        <v>650</v>
      </c>
      <c r="L64" s="51">
        <f t="shared" si="71"/>
        <v>800</v>
      </c>
      <c r="M64" s="51">
        <f t="shared" si="71"/>
        <v>750</v>
      </c>
      <c r="N64" s="51">
        <f t="shared" si="71"/>
        <v>650</v>
      </c>
      <c r="O64" s="51">
        <f t="shared" si="71"/>
        <v>550</v>
      </c>
      <c r="P64" s="107"/>
      <c r="Q64" s="112"/>
      <c r="R64" s="112"/>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row>
    <row r="65" spans="1:48" ht="48" customHeight="1" x14ac:dyDescent="0.2">
      <c r="A65" s="57" t="s">
        <v>327</v>
      </c>
      <c r="B65" s="60" t="s">
        <v>77</v>
      </c>
      <c r="C65" s="60" t="s">
        <v>13</v>
      </c>
      <c r="D65" s="107">
        <v>5000</v>
      </c>
      <c r="E65" s="107"/>
      <c r="F65" s="107"/>
      <c r="G65" s="107"/>
      <c r="H65" s="107">
        <f>D65-(D65*20/100)</f>
        <v>4000</v>
      </c>
      <c r="I65" s="107"/>
      <c r="J65" s="107"/>
      <c r="K65" s="107"/>
      <c r="L65" s="107">
        <f>D65-(D65*40/100)</f>
        <v>3000</v>
      </c>
      <c r="M65" s="107"/>
      <c r="N65" s="107"/>
      <c r="O65" s="107"/>
      <c r="P65" s="60" t="s">
        <v>9</v>
      </c>
      <c r="Q65" s="44" t="s">
        <v>406</v>
      </c>
      <c r="R65" s="67" t="s">
        <v>505</v>
      </c>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row>
    <row r="66" spans="1:48" ht="47.25" customHeight="1" x14ac:dyDescent="0.2">
      <c r="A66" s="105" t="s">
        <v>41</v>
      </c>
      <c r="B66" s="105"/>
      <c r="C66" s="105"/>
      <c r="D66" s="105"/>
      <c r="E66" s="105"/>
      <c r="F66" s="105"/>
      <c r="G66" s="105"/>
      <c r="H66" s="105"/>
      <c r="I66" s="105"/>
      <c r="J66" s="105"/>
      <c r="K66" s="105"/>
      <c r="L66" s="105"/>
      <c r="M66" s="105"/>
      <c r="N66" s="105"/>
      <c r="O66" s="105"/>
      <c r="P66" s="105"/>
      <c r="Q66" s="105"/>
      <c r="R66" s="10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row>
    <row r="67" spans="1:48" s="15" customFormat="1" ht="87" x14ac:dyDescent="0.2">
      <c r="A67" s="38" t="s">
        <v>331</v>
      </c>
      <c r="B67" s="51" t="s">
        <v>130</v>
      </c>
      <c r="C67" s="59" t="s">
        <v>24</v>
      </c>
      <c r="D67" s="107">
        <v>100000</v>
      </c>
      <c r="E67" s="107"/>
      <c r="F67" s="107"/>
      <c r="G67" s="107"/>
      <c r="H67" s="107">
        <f>D67-(D67*20/100)</f>
        <v>80000</v>
      </c>
      <c r="I67" s="107"/>
      <c r="J67" s="107"/>
      <c r="K67" s="107"/>
      <c r="L67" s="107">
        <f>D67-(D67*40/100)</f>
        <v>60000</v>
      </c>
      <c r="M67" s="107"/>
      <c r="N67" s="107"/>
      <c r="O67" s="107"/>
      <c r="P67" s="50" t="s">
        <v>9</v>
      </c>
      <c r="Q67" s="59" t="s">
        <v>23</v>
      </c>
      <c r="R67" s="63" t="s">
        <v>524</v>
      </c>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row>
    <row r="68" spans="1:48" ht="43.5" customHeight="1" x14ac:dyDescent="0.2">
      <c r="A68" s="38" t="s">
        <v>330</v>
      </c>
      <c r="B68" s="51" t="s">
        <v>33</v>
      </c>
      <c r="C68" s="34" t="s">
        <v>13</v>
      </c>
      <c r="D68" s="107">
        <v>30000</v>
      </c>
      <c r="E68" s="107">
        <f>D68-(D68*10/100)</f>
        <v>27000</v>
      </c>
      <c r="F68" s="107">
        <f>D68-(D68*20/100)</f>
        <v>24000</v>
      </c>
      <c r="G68" s="107">
        <f>D68-(D68*30/100)</f>
        <v>21000</v>
      </c>
      <c r="H68" s="107">
        <f t="shared" ref="H68" si="72">D68-(D68*20/100)</f>
        <v>24000</v>
      </c>
      <c r="I68" s="107"/>
      <c r="J68" s="107"/>
      <c r="K68" s="107"/>
      <c r="L68" s="107">
        <f t="shared" ref="L68" si="73">D68-(D68*40/100)</f>
        <v>18000</v>
      </c>
      <c r="M68" s="107"/>
      <c r="N68" s="107"/>
      <c r="O68" s="107"/>
      <c r="P68" s="51" t="s">
        <v>9</v>
      </c>
      <c r="Q68" s="51" t="s">
        <v>23</v>
      </c>
      <c r="R68" s="87" t="s">
        <v>506</v>
      </c>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row>
    <row r="69" spans="1:48" ht="43.5" x14ac:dyDescent="0.2">
      <c r="A69" s="38" t="s">
        <v>332</v>
      </c>
      <c r="B69" s="49" t="s">
        <v>431</v>
      </c>
      <c r="C69" s="59" t="s">
        <v>24</v>
      </c>
      <c r="D69" s="107">
        <v>20000</v>
      </c>
      <c r="E69" s="107">
        <f t="shared" ref="E69:E70" si="74">D69-(D69*10/100)</f>
        <v>18000</v>
      </c>
      <c r="F69" s="107">
        <f t="shared" ref="F69:F70" si="75">D69-(D69*20/100)</f>
        <v>16000</v>
      </c>
      <c r="G69" s="107">
        <f t="shared" ref="G69:G70" si="76">D69-(D69*30/100)</f>
        <v>14000</v>
      </c>
      <c r="H69" s="107">
        <f>D69-(D69*20/100)</f>
        <v>16000</v>
      </c>
      <c r="I69" s="107"/>
      <c r="J69" s="107"/>
      <c r="K69" s="107"/>
      <c r="L69" s="107">
        <f>D69-(D69*40/100)</f>
        <v>12000</v>
      </c>
      <c r="M69" s="107"/>
      <c r="N69" s="107"/>
      <c r="O69" s="107"/>
      <c r="P69" s="50" t="s">
        <v>9</v>
      </c>
      <c r="Q69" s="59" t="s">
        <v>23</v>
      </c>
      <c r="R69" s="69" t="s">
        <v>506</v>
      </c>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row>
    <row r="70" spans="1:48" ht="43.5" x14ac:dyDescent="0.2">
      <c r="A70" s="38" t="s">
        <v>333</v>
      </c>
      <c r="B70" s="51" t="s">
        <v>112</v>
      </c>
      <c r="C70" s="59" t="s">
        <v>24</v>
      </c>
      <c r="D70" s="107">
        <v>15000</v>
      </c>
      <c r="E70" s="107">
        <f t="shared" si="74"/>
        <v>13500</v>
      </c>
      <c r="F70" s="107">
        <f t="shared" si="75"/>
        <v>12000</v>
      </c>
      <c r="G70" s="107">
        <f t="shared" si="76"/>
        <v>10500</v>
      </c>
      <c r="H70" s="107">
        <f>D70-(D70*20/100)</f>
        <v>12000</v>
      </c>
      <c r="I70" s="107"/>
      <c r="J70" s="107"/>
      <c r="K70" s="107"/>
      <c r="L70" s="107">
        <f>D70-(D70*40/100)</f>
        <v>9000</v>
      </c>
      <c r="M70" s="107"/>
      <c r="N70" s="107"/>
      <c r="O70" s="107"/>
      <c r="P70" s="50" t="s">
        <v>9</v>
      </c>
      <c r="Q70" s="59" t="s">
        <v>23</v>
      </c>
      <c r="R70" s="95" t="s">
        <v>523</v>
      </c>
    </row>
    <row r="71" spans="1:48" ht="35.25" customHeight="1" x14ac:dyDescent="0.2">
      <c r="A71" s="38" t="s">
        <v>444</v>
      </c>
      <c r="B71" s="42" t="s">
        <v>440</v>
      </c>
      <c r="C71" s="46" t="s">
        <v>13</v>
      </c>
      <c r="D71" s="123">
        <v>50000</v>
      </c>
      <c r="E71" s="123">
        <f>D71-(D71*10/100)</f>
        <v>45000</v>
      </c>
      <c r="F71" s="123">
        <f>D71-(D71*20/100)</f>
        <v>40000</v>
      </c>
      <c r="G71" s="123">
        <f>D71-(D71*30/100)</f>
        <v>35000</v>
      </c>
      <c r="H71" s="123">
        <f>D71-(D71*20/100)</f>
        <v>40000</v>
      </c>
      <c r="I71" s="123"/>
      <c r="J71" s="123"/>
      <c r="K71" s="123"/>
      <c r="L71" s="123">
        <f>D71-(D71*40/100)</f>
        <v>30000</v>
      </c>
      <c r="M71" s="123"/>
      <c r="N71" s="123"/>
      <c r="O71" s="123"/>
      <c r="P71" s="55" t="s">
        <v>9</v>
      </c>
      <c r="Q71" s="49" t="s">
        <v>23</v>
      </c>
      <c r="R71" s="88" t="s">
        <v>518</v>
      </c>
    </row>
    <row r="72" spans="1:48" s="1" customFormat="1" ht="43.5" x14ac:dyDescent="0.2">
      <c r="A72" s="38" t="s">
        <v>466</v>
      </c>
      <c r="B72" s="49" t="s">
        <v>475</v>
      </c>
      <c r="C72" s="49" t="s">
        <v>24</v>
      </c>
      <c r="D72" s="113">
        <v>5000</v>
      </c>
      <c r="E72" s="113"/>
      <c r="F72" s="113"/>
      <c r="G72" s="113"/>
      <c r="H72" s="113">
        <f>D72-(D72*20/100)</f>
        <v>4000</v>
      </c>
      <c r="I72" s="113"/>
      <c r="J72" s="113"/>
      <c r="K72" s="113"/>
      <c r="L72" s="113">
        <f>D72-(D72*40/100)</f>
        <v>3000</v>
      </c>
      <c r="M72" s="113"/>
      <c r="N72" s="113"/>
      <c r="O72" s="113"/>
      <c r="P72" s="49" t="s">
        <v>9</v>
      </c>
      <c r="Q72" s="49" t="s">
        <v>480</v>
      </c>
      <c r="R72" s="90" t="s">
        <v>506</v>
      </c>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row>
  </sheetData>
  <mergeCells count="198">
    <mergeCell ref="Q36:Q37"/>
    <mergeCell ref="B45:B46"/>
    <mergeCell ref="B52:B53"/>
    <mergeCell ref="H38:K38"/>
    <mergeCell ref="D43:G43"/>
    <mergeCell ref="H43:K43"/>
    <mergeCell ref="L43:O43"/>
    <mergeCell ref="D44:G44"/>
    <mergeCell ref="D51:G51"/>
    <mergeCell ref="H51:K51"/>
    <mergeCell ref="L51:O51"/>
    <mergeCell ref="P49:P50"/>
    <mergeCell ref="D42:G42"/>
    <mergeCell ref="D39:G39"/>
    <mergeCell ref="P63:P64"/>
    <mergeCell ref="B57:B58"/>
    <mergeCell ref="H44:K44"/>
    <mergeCell ref="L44:O44"/>
    <mergeCell ref="P10:P11"/>
    <mergeCell ref="H19:K19"/>
    <mergeCell ref="L19:O19"/>
    <mergeCell ref="D22:G22"/>
    <mergeCell ref="H22:K22"/>
    <mergeCell ref="L22:O22"/>
    <mergeCell ref="D23:G23"/>
    <mergeCell ref="H23:K23"/>
    <mergeCell ref="L23:O23"/>
    <mergeCell ref="D20:G20"/>
    <mergeCell ref="L21:O21"/>
    <mergeCell ref="D24:G24"/>
    <mergeCell ref="H24:K24"/>
    <mergeCell ref="P45:P46"/>
    <mergeCell ref="D38:G38"/>
    <mergeCell ref="H25:K25"/>
    <mergeCell ref="L25:O25"/>
    <mergeCell ref="D35:G35"/>
    <mergeCell ref="H35:K35"/>
    <mergeCell ref="Q49:Q50"/>
    <mergeCell ref="H42:K42"/>
    <mergeCell ref="A63:A64"/>
    <mergeCell ref="A57:A58"/>
    <mergeCell ref="D47:G47"/>
    <mergeCell ref="Q52:Q53"/>
    <mergeCell ref="H47:K47"/>
    <mergeCell ref="L47:O47"/>
    <mergeCell ref="P52:P53"/>
    <mergeCell ref="A61:A62"/>
    <mergeCell ref="B61:B62"/>
    <mergeCell ref="P61:P62"/>
    <mergeCell ref="Q61:Q62"/>
    <mergeCell ref="A49:A50"/>
    <mergeCell ref="B49:B50"/>
    <mergeCell ref="L42:O42"/>
    <mergeCell ref="P59:P60"/>
    <mergeCell ref="P57:P58"/>
    <mergeCell ref="A59:A60"/>
    <mergeCell ref="D55:G55"/>
    <mergeCell ref="H55:K55"/>
    <mergeCell ref="L56:O56"/>
    <mergeCell ref="L48:O48"/>
    <mergeCell ref="B63:B64"/>
    <mergeCell ref="A2:A3"/>
    <mergeCell ref="D2:G2"/>
    <mergeCell ref="H2:K2"/>
    <mergeCell ref="L2:O2"/>
    <mergeCell ref="B8:B9"/>
    <mergeCell ref="H39:K39"/>
    <mergeCell ref="L55:O55"/>
    <mergeCell ref="D56:G56"/>
    <mergeCell ref="H56:K56"/>
    <mergeCell ref="A36:A37"/>
    <mergeCell ref="L32:O32"/>
    <mergeCell ref="D33:G33"/>
    <mergeCell ref="H33:K33"/>
    <mergeCell ref="A45:A46"/>
    <mergeCell ref="H34:K34"/>
    <mergeCell ref="L34:O34"/>
    <mergeCell ref="D32:G32"/>
    <mergeCell ref="B36:B37"/>
    <mergeCell ref="L33:O33"/>
    <mergeCell ref="D34:G34"/>
    <mergeCell ref="A52:A53"/>
    <mergeCell ref="D48:G48"/>
    <mergeCell ref="H48:K48"/>
    <mergeCell ref="L38:O38"/>
    <mergeCell ref="H67:K67"/>
    <mergeCell ref="L67:O67"/>
    <mergeCell ref="L68:O68"/>
    <mergeCell ref="D69:G69"/>
    <mergeCell ref="H69:K69"/>
    <mergeCell ref="L69:O69"/>
    <mergeCell ref="D68:G68"/>
    <mergeCell ref="H68:K68"/>
    <mergeCell ref="B59:B60"/>
    <mergeCell ref="D29:G29"/>
    <mergeCell ref="D19:G19"/>
    <mergeCell ref="P2:P3"/>
    <mergeCell ref="D5:G5"/>
    <mergeCell ref="H5:K5"/>
    <mergeCell ref="L5:O5"/>
    <mergeCell ref="Q2:Q3"/>
    <mergeCell ref="B2:B3"/>
    <mergeCell ref="C2:C3"/>
    <mergeCell ref="D6:G6"/>
    <mergeCell ref="H6:K6"/>
    <mergeCell ref="L6:O6"/>
    <mergeCell ref="D7:G7"/>
    <mergeCell ref="H7:K7"/>
    <mergeCell ref="L7:O7"/>
    <mergeCell ref="Q10:Q11"/>
    <mergeCell ref="Q12:Q13"/>
    <mergeCell ref="P8:P9"/>
    <mergeCell ref="Q14:Q15"/>
    <mergeCell ref="L18:O18"/>
    <mergeCell ref="D26:G26"/>
    <mergeCell ref="H26:K26"/>
    <mergeCell ref="L26:O26"/>
    <mergeCell ref="B14:B15"/>
    <mergeCell ref="D21:G21"/>
    <mergeCell ref="H21:K21"/>
    <mergeCell ref="L20:O20"/>
    <mergeCell ref="D17:G17"/>
    <mergeCell ref="H20:K20"/>
    <mergeCell ref="D18:G18"/>
    <mergeCell ref="H17:K17"/>
    <mergeCell ref="L17:O17"/>
    <mergeCell ref="D72:G72"/>
    <mergeCell ref="H72:K72"/>
    <mergeCell ref="L72:O72"/>
    <mergeCell ref="D71:G71"/>
    <mergeCell ref="H71:K71"/>
    <mergeCell ref="L71:O71"/>
    <mergeCell ref="R52:R53"/>
    <mergeCell ref="R57:R58"/>
    <mergeCell ref="R59:R60"/>
    <mergeCell ref="R61:R62"/>
    <mergeCell ref="R63:R64"/>
    <mergeCell ref="Q59:Q60"/>
    <mergeCell ref="Q63:Q64"/>
    <mergeCell ref="Q57:Q58"/>
    <mergeCell ref="D65:G65"/>
    <mergeCell ref="A66:R66"/>
    <mergeCell ref="D70:G70"/>
    <mergeCell ref="H70:K70"/>
    <mergeCell ref="L70:O70"/>
    <mergeCell ref="D54:G54"/>
    <mergeCell ref="H54:K54"/>
    <mergeCell ref="L54:O54"/>
    <mergeCell ref="L65:O65"/>
    <mergeCell ref="D67:G67"/>
    <mergeCell ref="H65:K65"/>
    <mergeCell ref="A1:R1"/>
    <mergeCell ref="A4:R4"/>
    <mergeCell ref="A16:R16"/>
    <mergeCell ref="R2:R3"/>
    <mergeCell ref="R8:R9"/>
    <mergeCell ref="R10:R11"/>
    <mergeCell ref="R12:R13"/>
    <mergeCell ref="R14:R15"/>
    <mergeCell ref="R30:R31"/>
    <mergeCell ref="R36:R37"/>
    <mergeCell ref="R45:R46"/>
    <mergeCell ref="R49:R50"/>
    <mergeCell ref="P30:P31"/>
    <mergeCell ref="L29:O29"/>
    <mergeCell ref="D27:G27"/>
    <mergeCell ref="H27:K27"/>
    <mergeCell ref="L27:O27"/>
    <mergeCell ref="L35:O35"/>
    <mergeCell ref="D41:G41"/>
    <mergeCell ref="H41:K41"/>
    <mergeCell ref="L41:O41"/>
    <mergeCell ref="L39:O39"/>
    <mergeCell ref="D40:G40"/>
    <mergeCell ref="A8:A9"/>
    <mergeCell ref="Q8:Q9"/>
    <mergeCell ref="P14:P15"/>
    <mergeCell ref="D28:G28"/>
    <mergeCell ref="H28:K28"/>
    <mergeCell ref="L28:O28"/>
    <mergeCell ref="Q30:Q31"/>
    <mergeCell ref="Q45:Q46"/>
    <mergeCell ref="P36:P37"/>
    <mergeCell ref="H32:K32"/>
    <mergeCell ref="H29:K29"/>
    <mergeCell ref="D25:G25"/>
    <mergeCell ref="H40:K40"/>
    <mergeCell ref="L40:O40"/>
    <mergeCell ref="L24:O24"/>
    <mergeCell ref="A12:A13"/>
    <mergeCell ref="B12:B13"/>
    <mergeCell ref="P12:P13"/>
    <mergeCell ref="A14:A15"/>
    <mergeCell ref="A10:A11"/>
    <mergeCell ref="A30:A31"/>
    <mergeCell ref="B30:B31"/>
    <mergeCell ref="B10:B11"/>
    <mergeCell ref="H18:K18"/>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52"/>
  <sheetViews>
    <sheetView rightToLeft="1" topLeftCell="C43" zoomScale="85" zoomScaleNormal="85" workbookViewId="0">
      <selection activeCell="R48" sqref="R48"/>
    </sheetView>
  </sheetViews>
  <sheetFormatPr defaultColWidth="9.125" defaultRowHeight="14.25" x14ac:dyDescent="0.2"/>
  <cols>
    <col min="1" max="1" width="9.625" style="1" customWidth="1"/>
    <col min="2" max="2" width="58.75" style="1" customWidth="1"/>
    <col min="3" max="13" width="10.25" style="1" bestFit="1" customWidth="1"/>
    <col min="14" max="14" width="10.25" style="1" customWidth="1"/>
    <col min="15" max="15" width="8.875" style="1" customWidth="1"/>
    <col min="16" max="16" width="13.75" style="1" bestFit="1" customWidth="1"/>
    <col min="17" max="17" width="16.625" style="1" customWidth="1"/>
    <col min="18" max="18" width="25.75" style="1" customWidth="1"/>
    <col min="19" max="19" width="18.625" style="1" customWidth="1"/>
    <col min="20" max="16384" width="9.125" style="1"/>
  </cols>
  <sheetData>
    <row r="1" spans="1:18" ht="23.25" customHeight="1" x14ac:dyDescent="0.2">
      <c r="A1" s="130" t="s">
        <v>390</v>
      </c>
      <c r="B1" s="130"/>
      <c r="C1" s="130"/>
      <c r="D1" s="130"/>
      <c r="E1" s="130"/>
      <c r="F1" s="130"/>
      <c r="G1" s="130"/>
      <c r="H1" s="130"/>
      <c r="I1" s="130"/>
      <c r="J1" s="130"/>
      <c r="K1" s="130"/>
      <c r="L1" s="130"/>
      <c r="M1" s="130"/>
      <c r="N1" s="130"/>
      <c r="O1" s="130"/>
      <c r="P1" s="130"/>
      <c r="Q1" s="130"/>
      <c r="R1" s="130"/>
    </row>
    <row r="2" spans="1:18" ht="23.25" customHeight="1" x14ac:dyDescent="0.2">
      <c r="A2" s="116" t="s">
        <v>4</v>
      </c>
      <c r="B2" s="116" t="s">
        <v>3</v>
      </c>
      <c r="C2" s="116" t="s">
        <v>136</v>
      </c>
      <c r="D2" s="116" t="s">
        <v>2</v>
      </c>
      <c r="E2" s="116"/>
      <c r="F2" s="116"/>
      <c r="G2" s="116"/>
      <c r="H2" s="116" t="s">
        <v>1</v>
      </c>
      <c r="I2" s="116"/>
      <c r="J2" s="116"/>
      <c r="K2" s="116"/>
      <c r="L2" s="121" t="s">
        <v>458</v>
      </c>
      <c r="M2" s="121"/>
      <c r="N2" s="121"/>
      <c r="O2" s="121"/>
      <c r="P2" s="116" t="s">
        <v>0</v>
      </c>
      <c r="Q2" s="116" t="s">
        <v>25</v>
      </c>
      <c r="R2" s="116" t="s">
        <v>482</v>
      </c>
    </row>
    <row r="3" spans="1:18" ht="23.25" x14ac:dyDescent="0.2">
      <c r="A3" s="116"/>
      <c r="B3" s="116"/>
      <c r="C3" s="116"/>
      <c r="D3" s="76" t="s">
        <v>8</v>
      </c>
      <c r="E3" s="76" t="s">
        <v>7</v>
      </c>
      <c r="F3" s="76" t="s">
        <v>6</v>
      </c>
      <c r="G3" s="76" t="s">
        <v>5</v>
      </c>
      <c r="H3" s="76" t="s">
        <v>8</v>
      </c>
      <c r="I3" s="76" t="s">
        <v>7</v>
      </c>
      <c r="J3" s="76" t="s">
        <v>6</v>
      </c>
      <c r="K3" s="76" t="s">
        <v>5</v>
      </c>
      <c r="L3" s="76" t="s">
        <v>8</v>
      </c>
      <c r="M3" s="76" t="s">
        <v>7</v>
      </c>
      <c r="N3" s="76" t="s">
        <v>6</v>
      </c>
      <c r="O3" s="76" t="s">
        <v>5</v>
      </c>
      <c r="P3" s="116"/>
      <c r="Q3" s="116"/>
      <c r="R3" s="116"/>
    </row>
    <row r="4" spans="1:18" ht="23.25" customHeight="1" x14ac:dyDescent="0.2">
      <c r="A4" s="105" t="s">
        <v>90</v>
      </c>
      <c r="B4" s="105"/>
      <c r="C4" s="105"/>
      <c r="D4" s="105"/>
      <c r="E4" s="105"/>
      <c r="F4" s="105"/>
      <c r="G4" s="105"/>
      <c r="H4" s="105"/>
      <c r="I4" s="105"/>
      <c r="J4" s="105"/>
      <c r="K4" s="105"/>
      <c r="L4" s="105"/>
      <c r="M4" s="105"/>
      <c r="N4" s="105"/>
      <c r="O4" s="105"/>
      <c r="P4" s="105"/>
      <c r="Q4" s="105"/>
      <c r="R4" s="105"/>
    </row>
    <row r="5" spans="1:18" ht="21.75" x14ac:dyDescent="0.2">
      <c r="A5" s="75" t="s">
        <v>334</v>
      </c>
      <c r="B5" s="75" t="s">
        <v>133</v>
      </c>
      <c r="C5" s="81" t="s">
        <v>13</v>
      </c>
      <c r="D5" s="107">
        <v>15000</v>
      </c>
      <c r="E5" s="107"/>
      <c r="F5" s="107"/>
      <c r="G5" s="107"/>
      <c r="H5" s="107">
        <f>D5-(D5*20/100)</f>
        <v>12000</v>
      </c>
      <c r="I5" s="107"/>
      <c r="J5" s="107"/>
      <c r="K5" s="107"/>
      <c r="L5" s="107">
        <f>D5-(D5*40/100)</f>
        <v>9000</v>
      </c>
      <c r="M5" s="107"/>
      <c r="N5" s="107"/>
      <c r="O5" s="107"/>
      <c r="P5" s="74" t="s">
        <v>9</v>
      </c>
      <c r="Q5" s="81" t="s">
        <v>23</v>
      </c>
      <c r="R5" s="81" t="s">
        <v>504</v>
      </c>
    </row>
    <row r="6" spans="1:18" ht="21.75" x14ac:dyDescent="0.2">
      <c r="A6" s="74" t="s">
        <v>335</v>
      </c>
      <c r="B6" s="74" t="s">
        <v>82</v>
      </c>
      <c r="C6" s="81" t="s">
        <v>13</v>
      </c>
      <c r="D6" s="107">
        <v>5000</v>
      </c>
      <c r="E6" s="107"/>
      <c r="F6" s="107"/>
      <c r="G6" s="107"/>
      <c r="H6" s="107">
        <f>D6-(D6*20/100)</f>
        <v>4000</v>
      </c>
      <c r="I6" s="107"/>
      <c r="J6" s="107"/>
      <c r="K6" s="107"/>
      <c r="L6" s="107">
        <f>D6-(D6*40/100)</f>
        <v>3000</v>
      </c>
      <c r="M6" s="107"/>
      <c r="N6" s="107"/>
      <c r="O6" s="107"/>
      <c r="P6" s="74" t="s">
        <v>43</v>
      </c>
      <c r="Q6" s="74" t="s">
        <v>23</v>
      </c>
      <c r="R6" s="74" t="s">
        <v>504</v>
      </c>
    </row>
    <row r="7" spans="1:18" ht="21.75" x14ac:dyDescent="0.2">
      <c r="A7" s="109" t="s">
        <v>336</v>
      </c>
      <c r="B7" s="109" t="s">
        <v>83</v>
      </c>
      <c r="C7" s="79" t="s">
        <v>14</v>
      </c>
      <c r="D7" s="79">
        <v>5000</v>
      </c>
      <c r="E7" s="79">
        <f>MROUND(D7-(D7*10/100),50)</f>
        <v>4500</v>
      </c>
      <c r="F7" s="79">
        <f>MROUND(D7-(D7*20/100),50)</f>
        <v>4000</v>
      </c>
      <c r="G7" s="79">
        <f>MROUND(D7-(D7*30/100),50)</f>
        <v>3500</v>
      </c>
      <c r="H7" s="79">
        <f>MROUND(D7-(D7*10/100),50)</f>
        <v>4500</v>
      </c>
      <c r="I7" s="79">
        <f>MROUND(H7-(H7*10/100),50)</f>
        <v>4050</v>
      </c>
      <c r="J7" s="79">
        <f>MROUND(H7-(H7*20/100),50)</f>
        <v>3600</v>
      </c>
      <c r="K7" s="79">
        <f>MROUND(H7-(H7*30/100),50)</f>
        <v>3150</v>
      </c>
      <c r="L7" s="79">
        <f>MROUND(D7-(D7*20/100),50)</f>
        <v>4000</v>
      </c>
      <c r="M7" s="79">
        <f>MROUND(L7-(L7*10/100),50)</f>
        <v>3600</v>
      </c>
      <c r="N7" s="79">
        <f>MROUND(L7-(L7*20/100),50)</f>
        <v>3200</v>
      </c>
      <c r="O7" s="79">
        <f>MROUND(L7-(L7*30/100),50)</f>
        <v>2800</v>
      </c>
      <c r="P7" s="109" t="s">
        <v>10</v>
      </c>
      <c r="Q7" s="109" t="s">
        <v>23</v>
      </c>
      <c r="R7" s="109" t="s">
        <v>504</v>
      </c>
    </row>
    <row r="8" spans="1:18" ht="22.5" customHeight="1" x14ac:dyDescent="0.2">
      <c r="A8" s="109"/>
      <c r="B8" s="109"/>
      <c r="C8" s="79" t="s">
        <v>16</v>
      </c>
      <c r="D8" s="79">
        <f t="shared" ref="D8" si="0">D7*50/100</f>
        <v>2500</v>
      </c>
      <c r="E8" s="79">
        <f t="shared" ref="E8:O8" si="1">MROUND(E7*50/100,50)</f>
        <v>2250</v>
      </c>
      <c r="F8" s="79">
        <f t="shared" si="1"/>
        <v>2000</v>
      </c>
      <c r="G8" s="79">
        <f t="shared" si="1"/>
        <v>1750</v>
      </c>
      <c r="H8" s="79">
        <f t="shared" si="1"/>
        <v>2250</v>
      </c>
      <c r="I8" s="79">
        <f t="shared" si="1"/>
        <v>2050</v>
      </c>
      <c r="J8" s="79">
        <f t="shared" si="1"/>
        <v>1800</v>
      </c>
      <c r="K8" s="79">
        <f t="shared" si="1"/>
        <v>1600</v>
      </c>
      <c r="L8" s="79">
        <f t="shared" si="1"/>
        <v>2000</v>
      </c>
      <c r="M8" s="79">
        <f t="shared" si="1"/>
        <v>1800</v>
      </c>
      <c r="N8" s="79">
        <f t="shared" si="1"/>
        <v>1600</v>
      </c>
      <c r="O8" s="79">
        <f t="shared" si="1"/>
        <v>1400</v>
      </c>
      <c r="P8" s="109"/>
      <c r="Q8" s="109"/>
      <c r="R8" s="109"/>
    </row>
    <row r="9" spans="1:18" s="4" customFormat="1" ht="18" customHeight="1" x14ac:dyDescent="0.2">
      <c r="A9" s="124" t="s">
        <v>337</v>
      </c>
      <c r="B9" s="107" t="s">
        <v>94</v>
      </c>
      <c r="C9" s="74" t="s">
        <v>59</v>
      </c>
      <c r="D9" s="74">
        <v>3000</v>
      </c>
      <c r="E9" s="74">
        <f>MROUND(D9-(D9*10/100),50)</f>
        <v>2700</v>
      </c>
      <c r="F9" s="74">
        <f>MROUND(D9-(D9*20/100),50)</f>
        <v>2400</v>
      </c>
      <c r="G9" s="74">
        <f>MROUND(D9-(D9*30/100),50)</f>
        <v>2100</v>
      </c>
      <c r="H9" s="74">
        <f>MROUND(D9-(D9*10/100),50)</f>
        <v>2700</v>
      </c>
      <c r="I9" s="74">
        <f>MROUND(H9-(H9*10/100),50)</f>
        <v>2450</v>
      </c>
      <c r="J9" s="74">
        <f>MROUND(H9-(H9*20/100),50)</f>
        <v>2150</v>
      </c>
      <c r="K9" s="74">
        <f>MROUND(H9-(H9*30/100),50)</f>
        <v>1900</v>
      </c>
      <c r="L9" s="74">
        <f>MROUND(D9-(D9*20/100),50)</f>
        <v>2400</v>
      </c>
      <c r="M9" s="74">
        <f>MROUND(L9-(L9*10/100),50)</f>
        <v>2150</v>
      </c>
      <c r="N9" s="74">
        <f>MROUND(L9-(L9*20/100),50)</f>
        <v>1900</v>
      </c>
      <c r="O9" s="74">
        <f>MROUND(L9-(L9*30/100),50)</f>
        <v>1700</v>
      </c>
      <c r="P9" s="108" t="s">
        <v>10</v>
      </c>
      <c r="Q9" s="108" t="s">
        <v>23</v>
      </c>
      <c r="R9" s="107" t="s">
        <v>504</v>
      </c>
    </row>
    <row r="10" spans="1:18" ht="23.25" customHeight="1" x14ac:dyDescent="0.2">
      <c r="A10" s="124"/>
      <c r="B10" s="107"/>
      <c r="C10" s="74" t="s">
        <v>16</v>
      </c>
      <c r="D10" s="74">
        <f>D9*50/100</f>
        <v>1500</v>
      </c>
      <c r="E10" s="75">
        <f t="shared" ref="E10:O10" si="2">MROUND(E9*50/100,50)</f>
        <v>1350</v>
      </c>
      <c r="F10" s="75">
        <f t="shared" si="2"/>
        <v>1200</v>
      </c>
      <c r="G10" s="75">
        <f t="shared" si="2"/>
        <v>1050</v>
      </c>
      <c r="H10" s="75">
        <f t="shared" si="2"/>
        <v>1350</v>
      </c>
      <c r="I10" s="75">
        <f t="shared" si="2"/>
        <v>1250</v>
      </c>
      <c r="J10" s="75">
        <f t="shared" si="2"/>
        <v>1100</v>
      </c>
      <c r="K10" s="75">
        <f t="shared" si="2"/>
        <v>950</v>
      </c>
      <c r="L10" s="75">
        <f t="shared" si="2"/>
        <v>1200</v>
      </c>
      <c r="M10" s="75">
        <f t="shared" si="2"/>
        <v>1100</v>
      </c>
      <c r="N10" s="75">
        <f t="shared" si="2"/>
        <v>950</v>
      </c>
      <c r="O10" s="75">
        <f t="shared" si="2"/>
        <v>850</v>
      </c>
      <c r="P10" s="108"/>
      <c r="Q10" s="108"/>
      <c r="R10" s="107"/>
    </row>
    <row r="11" spans="1:18" ht="23.25" customHeight="1" x14ac:dyDescent="0.2">
      <c r="A11" s="106" t="s">
        <v>391</v>
      </c>
      <c r="B11" s="106"/>
      <c r="C11" s="106"/>
      <c r="D11" s="106"/>
      <c r="E11" s="106"/>
      <c r="F11" s="106"/>
      <c r="G11" s="106"/>
      <c r="H11" s="106"/>
      <c r="I11" s="106"/>
      <c r="J11" s="106"/>
      <c r="K11" s="106"/>
      <c r="L11" s="106"/>
      <c r="M11" s="106"/>
      <c r="N11" s="106"/>
      <c r="O11" s="106"/>
      <c r="P11" s="106"/>
      <c r="Q11" s="106"/>
      <c r="R11" s="106"/>
    </row>
    <row r="12" spans="1:18" ht="43.5" x14ac:dyDescent="0.2">
      <c r="A12" s="79" t="s">
        <v>338</v>
      </c>
      <c r="B12" s="78" t="s">
        <v>392</v>
      </c>
      <c r="C12" s="81" t="s">
        <v>13</v>
      </c>
      <c r="D12" s="107">
        <v>15000</v>
      </c>
      <c r="E12" s="107"/>
      <c r="F12" s="107"/>
      <c r="G12" s="107"/>
      <c r="H12" s="107">
        <f>D12-(D12*20/100)</f>
        <v>12000</v>
      </c>
      <c r="I12" s="107"/>
      <c r="J12" s="107"/>
      <c r="K12" s="107"/>
      <c r="L12" s="107">
        <f>D12-(D12*40/100)</f>
        <v>9000</v>
      </c>
      <c r="M12" s="107"/>
      <c r="N12" s="107"/>
      <c r="O12" s="107"/>
      <c r="P12" s="74" t="s">
        <v>9</v>
      </c>
      <c r="Q12" s="78" t="s">
        <v>448</v>
      </c>
      <c r="R12" s="78" t="s">
        <v>504</v>
      </c>
    </row>
    <row r="13" spans="1:18" ht="21.75" customHeight="1" x14ac:dyDescent="0.2">
      <c r="A13" s="108" t="s">
        <v>339</v>
      </c>
      <c r="B13" s="112" t="s">
        <v>437</v>
      </c>
      <c r="C13" s="74" t="s">
        <v>14</v>
      </c>
      <c r="D13" s="108" t="s">
        <v>44</v>
      </c>
      <c r="E13" s="108"/>
      <c r="F13" s="108"/>
      <c r="G13" s="108"/>
      <c r="H13" s="108"/>
      <c r="I13" s="108"/>
      <c r="J13" s="108"/>
      <c r="K13" s="108"/>
      <c r="L13" s="108"/>
      <c r="M13" s="108"/>
      <c r="N13" s="108"/>
      <c r="O13" s="108"/>
      <c r="P13" s="108" t="s">
        <v>10</v>
      </c>
      <c r="Q13" s="123" t="s">
        <v>448</v>
      </c>
      <c r="R13" s="123" t="s">
        <v>504</v>
      </c>
    </row>
    <row r="14" spans="1:18" ht="21.75" customHeight="1" x14ac:dyDescent="0.2">
      <c r="A14" s="108"/>
      <c r="B14" s="112"/>
      <c r="C14" s="74" t="s">
        <v>16</v>
      </c>
      <c r="D14" s="108" t="s">
        <v>20</v>
      </c>
      <c r="E14" s="108"/>
      <c r="F14" s="108"/>
      <c r="G14" s="108"/>
      <c r="H14" s="108"/>
      <c r="I14" s="108"/>
      <c r="J14" s="108"/>
      <c r="K14" s="108"/>
      <c r="L14" s="108"/>
      <c r="M14" s="108"/>
      <c r="N14" s="108"/>
      <c r="O14" s="108"/>
      <c r="P14" s="108"/>
      <c r="Q14" s="123"/>
      <c r="R14" s="123"/>
    </row>
    <row r="15" spans="1:18" ht="21.75" x14ac:dyDescent="0.2">
      <c r="A15" s="108" t="s">
        <v>340</v>
      </c>
      <c r="B15" s="108" t="s">
        <v>45</v>
      </c>
      <c r="C15" s="74" t="s">
        <v>14</v>
      </c>
      <c r="D15" s="74">
        <v>5000</v>
      </c>
      <c r="E15" s="74">
        <f>MROUND(D15-(D15*10/100),50)</f>
        <v>4500</v>
      </c>
      <c r="F15" s="74">
        <f>MROUND(D15-(D15*20/100),50)</f>
        <v>4000</v>
      </c>
      <c r="G15" s="74">
        <f>MROUND(D15-(D15*30/100),50)</f>
        <v>3500</v>
      </c>
      <c r="H15" s="74">
        <f>MROUND(D15-(D15*10/100),50)</f>
        <v>4500</v>
      </c>
      <c r="I15" s="74">
        <f>MROUND(H15-(H15*10/100),50)</f>
        <v>4050</v>
      </c>
      <c r="J15" s="74">
        <f>MROUND(H15-(H15*20/100),50)</f>
        <v>3600</v>
      </c>
      <c r="K15" s="74">
        <f>MROUND(H15-(H15*30/100),50)</f>
        <v>3150</v>
      </c>
      <c r="L15" s="74">
        <f>MROUND(D15-(D15*20/100),50)</f>
        <v>4000</v>
      </c>
      <c r="M15" s="74">
        <f>MROUND(L15-(L15*10/100),50)</f>
        <v>3600</v>
      </c>
      <c r="N15" s="74">
        <f>MROUND(L15-(L15*20/100),50)</f>
        <v>3200</v>
      </c>
      <c r="O15" s="74">
        <f>MROUND(L15-(L15*30/100),50)</f>
        <v>2800</v>
      </c>
      <c r="P15" s="108" t="s">
        <v>10</v>
      </c>
      <c r="Q15" s="108" t="s">
        <v>23</v>
      </c>
      <c r="R15" s="108" t="s">
        <v>504</v>
      </c>
    </row>
    <row r="16" spans="1:18" ht="21.75" x14ac:dyDescent="0.2">
      <c r="A16" s="108"/>
      <c r="B16" s="108"/>
      <c r="C16" s="74" t="s">
        <v>16</v>
      </c>
      <c r="D16" s="74">
        <f t="shared" ref="D16" si="3">D15*50/100</f>
        <v>2500</v>
      </c>
      <c r="E16" s="75">
        <f t="shared" ref="E16:O16" si="4">MROUND(E15*50/100,50)</f>
        <v>2250</v>
      </c>
      <c r="F16" s="75">
        <f t="shared" si="4"/>
        <v>2000</v>
      </c>
      <c r="G16" s="75">
        <f t="shared" si="4"/>
        <v>1750</v>
      </c>
      <c r="H16" s="75">
        <f t="shared" si="4"/>
        <v>2250</v>
      </c>
      <c r="I16" s="75">
        <f t="shared" si="4"/>
        <v>2050</v>
      </c>
      <c r="J16" s="75">
        <f t="shared" si="4"/>
        <v>1800</v>
      </c>
      <c r="K16" s="75">
        <f t="shared" si="4"/>
        <v>1600</v>
      </c>
      <c r="L16" s="75">
        <f t="shared" si="4"/>
        <v>2000</v>
      </c>
      <c r="M16" s="75">
        <f t="shared" si="4"/>
        <v>1800</v>
      </c>
      <c r="N16" s="75">
        <f t="shared" si="4"/>
        <v>1600</v>
      </c>
      <c r="O16" s="75">
        <f t="shared" si="4"/>
        <v>1400</v>
      </c>
      <c r="P16" s="108"/>
      <c r="Q16" s="108" t="s">
        <v>23</v>
      </c>
      <c r="R16" s="108"/>
    </row>
    <row r="17" spans="1:18" ht="21.75" customHeight="1" x14ac:dyDescent="0.2">
      <c r="A17" s="108" t="s">
        <v>341</v>
      </c>
      <c r="B17" s="108" t="s">
        <v>46</v>
      </c>
      <c r="C17" s="74" t="s">
        <v>14</v>
      </c>
      <c r="D17" s="74">
        <v>5000</v>
      </c>
      <c r="E17" s="74">
        <f>MROUND(D17-(D17*10/100),50)</f>
        <v>4500</v>
      </c>
      <c r="F17" s="74">
        <f>MROUND(D17-(D17*20/100),50)</f>
        <v>4000</v>
      </c>
      <c r="G17" s="74">
        <f>MROUND(D17-(D17*30/100),50)</f>
        <v>3500</v>
      </c>
      <c r="H17" s="74">
        <f>MROUND(D17-(D17*10/100),50)</f>
        <v>4500</v>
      </c>
      <c r="I17" s="74">
        <f>MROUND(H17-(H17*10/100),50)</f>
        <v>4050</v>
      </c>
      <c r="J17" s="74">
        <f>MROUND(H17-(H17*20/100),50)</f>
        <v>3600</v>
      </c>
      <c r="K17" s="74">
        <f>MROUND(H17-(H17*30/100),50)</f>
        <v>3150</v>
      </c>
      <c r="L17" s="74">
        <f>MROUND(D17-(D17*20/100),50)</f>
        <v>4000</v>
      </c>
      <c r="M17" s="74">
        <f>MROUND(L17-(L17*10/100),50)</f>
        <v>3600</v>
      </c>
      <c r="N17" s="74">
        <f>MROUND(L17-(L17*20/100),50)</f>
        <v>3200</v>
      </c>
      <c r="O17" s="74">
        <f>MROUND(L17-(L17*30/100),50)</f>
        <v>2800</v>
      </c>
      <c r="P17" s="108" t="s">
        <v>10</v>
      </c>
      <c r="Q17" s="108" t="s">
        <v>23</v>
      </c>
      <c r="R17" s="108" t="s">
        <v>504</v>
      </c>
    </row>
    <row r="18" spans="1:18" ht="45" customHeight="1" x14ac:dyDescent="0.2">
      <c r="A18" s="108"/>
      <c r="B18" s="108"/>
      <c r="C18" s="74" t="s">
        <v>16</v>
      </c>
      <c r="D18" s="74">
        <f t="shared" ref="D18" si="5">D17*50/100</f>
        <v>2500</v>
      </c>
      <c r="E18" s="75">
        <f t="shared" ref="E18:O18" si="6">MROUND(E17*50/100,50)</f>
        <v>2250</v>
      </c>
      <c r="F18" s="75">
        <f t="shared" si="6"/>
        <v>2000</v>
      </c>
      <c r="G18" s="75">
        <f t="shared" si="6"/>
        <v>1750</v>
      </c>
      <c r="H18" s="75">
        <f t="shared" si="6"/>
        <v>2250</v>
      </c>
      <c r="I18" s="75">
        <f t="shared" si="6"/>
        <v>2050</v>
      </c>
      <c r="J18" s="75">
        <f t="shared" si="6"/>
        <v>1800</v>
      </c>
      <c r="K18" s="75">
        <f t="shared" si="6"/>
        <v>1600</v>
      </c>
      <c r="L18" s="75">
        <f t="shared" si="6"/>
        <v>2000</v>
      </c>
      <c r="M18" s="75">
        <f t="shared" si="6"/>
        <v>1800</v>
      </c>
      <c r="N18" s="75">
        <f t="shared" si="6"/>
        <v>1600</v>
      </c>
      <c r="O18" s="75">
        <f t="shared" si="6"/>
        <v>1400</v>
      </c>
      <c r="P18" s="108"/>
      <c r="Q18" s="108"/>
      <c r="R18" s="108"/>
    </row>
    <row r="19" spans="1:18" ht="43.5" x14ac:dyDescent="0.2">
      <c r="A19" s="75" t="s">
        <v>342</v>
      </c>
      <c r="B19" s="75" t="s">
        <v>47</v>
      </c>
      <c r="C19" s="81" t="s">
        <v>13</v>
      </c>
      <c r="D19" s="107">
        <v>10000</v>
      </c>
      <c r="E19" s="107"/>
      <c r="F19" s="107"/>
      <c r="G19" s="107"/>
      <c r="H19" s="107">
        <f>D19-(D19*20/100)</f>
        <v>8000</v>
      </c>
      <c r="I19" s="107"/>
      <c r="J19" s="107"/>
      <c r="K19" s="107"/>
      <c r="L19" s="107">
        <f>D19-(D19*40/100)</f>
        <v>6000</v>
      </c>
      <c r="M19" s="107"/>
      <c r="N19" s="107"/>
      <c r="O19" s="107"/>
      <c r="P19" s="74" t="s">
        <v>9</v>
      </c>
      <c r="Q19" s="74" t="s">
        <v>23</v>
      </c>
      <c r="R19" s="74" t="s">
        <v>504</v>
      </c>
    </row>
    <row r="20" spans="1:18" ht="21.75" x14ac:dyDescent="0.2">
      <c r="A20" s="109" t="s">
        <v>343</v>
      </c>
      <c r="B20" s="109" t="s">
        <v>134</v>
      </c>
      <c r="C20" s="79" t="s">
        <v>14</v>
      </c>
      <c r="D20" s="79">
        <v>5000</v>
      </c>
      <c r="E20" s="79">
        <f>MROUND(D20-(D20*10/100),50)</f>
        <v>4500</v>
      </c>
      <c r="F20" s="79">
        <f>MROUND(D20-(D20*20/100),50)</f>
        <v>4000</v>
      </c>
      <c r="G20" s="79">
        <f>MROUND(D20-(D20*30/100),50)</f>
        <v>3500</v>
      </c>
      <c r="H20" s="79">
        <f>MROUND(D20-(D20*10/100),50)</f>
        <v>4500</v>
      </c>
      <c r="I20" s="79">
        <f>MROUND(H20-(H20*10/100),50)</f>
        <v>4050</v>
      </c>
      <c r="J20" s="79">
        <f>MROUND(H20-(H20*20/100),50)</f>
        <v>3600</v>
      </c>
      <c r="K20" s="79">
        <f>MROUND(H20-(H20*30/100),50)</f>
        <v>3150</v>
      </c>
      <c r="L20" s="79">
        <f>MROUND(D20-(D20*20/100),50)</f>
        <v>4000</v>
      </c>
      <c r="M20" s="79">
        <f>MROUND(L20-(L20*10/100),50)</f>
        <v>3600</v>
      </c>
      <c r="N20" s="79">
        <f>MROUND(L20-(L20*20/100),50)</f>
        <v>3200</v>
      </c>
      <c r="O20" s="79">
        <f>MROUND(L20-(L20*30/100),50)</f>
        <v>2800</v>
      </c>
      <c r="P20" s="109" t="s">
        <v>10</v>
      </c>
      <c r="Q20" s="109" t="s">
        <v>23</v>
      </c>
      <c r="R20" s="109" t="s">
        <v>504</v>
      </c>
    </row>
    <row r="21" spans="1:18" ht="21.75" x14ac:dyDescent="0.2">
      <c r="A21" s="109"/>
      <c r="B21" s="109"/>
      <c r="C21" s="79" t="s">
        <v>16</v>
      </c>
      <c r="D21" s="79">
        <f t="shared" ref="D21" si="7">D20*50/100</f>
        <v>2500</v>
      </c>
      <c r="E21" s="79">
        <f t="shared" ref="E21:O21" si="8">MROUND(E20*50/100,50)</f>
        <v>2250</v>
      </c>
      <c r="F21" s="79">
        <f t="shared" si="8"/>
        <v>2000</v>
      </c>
      <c r="G21" s="79">
        <f t="shared" si="8"/>
        <v>1750</v>
      </c>
      <c r="H21" s="79">
        <f t="shared" si="8"/>
        <v>2250</v>
      </c>
      <c r="I21" s="79">
        <f t="shared" si="8"/>
        <v>2050</v>
      </c>
      <c r="J21" s="79">
        <f t="shared" si="8"/>
        <v>1800</v>
      </c>
      <c r="K21" s="79">
        <f t="shared" si="8"/>
        <v>1600</v>
      </c>
      <c r="L21" s="79">
        <f t="shared" si="8"/>
        <v>2000</v>
      </c>
      <c r="M21" s="79">
        <f t="shared" si="8"/>
        <v>1800</v>
      </c>
      <c r="N21" s="79">
        <f t="shared" si="8"/>
        <v>1600</v>
      </c>
      <c r="O21" s="79">
        <f t="shared" si="8"/>
        <v>1400</v>
      </c>
      <c r="P21" s="109"/>
      <c r="Q21" s="109"/>
      <c r="R21" s="109"/>
    </row>
    <row r="22" spans="1:18" ht="43.5" x14ac:dyDescent="0.2">
      <c r="A22" s="48">
        <v>39174</v>
      </c>
      <c r="B22" s="81" t="s">
        <v>48</v>
      </c>
      <c r="C22" s="81" t="s">
        <v>13</v>
      </c>
      <c r="D22" s="107">
        <v>5000</v>
      </c>
      <c r="E22" s="107"/>
      <c r="F22" s="107"/>
      <c r="G22" s="107"/>
      <c r="H22" s="107">
        <f>D22-(D22*20/100)</f>
        <v>4000</v>
      </c>
      <c r="I22" s="107"/>
      <c r="J22" s="107"/>
      <c r="K22" s="107"/>
      <c r="L22" s="107">
        <f>D22-(D22*40/100)</f>
        <v>3000</v>
      </c>
      <c r="M22" s="107"/>
      <c r="N22" s="107"/>
      <c r="O22" s="107"/>
      <c r="P22" s="74" t="s">
        <v>9</v>
      </c>
      <c r="Q22" s="77" t="s">
        <v>449</v>
      </c>
      <c r="R22" s="77" t="s">
        <v>504</v>
      </c>
    </row>
    <row r="23" spans="1:18" ht="21.75" x14ac:dyDescent="0.2">
      <c r="A23" s="131">
        <v>39540</v>
      </c>
      <c r="B23" s="108" t="s">
        <v>49</v>
      </c>
      <c r="C23" s="74" t="s">
        <v>14</v>
      </c>
      <c r="D23" s="74">
        <v>5000</v>
      </c>
      <c r="E23" s="74">
        <f>MROUND(D23-(D23*10/100),50)</f>
        <v>4500</v>
      </c>
      <c r="F23" s="74">
        <f>MROUND(D23-(D23*20/100),50)</f>
        <v>4000</v>
      </c>
      <c r="G23" s="74">
        <f>MROUND(D23-(D23*30/100),50)</f>
        <v>3500</v>
      </c>
      <c r="H23" s="74">
        <f>MROUND(D23-(D23*10/100),50)</f>
        <v>4500</v>
      </c>
      <c r="I23" s="74">
        <f>MROUND(H23-(H23*10/100),50)</f>
        <v>4050</v>
      </c>
      <c r="J23" s="74">
        <f>MROUND(H23-(H23*20/100),50)</f>
        <v>3600</v>
      </c>
      <c r="K23" s="74">
        <f>MROUND(H23-(H23*30/100),50)</f>
        <v>3150</v>
      </c>
      <c r="L23" s="74">
        <f>MROUND(D23-(D23*20/100),50)</f>
        <v>4000</v>
      </c>
      <c r="M23" s="74">
        <f>MROUND(L23-(L23*10/100),50)</f>
        <v>3600</v>
      </c>
      <c r="N23" s="74">
        <f>MROUND(L23-(L23*20/100),50)</f>
        <v>3200</v>
      </c>
      <c r="O23" s="74">
        <f>MROUND(L23-(L23*30/100),50)</f>
        <v>2800</v>
      </c>
      <c r="P23" s="108" t="s">
        <v>10</v>
      </c>
      <c r="Q23" s="112" t="s">
        <v>23</v>
      </c>
      <c r="R23" s="112" t="s">
        <v>504</v>
      </c>
    </row>
    <row r="24" spans="1:18" ht="21.75" customHeight="1" x14ac:dyDescent="0.2">
      <c r="A24" s="131"/>
      <c r="B24" s="108"/>
      <c r="C24" s="74" t="s">
        <v>16</v>
      </c>
      <c r="D24" s="74">
        <f t="shared" ref="D24" si="9">D23*50/100</f>
        <v>2500</v>
      </c>
      <c r="E24" s="75">
        <f t="shared" ref="E24:O24" si="10">MROUND(E23*50/100,50)</f>
        <v>2250</v>
      </c>
      <c r="F24" s="75">
        <f t="shared" si="10"/>
        <v>2000</v>
      </c>
      <c r="G24" s="75">
        <f t="shared" si="10"/>
        <v>1750</v>
      </c>
      <c r="H24" s="75">
        <f t="shared" si="10"/>
        <v>2250</v>
      </c>
      <c r="I24" s="75">
        <f t="shared" si="10"/>
        <v>2050</v>
      </c>
      <c r="J24" s="75">
        <f t="shared" si="10"/>
        <v>1800</v>
      </c>
      <c r="K24" s="75">
        <f t="shared" si="10"/>
        <v>1600</v>
      </c>
      <c r="L24" s="75">
        <f t="shared" si="10"/>
        <v>2000</v>
      </c>
      <c r="M24" s="75">
        <f t="shared" si="10"/>
        <v>1800</v>
      </c>
      <c r="N24" s="75">
        <f t="shared" si="10"/>
        <v>1600</v>
      </c>
      <c r="O24" s="75">
        <f t="shared" si="10"/>
        <v>1400</v>
      </c>
      <c r="P24" s="108"/>
      <c r="Q24" s="112"/>
      <c r="R24" s="112"/>
    </row>
    <row r="25" spans="1:18" ht="43.5" x14ac:dyDescent="0.2">
      <c r="A25" s="83">
        <v>39905</v>
      </c>
      <c r="B25" s="75" t="s">
        <v>72</v>
      </c>
      <c r="C25" s="81" t="s">
        <v>13</v>
      </c>
      <c r="D25" s="107">
        <v>5000</v>
      </c>
      <c r="E25" s="107"/>
      <c r="F25" s="107"/>
      <c r="G25" s="107"/>
      <c r="H25" s="107">
        <f>D25-(D25*20/100)</f>
        <v>4000</v>
      </c>
      <c r="I25" s="107"/>
      <c r="J25" s="107"/>
      <c r="K25" s="107"/>
      <c r="L25" s="107">
        <f>D25-(D25*40/100)</f>
        <v>3000</v>
      </c>
      <c r="M25" s="107"/>
      <c r="N25" s="107"/>
      <c r="O25" s="107"/>
      <c r="P25" s="74" t="s">
        <v>9</v>
      </c>
      <c r="Q25" s="73" t="s">
        <v>450</v>
      </c>
      <c r="R25" s="73" t="s">
        <v>504</v>
      </c>
    </row>
    <row r="26" spans="1:18" ht="21.75" x14ac:dyDescent="0.2">
      <c r="A26" s="83">
        <v>40270</v>
      </c>
      <c r="B26" s="75" t="s">
        <v>50</v>
      </c>
      <c r="C26" s="81" t="s">
        <v>13</v>
      </c>
      <c r="D26" s="107">
        <v>10000</v>
      </c>
      <c r="E26" s="107"/>
      <c r="F26" s="107"/>
      <c r="G26" s="107"/>
      <c r="H26" s="107">
        <f>D26-(D26*20/100)</f>
        <v>8000</v>
      </c>
      <c r="I26" s="107"/>
      <c r="J26" s="107"/>
      <c r="K26" s="107"/>
      <c r="L26" s="107">
        <f>D26-(D26*40/100)</f>
        <v>6000</v>
      </c>
      <c r="M26" s="107"/>
      <c r="N26" s="107"/>
      <c r="O26" s="107"/>
      <c r="P26" s="74" t="s">
        <v>9</v>
      </c>
      <c r="Q26" s="81" t="s">
        <v>23</v>
      </c>
      <c r="R26" s="81" t="s">
        <v>504</v>
      </c>
    </row>
    <row r="27" spans="1:18" ht="21.75" x14ac:dyDescent="0.2">
      <c r="A27" s="83">
        <v>40635</v>
      </c>
      <c r="B27" s="75" t="s">
        <v>18</v>
      </c>
      <c r="C27" s="81" t="s">
        <v>13</v>
      </c>
      <c r="D27" s="107">
        <v>2000</v>
      </c>
      <c r="E27" s="107"/>
      <c r="F27" s="107"/>
      <c r="G27" s="107"/>
      <c r="H27" s="107">
        <f>D27-(D27*20/100)</f>
        <v>1600</v>
      </c>
      <c r="I27" s="107"/>
      <c r="J27" s="107"/>
      <c r="K27" s="107"/>
      <c r="L27" s="107">
        <f>D27-(D27*40/100)</f>
        <v>1200</v>
      </c>
      <c r="M27" s="107"/>
      <c r="N27" s="107"/>
      <c r="O27" s="107"/>
      <c r="P27" s="74" t="s">
        <v>9</v>
      </c>
      <c r="Q27" s="81" t="s">
        <v>23</v>
      </c>
      <c r="R27" s="81" t="s">
        <v>504</v>
      </c>
    </row>
    <row r="28" spans="1:18" ht="21.75" customHeight="1" x14ac:dyDescent="0.2">
      <c r="A28" s="131">
        <v>41001</v>
      </c>
      <c r="B28" s="108" t="s">
        <v>51</v>
      </c>
      <c r="C28" s="74" t="s">
        <v>14</v>
      </c>
      <c r="D28" s="74">
        <v>5000</v>
      </c>
      <c r="E28" s="74">
        <f>MROUND(D28-(D28*10/100),50)</f>
        <v>4500</v>
      </c>
      <c r="F28" s="74">
        <f>MROUND(D28-(D28*20/100),50)</f>
        <v>4000</v>
      </c>
      <c r="G28" s="74">
        <f>MROUND(D28-(D28*30/100),50)</f>
        <v>3500</v>
      </c>
      <c r="H28" s="74">
        <f>MROUND(D28-(D28*10/100),50)</f>
        <v>4500</v>
      </c>
      <c r="I28" s="74">
        <f>MROUND(H28-(H28*10/100),50)</f>
        <v>4050</v>
      </c>
      <c r="J28" s="74">
        <f>MROUND(H28-(H28*20/100),50)</f>
        <v>3600</v>
      </c>
      <c r="K28" s="74">
        <f>MROUND(H28-(H28*30/100),50)</f>
        <v>3150</v>
      </c>
      <c r="L28" s="74">
        <f>MROUND(D28-(D28*20/100),50)</f>
        <v>4000</v>
      </c>
      <c r="M28" s="74">
        <f>MROUND(L28-(L28*10/100),50)</f>
        <v>3600</v>
      </c>
      <c r="N28" s="74">
        <f>MROUND(L28-(L28*20/100),50)</f>
        <v>3200</v>
      </c>
      <c r="O28" s="74">
        <f>MROUND(L28-(L28*30/100),50)</f>
        <v>2800</v>
      </c>
      <c r="P28" s="108" t="s">
        <v>10</v>
      </c>
      <c r="Q28" s="108" t="s">
        <v>23</v>
      </c>
      <c r="R28" s="108" t="s">
        <v>504</v>
      </c>
    </row>
    <row r="29" spans="1:18" ht="21.75" customHeight="1" x14ac:dyDescent="0.2">
      <c r="A29" s="131"/>
      <c r="B29" s="108"/>
      <c r="C29" s="74" t="s">
        <v>16</v>
      </c>
      <c r="D29" s="74">
        <f t="shared" ref="D29" si="11">D28*50/100</f>
        <v>2500</v>
      </c>
      <c r="E29" s="75">
        <f t="shared" ref="E29:O29" si="12">MROUND(E28*50/100,50)</f>
        <v>2250</v>
      </c>
      <c r="F29" s="75">
        <f t="shared" si="12"/>
        <v>2000</v>
      </c>
      <c r="G29" s="75">
        <f t="shared" si="12"/>
        <v>1750</v>
      </c>
      <c r="H29" s="75">
        <f t="shared" si="12"/>
        <v>2250</v>
      </c>
      <c r="I29" s="75">
        <f t="shared" si="12"/>
        <v>2050</v>
      </c>
      <c r="J29" s="75">
        <f t="shared" si="12"/>
        <v>1800</v>
      </c>
      <c r="K29" s="75">
        <f t="shared" si="12"/>
        <v>1600</v>
      </c>
      <c r="L29" s="75">
        <f t="shared" si="12"/>
        <v>2000</v>
      </c>
      <c r="M29" s="75">
        <f t="shared" si="12"/>
        <v>1800</v>
      </c>
      <c r="N29" s="75">
        <f t="shared" si="12"/>
        <v>1600</v>
      </c>
      <c r="O29" s="75">
        <f t="shared" si="12"/>
        <v>1400</v>
      </c>
      <c r="P29" s="108"/>
      <c r="Q29" s="108"/>
      <c r="R29" s="108"/>
    </row>
    <row r="30" spans="1:18" ht="21.75" x14ac:dyDescent="0.2">
      <c r="A30" s="48">
        <v>41366</v>
      </c>
      <c r="B30" s="81" t="s">
        <v>21</v>
      </c>
      <c r="C30" s="81" t="s">
        <v>13</v>
      </c>
      <c r="D30" s="107">
        <v>15000</v>
      </c>
      <c r="E30" s="107"/>
      <c r="F30" s="107"/>
      <c r="G30" s="107"/>
      <c r="H30" s="107">
        <f>D30-(D30*20/100)</f>
        <v>12000</v>
      </c>
      <c r="I30" s="107"/>
      <c r="J30" s="107"/>
      <c r="K30" s="107"/>
      <c r="L30" s="107">
        <f>D30-(D30*40/100)</f>
        <v>9000</v>
      </c>
      <c r="M30" s="107"/>
      <c r="N30" s="107"/>
      <c r="O30" s="107"/>
      <c r="P30" s="74" t="s">
        <v>9</v>
      </c>
      <c r="Q30" s="81" t="s">
        <v>23</v>
      </c>
      <c r="R30" s="81" t="s">
        <v>504</v>
      </c>
    </row>
    <row r="31" spans="1:18" ht="43.5" x14ac:dyDescent="0.2">
      <c r="A31" s="48">
        <v>41731</v>
      </c>
      <c r="B31" s="81" t="s">
        <v>22</v>
      </c>
      <c r="C31" s="81" t="s">
        <v>13</v>
      </c>
      <c r="D31" s="107">
        <v>100000</v>
      </c>
      <c r="E31" s="107">
        <f>D31-(D31*10/100)</f>
        <v>90000</v>
      </c>
      <c r="F31" s="107">
        <f>D31-(D31*20/100)</f>
        <v>80000</v>
      </c>
      <c r="G31" s="107">
        <f>D31-(D31*30/100)</f>
        <v>70000</v>
      </c>
      <c r="H31" s="107">
        <f>D31-(D31*20/100)</f>
        <v>80000</v>
      </c>
      <c r="I31" s="107"/>
      <c r="J31" s="107"/>
      <c r="K31" s="107"/>
      <c r="L31" s="107">
        <f>D31-(D31*40/100)</f>
        <v>60000</v>
      </c>
      <c r="M31" s="107"/>
      <c r="N31" s="107"/>
      <c r="O31" s="107"/>
      <c r="P31" s="74" t="s">
        <v>9</v>
      </c>
      <c r="Q31" s="78" t="s">
        <v>451</v>
      </c>
      <c r="R31" s="78" t="s">
        <v>504</v>
      </c>
    </row>
    <row r="32" spans="1:18" ht="43.5" x14ac:dyDescent="0.2">
      <c r="A32" s="48">
        <v>42096</v>
      </c>
      <c r="B32" s="81" t="s">
        <v>52</v>
      </c>
      <c r="C32" s="81" t="s">
        <v>13</v>
      </c>
      <c r="D32" s="107">
        <v>50000</v>
      </c>
      <c r="E32" s="107">
        <f>D32-(D32*10/100)</f>
        <v>45000</v>
      </c>
      <c r="F32" s="107">
        <f>D32-(D32*20/100)</f>
        <v>40000</v>
      </c>
      <c r="G32" s="107">
        <f>D32-(D32*30/100)</f>
        <v>35000</v>
      </c>
      <c r="H32" s="107">
        <f>D32-(D32*20/100)</f>
        <v>40000</v>
      </c>
      <c r="I32" s="107"/>
      <c r="J32" s="107"/>
      <c r="K32" s="107"/>
      <c r="L32" s="107">
        <f>D32-(D32*40/100)</f>
        <v>30000</v>
      </c>
      <c r="M32" s="107"/>
      <c r="N32" s="107"/>
      <c r="O32" s="107"/>
      <c r="P32" s="74" t="s">
        <v>9</v>
      </c>
      <c r="Q32" s="78" t="s">
        <v>452</v>
      </c>
      <c r="R32" s="78" t="s">
        <v>504</v>
      </c>
    </row>
    <row r="33" spans="1:19" ht="43.5" x14ac:dyDescent="0.2">
      <c r="A33" s="83">
        <v>42462</v>
      </c>
      <c r="B33" s="75" t="s">
        <v>53</v>
      </c>
      <c r="C33" s="81" t="s">
        <v>13</v>
      </c>
      <c r="D33" s="107">
        <v>10000</v>
      </c>
      <c r="E33" s="107">
        <f t="shared" ref="E33" si="13">D33-(D33*10/100)</f>
        <v>9000</v>
      </c>
      <c r="F33" s="107">
        <f t="shared" ref="F33" si="14">D33-(D33*20/100)</f>
        <v>8000</v>
      </c>
      <c r="G33" s="107">
        <f t="shared" ref="G33" si="15">D33-(D33*30/100)</f>
        <v>7000</v>
      </c>
      <c r="H33" s="107">
        <f>D33-(D33*20/100)</f>
        <v>8000</v>
      </c>
      <c r="I33" s="107"/>
      <c r="J33" s="107"/>
      <c r="K33" s="107"/>
      <c r="L33" s="107">
        <f>D33-(D33*40/100)</f>
        <v>6000</v>
      </c>
      <c r="M33" s="107"/>
      <c r="N33" s="107"/>
      <c r="O33" s="107"/>
      <c r="P33" s="74" t="s">
        <v>9</v>
      </c>
      <c r="Q33" s="78" t="s">
        <v>453</v>
      </c>
      <c r="R33" s="78" t="s">
        <v>504</v>
      </c>
    </row>
    <row r="34" spans="1:19" ht="20.25" customHeight="1" x14ac:dyDescent="0.2">
      <c r="A34" s="83">
        <v>42827</v>
      </c>
      <c r="B34" s="75" t="s">
        <v>54</v>
      </c>
      <c r="C34" s="81" t="s">
        <v>13</v>
      </c>
      <c r="D34" s="107">
        <v>5000</v>
      </c>
      <c r="E34" s="107"/>
      <c r="F34" s="107"/>
      <c r="G34" s="107"/>
      <c r="H34" s="107">
        <f>D34-(D34*20/100)</f>
        <v>4000</v>
      </c>
      <c r="I34" s="107"/>
      <c r="J34" s="107"/>
      <c r="K34" s="107"/>
      <c r="L34" s="107">
        <f>D34-(D34*40/100)</f>
        <v>3000</v>
      </c>
      <c r="M34" s="107"/>
      <c r="N34" s="107"/>
      <c r="O34" s="107"/>
      <c r="P34" s="74" t="s">
        <v>9</v>
      </c>
      <c r="Q34" s="75" t="s">
        <v>23</v>
      </c>
      <c r="R34" s="75" t="s">
        <v>504</v>
      </c>
    </row>
    <row r="35" spans="1:19" ht="21.75" customHeight="1" x14ac:dyDescent="0.2">
      <c r="A35" s="132">
        <v>43192</v>
      </c>
      <c r="B35" s="107" t="s">
        <v>55</v>
      </c>
      <c r="C35" s="74" t="s">
        <v>14</v>
      </c>
      <c r="D35" s="74">
        <v>5000</v>
      </c>
      <c r="E35" s="74">
        <f>MROUND(D35-(D35*10/100),50)</f>
        <v>4500</v>
      </c>
      <c r="F35" s="74">
        <f>MROUND(D35-(D35*20/100),50)</f>
        <v>4000</v>
      </c>
      <c r="G35" s="74">
        <f>MROUND(D35-(D35*30/100),50)</f>
        <v>3500</v>
      </c>
      <c r="H35" s="74">
        <f>MROUND(D35-(D35*10/100),50)</f>
        <v>4500</v>
      </c>
      <c r="I35" s="74">
        <f>MROUND(H35-(H35*10/100),50)</f>
        <v>4050</v>
      </c>
      <c r="J35" s="74">
        <f>MROUND(H35-(H35*20/100),50)</f>
        <v>3600</v>
      </c>
      <c r="K35" s="74">
        <f>MROUND(H35-(H35*30/100),50)</f>
        <v>3150</v>
      </c>
      <c r="L35" s="74">
        <f>MROUND(D35-(D35*20/100),50)</f>
        <v>4000</v>
      </c>
      <c r="M35" s="74">
        <f>MROUND(L35-(L35*10/100),50)</f>
        <v>3600</v>
      </c>
      <c r="N35" s="74">
        <f>MROUND(L35-(L35*20/100),50)</f>
        <v>3200</v>
      </c>
      <c r="O35" s="74">
        <f>MROUND(L35-(L35*30/100),50)</f>
        <v>2800</v>
      </c>
      <c r="P35" s="108" t="s">
        <v>10</v>
      </c>
      <c r="Q35" s="107" t="s">
        <v>23</v>
      </c>
      <c r="R35" s="107" t="s">
        <v>504</v>
      </c>
    </row>
    <row r="36" spans="1:19" ht="21.75" x14ac:dyDescent="0.2">
      <c r="A36" s="132"/>
      <c r="B36" s="107"/>
      <c r="C36" s="74" t="s">
        <v>16</v>
      </c>
      <c r="D36" s="74">
        <f t="shared" ref="D36" si="16">D35*50/100</f>
        <v>2500</v>
      </c>
      <c r="E36" s="75">
        <f t="shared" ref="E36:O36" si="17">MROUND(E35*50/100,50)</f>
        <v>2250</v>
      </c>
      <c r="F36" s="75">
        <f t="shared" si="17"/>
        <v>2000</v>
      </c>
      <c r="G36" s="75">
        <f t="shared" si="17"/>
        <v>1750</v>
      </c>
      <c r="H36" s="75">
        <f t="shared" si="17"/>
        <v>2250</v>
      </c>
      <c r="I36" s="75">
        <f t="shared" si="17"/>
        <v>2050</v>
      </c>
      <c r="J36" s="75">
        <f t="shared" si="17"/>
        <v>1800</v>
      </c>
      <c r="K36" s="75">
        <f t="shared" si="17"/>
        <v>1600</v>
      </c>
      <c r="L36" s="75">
        <f t="shared" si="17"/>
        <v>2000</v>
      </c>
      <c r="M36" s="75">
        <f t="shared" si="17"/>
        <v>1800</v>
      </c>
      <c r="N36" s="75">
        <f t="shared" si="17"/>
        <v>1600</v>
      </c>
      <c r="O36" s="75">
        <f t="shared" si="17"/>
        <v>1400</v>
      </c>
      <c r="P36" s="108"/>
      <c r="Q36" s="107"/>
      <c r="R36" s="107"/>
    </row>
    <row r="37" spans="1:19" ht="21.75" x14ac:dyDescent="0.2">
      <c r="A37" s="131">
        <v>43557</v>
      </c>
      <c r="B37" s="107" t="s">
        <v>56</v>
      </c>
      <c r="C37" s="74" t="s">
        <v>14</v>
      </c>
      <c r="D37" s="74">
        <v>5000</v>
      </c>
      <c r="E37" s="74">
        <f>MROUND(D37-(D37*10/100),50)</f>
        <v>4500</v>
      </c>
      <c r="F37" s="74">
        <f>MROUND(D37-(D37*20/100),50)</f>
        <v>4000</v>
      </c>
      <c r="G37" s="74">
        <f>MROUND(D37-(D37*30/100),50)</f>
        <v>3500</v>
      </c>
      <c r="H37" s="74">
        <f>MROUND(D37-(D37*10/100),50)</f>
        <v>4500</v>
      </c>
      <c r="I37" s="74">
        <f>MROUND(H37-(H37*10/100),50)</f>
        <v>4050</v>
      </c>
      <c r="J37" s="74">
        <f>MROUND(H37-(H37*20/100),50)</f>
        <v>3600</v>
      </c>
      <c r="K37" s="74">
        <f>MROUND(H37-(H37*30/100),50)</f>
        <v>3150</v>
      </c>
      <c r="L37" s="74">
        <f>MROUND(D37-(D37*20/100),50)</f>
        <v>4000</v>
      </c>
      <c r="M37" s="74">
        <f>MROUND(L37-(L37*10/100),50)</f>
        <v>3600</v>
      </c>
      <c r="N37" s="74">
        <f>MROUND(L37-(L37*20/100),50)</f>
        <v>3200</v>
      </c>
      <c r="O37" s="74">
        <f>MROUND(L37-(L37*30/100),50)</f>
        <v>2800</v>
      </c>
      <c r="P37" s="108" t="s">
        <v>10</v>
      </c>
      <c r="Q37" s="107" t="s">
        <v>23</v>
      </c>
      <c r="R37" s="107" t="s">
        <v>504</v>
      </c>
    </row>
    <row r="38" spans="1:19" ht="51" customHeight="1" x14ac:dyDescent="0.2">
      <c r="A38" s="131"/>
      <c r="B38" s="107"/>
      <c r="C38" s="74" t="s">
        <v>16</v>
      </c>
      <c r="D38" s="74">
        <f t="shared" ref="D38:D42" si="18">D37*50/100</f>
        <v>2500</v>
      </c>
      <c r="E38" s="75">
        <f t="shared" ref="E38:O38" si="19">MROUND(E37*50/100,50)</f>
        <v>2250</v>
      </c>
      <c r="F38" s="75">
        <f t="shared" si="19"/>
        <v>2000</v>
      </c>
      <c r="G38" s="75">
        <f t="shared" si="19"/>
        <v>1750</v>
      </c>
      <c r="H38" s="75">
        <f t="shared" si="19"/>
        <v>2250</v>
      </c>
      <c r="I38" s="75">
        <f t="shared" si="19"/>
        <v>2050</v>
      </c>
      <c r="J38" s="75">
        <f t="shared" si="19"/>
        <v>1800</v>
      </c>
      <c r="K38" s="75">
        <f t="shared" si="19"/>
        <v>1600</v>
      </c>
      <c r="L38" s="75">
        <f t="shared" si="19"/>
        <v>2000</v>
      </c>
      <c r="M38" s="75">
        <f t="shared" si="19"/>
        <v>1800</v>
      </c>
      <c r="N38" s="75">
        <f t="shared" si="19"/>
        <v>1600</v>
      </c>
      <c r="O38" s="75">
        <f t="shared" si="19"/>
        <v>1400</v>
      </c>
      <c r="P38" s="108"/>
      <c r="Q38" s="107"/>
      <c r="R38" s="107"/>
    </row>
    <row r="39" spans="1:19" ht="51" customHeight="1" x14ac:dyDescent="0.2">
      <c r="A39" s="132">
        <v>43923</v>
      </c>
      <c r="B39" s="127" t="s">
        <v>97</v>
      </c>
      <c r="C39" s="74" t="s">
        <v>14</v>
      </c>
      <c r="D39" s="74">
        <v>5000</v>
      </c>
      <c r="E39" s="74">
        <f>MROUND(D39-(D39*10/100),50)</f>
        <v>4500</v>
      </c>
      <c r="F39" s="74">
        <f>MROUND(D39-(D39*20/100),50)</f>
        <v>4000</v>
      </c>
      <c r="G39" s="74">
        <f>MROUND(D39-(D39*30/100),50)</f>
        <v>3500</v>
      </c>
      <c r="H39" s="74">
        <f>MROUND(D39-(D39*10/100),50)</f>
        <v>4500</v>
      </c>
      <c r="I39" s="74">
        <f>MROUND(H39-(H39*10/100),50)</f>
        <v>4050</v>
      </c>
      <c r="J39" s="74">
        <f>MROUND(H39-(H39*20/100),50)</f>
        <v>3600</v>
      </c>
      <c r="K39" s="74">
        <f>MROUND(H39-(H39*30/100),50)</f>
        <v>3150</v>
      </c>
      <c r="L39" s="74">
        <f>MROUND(D39-(D39*20/100),50)</f>
        <v>4000</v>
      </c>
      <c r="M39" s="74">
        <f>MROUND(L39-(L39*10/100),50)</f>
        <v>3600</v>
      </c>
      <c r="N39" s="74">
        <f>MROUND(L39-(L39*20/100),50)</f>
        <v>3200</v>
      </c>
      <c r="O39" s="74">
        <f>MROUND(L39-(L39*30/100),50)</f>
        <v>2800</v>
      </c>
      <c r="P39" s="108" t="s">
        <v>10</v>
      </c>
      <c r="Q39" s="113" t="s">
        <v>418</v>
      </c>
      <c r="R39" s="113" t="s">
        <v>504</v>
      </c>
    </row>
    <row r="40" spans="1:19" ht="21.75" x14ac:dyDescent="0.2">
      <c r="A40" s="132"/>
      <c r="B40" s="127"/>
      <c r="C40" s="74" t="s">
        <v>16</v>
      </c>
      <c r="D40" s="74">
        <f t="shared" si="18"/>
        <v>2500</v>
      </c>
      <c r="E40" s="75">
        <f t="shared" ref="E40:O40" si="20">MROUND(E39*50/100,50)</f>
        <v>2250</v>
      </c>
      <c r="F40" s="75">
        <f t="shared" si="20"/>
        <v>2000</v>
      </c>
      <c r="G40" s="75">
        <f t="shared" si="20"/>
        <v>1750</v>
      </c>
      <c r="H40" s="75">
        <f t="shared" si="20"/>
        <v>2250</v>
      </c>
      <c r="I40" s="75">
        <f t="shared" si="20"/>
        <v>2050</v>
      </c>
      <c r="J40" s="75">
        <f t="shared" si="20"/>
        <v>1800</v>
      </c>
      <c r="K40" s="75">
        <f t="shared" si="20"/>
        <v>1600</v>
      </c>
      <c r="L40" s="75">
        <f t="shared" si="20"/>
        <v>2000</v>
      </c>
      <c r="M40" s="75">
        <f t="shared" si="20"/>
        <v>1800</v>
      </c>
      <c r="N40" s="75">
        <f t="shared" si="20"/>
        <v>1600</v>
      </c>
      <c r="O40" s="75">
        <f t="shared" si="20"/>
        <v>1400</v>
      </c>
      <c r="P40" s="108"/>
      <c r="Q40" s="113"/>
      <c r="R40" s="113"/>
    </row>
    <row r="41" spans="1:19" ht="51" customHeight="1" x14ac:dyDescent="0.2">
      <c r="A41" s="132">
        <v>44288</v>
      </c>
      <c r="B41" s="107" t="s">
        <v>98</v>
      </c>
      <c r="C41" s="74" t="s">
        <v>14</v>
      </c>
      <c r="D41" s="74">
        <v>5000</v>
      </c>
      <c r="E41" s="74">
        <f>MROUND(D41-(D41*10/100),50)</f>
        <v>4500</v>
      </c>
      <c r="F41" s="74">
        <f>MROUND(D41-(D41*20/100),50)</f>
        <v>4000</v>
      </c>
      <c r="G41" s="74">
        <f>MROUND(D41-(D41*30/100),50)</f>
        <v>3500</v>
      </c>
      <c r="H41" s="74">
        <f>MROUND(D41-(D41*10/100),50)</f>
        <v>4500</v>
      </c>
      <c r="I41" s="74">
        <f>MROUND(H41-(H41*10/100),50)</f>
        <v>4050</v>
      </c>
      <c r="J41" s="74">
        <f>MROUND(H41-(H41*20/100),50)</f>
        <v>3600</v>
      </c>
      <c r="K41" s="74">
        <f>MROUND(H41-(H41*30/100),50)</f>
        <v>3150</v>
      </c>
      <c r="L41" s="74">
        <f>MROUND(D41-(D41*20/100),50)</f>
        <v>4000</v>
      </c>
      <c r="M41" s="74">
        <f>MROUND(L41-(L41*10/100),50)</f>
        <v>3600</v>
      </c>
      <c r="N41" s="74">
        <f>MROUND(L41-(L41*20/100),50)</f>
        <v>3200</v>
      </c>
      <c r="O41" s="74">
        <f>MROUND(L41-(L41*30/100),50)</f>
        <v>2800</v>
      </c>
      <c r="P41" s="108" t="s">
        <v>10</v>
      </c>
      <c r="Q41" s="113" t="s">
        <v>418</v>
      </c>
      <c r="R41" s="113" t="s">
        <v>504</v>
      </c>
    </row>
    <row r="42" spans="1:19" ht="23.25" customHeight="1" x14ac:dyDescent="0.2">
      <c r="A42" s="132"/>
      <c r="B42" s="107"/>
      <c r="C42" s="74" t="s">
        <v>16</v>
      </c>
      <c r="D42" s="74">
        <f t="shared" si="18"/>
        <v>2500</v>
      </c>
      <c r="E42" s="75">
        <f t="shared" ref="E42:O42" si="21">MROUND(E41*50/100,50)</f>
        <v>2250</v>
      </c>
      <c r="F42" s="75">
        <f t="shared" si="21"/>
        <v>2000</v>
      </c>
      <c r="G42" s="75">
        <f t="shared" si="21"/>
        <v>1750</v>
      </c>
      <c r="H42" s="75">
        <f t="shared" si="21"/>
        <v>2250</v>
      </c>
      <c r="I42" s="75">
        <f t="shared" si="21"/>
        <v>2050</v>
      </c>
      <c r="J42" s="75">
        <f t="shared" si="21"/>
        <v>1800</v>
      </c>
      <c r="K42" s="75">
        <f t="shared" si="21"/>
        <v>1600</v>
      </c>
      <c r="L42" s="75">
        <f t="shared" si="21"/>
        <v>2000</v>
      </c>
      <c r="M42" s="75">
        <f t="shared" si="21"/>
        <v>1800</v>
      </c>
      <c r="N42" s="75">
        <f t="shared" si="21"/>
        <v>1600</v>
      </c>
      <c r="O42" s="75">
        <f t="shared" si="21"/>
        <v>1400</v>
      </c>
      <c r="P42" s="108"/>
      <c r="Q42" s="113"/>
      <c r="R42" s="113"/>
    </row>
    <row r="43" spans="1:19" ht="18.75" customHeight="1" x14ac:dyDescent="0.2">
      <c r="A43" s="105" t="s">
        <v>41</v>
      </c>
      <c r="B43" s="105"/>
      <c r="C43" s="105"/>
      <c r="D43" s="105"/>
      <c r="E43" s="105"/>
      <c r="F43" s="105"/>
      <c r="G43" s="105"/>
      <c r="H43" s="105"/>
      <c r="I43" s="105"/>
      <c r="J43" s="105"/>
      <c r="K43" s="105"/>
      <c r="L43" s="105"/>
      <c r="M43" s="105"/>
      <c r="N43" s="105"/>
      <c r="O43" s="105"/>
      <c r="P43" s="105"/>
      <c r="Q43" s="105"/>
      <c r="R43" s="105"/>
    </row>
    <row r="44" spans="1:19" s="19" customFormat="1" ht="65.25" x14ac:dyDescent="0.2">
      <c r="A44" s="75" t="s">
        <v>344</v>
      </c>
      <c r="B44" s="73" t="s">
        <v>430</v>
      </c>
      <c r="C44" s="77" t="s">
        <v>13</v>
      </c>
      <c r="D44" s="113">
        <v>100000</v>
      </c>
      <c r="E44" s="113"/>
      <c r="F44" s="113"/>
      <c r="G44" s="113"/>
      <c r="H44" s="113">
        <f>D44-(D44*20/100)</f>
        <v>80000</v>
      </c>
      <c r="I44" s="113"/>
      <c r="J44" s="113"/>
      <c r="K44" s="113"/>
      <c r="L44" s="113">
        <f>D44-(D44*40/100)</f>
        <v>60000</v>
      </c>
      <c r="M44" s="113"/>
      <c r="N44" s="113"/>
      <c r="O44" s="113"/>
      <c r="P44" s="74" t="s">
        <v>9</v>
      </c>
      <c r="Q44" s="75" t="s">
        <v>23</v>
      </c>
      <c r="R44" s="85" t="s">
        <v>525</v>
      </c>
    </row>
    <row r="45" spans="1:19" ht="65.25" x14ac:dyDescent="0.2">
      <c r="A45" s="75" t="s">
        <v>345</v>
      </c>
      <c r="B45" s="73" t="s">
        <v>120</v>
      </c>
      <c r="C45" s="77" t="s">
        <v>24</v>
      </c>
      <c r="D45" s="113">
        <v>100000</v>
      </c>
      <c r="E45" s="113"/>
      <c r="F45" s="113"/>
      <c r="G45" s="113"/>
      <c r="H45" s="113">
        <f t="shared" ref="H45" si="22">D45-(D45*20/100)</f>
        <v>80000</v>
      </c>
      <c r="I45" s="113"/>
      <c r="J45" s="113"/>
      <c r="K45" s="113"/>
      <c r="L45" s="113">
        <f t="shared" ref="L45" si="23">D45-(D45*40/100)</f>
        <v>60000</v>
      </c>
      <c r="M45" s="113"/>
      <c r="N45" s="113"/>
      <c r="O45" s="113"/>
      <c r="P45" s="74" t="s">
        <v>9</v>
      </c>
      <c r="Q45" s="81" t="s">
        <v>23</v>
      </c>
      <c r="R45" s="85" t="s">
        <v>526</v>
      </c>
    </row>
    <row r="46" spans="1:19" ht="43.5" x14ac:dyDescent="0.2">
      <c r="A46" s="80" t="s">
        <v>468</v>
      </c>
      <c r="B46" s="73" t="s">
        <v>33</v>
      </c>
      <c r="C46" s="77" t="s">
        <v>13</v>
      </c>
      <c r="D46" s="113">
        <v>30000</v>
      </c>
      <c r="E46" s="113">
        <f>D46-(D46*10/100)</f>
        <v>27000</v>
      </c>
      <c r="F46" s="113">
        <f>D46-(D46*20/100)</f>
        <v>24000</v>
      </c>
      <c r="G46" s="113">
        <f>D46-(D46*30/100)</f>
        <v>21000</v>
      </c>
      <c r="H46" s="113">
        <f>D46-(D46*20/100)</f>
        <v>24000</v>
      </c>
      <c r="I46" s="113"/>
      <c r="J46" s="113"/>
      <c r="K46" s="113"/>
      <c r="L46" s="113">
        <f>D46-(D46*40/100)</f>
        <v>18000</v>
      </c>
      <c r="M46" s="113"/>
      <c r="N46" s="113"/>
      <c r="O46" s="113"/>
      <c r="P46" s="74" t="s">
        <v>9</v>
      </c>
      <c r="Q46" s="75" t="s">
        <v>23</v>
      </c>
      <c r="R46" s="75" t="s">
        <v>519</v>
      </c>
    </row>
    <row r="47" spans="1:19" ht="42.75" customHeight="1" x14ac:dyDescent="0.2">
      <c r="A47" s="80" t="s">
        <v>346</v>
      </c>
      <c r="B47" s="73" t="s">
        <v>431</v>
      </c>
      <c r="C47" s="77" t="s">
        <v>13</v>
      </c>
      <c r="D47" s="113">
        <v>20000</v>
      </c>
      <c r="E47" s="113">
        <f t="shared" ref="E47" si="24">D47-(D47*10/100)</f>
        <v>18000</v>
      </c>
      <c r="F47" s="113">
        <f t="shared" ref="F47" si="25">D47-(D47*20/100)</f>
        <v>16000</v>
      </c>
      <c r="G47" s="113">
        <f t="shared" ref="G47" si="26">D47-(D47*30/100)</f>
        <v>14000</v>
      </c>
      <c r="H47" s="113">
        <f>D47-(D47*20/100)</f>
        <v>16000</v>
      </c>
      <c r="I47" s="113"/>
      <c r="J47" s="113"/>
      <c r="K47" s="113"/>
      <c r="L47" s="113">
        <f>D47-(D47*40/100)</f>
        <v>12000</v>
      </c>
      <c r="M47" s="113"/>
      <c r="N47" s="113"/>
      <c r="O47" s="113"/>
      <c r="P47" s="74" t="s">
        <v>9</v>
      </c>
      <c r="Q47" s="75" t="s">
        <v>23</v>
      </c>
      <c r="R47" s="91" t="s">
        <v>519</v>
      </c>
    </row>
    <row r="48" spans="1:19" ht="38.25" customHeight="1" x14ac:dyDescent="0.2">
      <c r="A48" s="80" t="s">
        <v>347</v>
      </c>
      <c r="B48" s="75" t="s">
        <v>32</v>
      </c>
      <c r="C48" s="81" t="s">
        <v>13</v>
      </c>
      <c r="D48" s="107">
        <v>5000</v>
      </c>
      <c r="E48" s="107"/>
      <c r="F48" s="107"/>
      <c r="G48" s="107"/>
      <c r="H48" s="107">
        <f>D48-(D48*20/100)</f>
        <v>4000</v>
      </c>
      <c r="I48" s="107"/>
      <c r="J48" s="107"/>
      <c r="K48" s="107"/>
      <c r="L48" s="107">
        <f>D48-(D48*40/100)</f>
        <v>3000</v>
      </c>
      <c r="M48" s="107"/>
      <c r="N48" s="107"/>
      <c r="O48" s="107"/>
      <c r="P48" s="74" t="s">
        <v>9</v>
      </c>
      <c r="Q48" s="75" t="s">
        <v>23</v>
      </c>
      <c r="R48" s="75" t="s">
        <v>520</v>
      </c>
      <c r="S48" s="18"/>
    </row>
    <row r="49" spans="1:18" ht="21.75" x14ac:dyDescent="0.2">
      <c r="A49" s="124" t="s">
        <v>348</v>
      </c>
      <c r="B49" s="107" t="s">
        <v>137</v>
      </c>
      <c r="C49" s="74" t="s">
        <v>14</v>
      </c>
      <c r="D49" s="74">
        <v>1000</v>
      </c>
      <c r="E49" s="74">
        <f>MROUND(D49-(D49*10/100),50)</f>
        <v>900</v>
      </c>
      <c r="F49" s="74">
        <f>MROUND(D49-(D49*20/100),50)</f>
        <v>800</v>
      </c>
      <c r="G49" s="74">
        <f>MROUND(D49-(D49*30/100),50)</f>
        <v>700</v>
      </c>
      <c r="H49" s="74">
        <f>MROUND(D49-(D49*10/100),50)</f>
        <v>900</v>
      </c>
      <c r="I49" s="74">
        <f>MROUND(H49-(H49*10/100),50)</f>
        <v>800</v>
      </c>
      <c r="J49" s="74">
        <f>MROUND(H49-(H49*20/100),50)</f>
        <v>700</v>
      </c>
      <c r="K49" s="74">
        <f>MROUND(H49-(H49*30/100),50)</f>
        <v>650</v>
      </c>
      <c r="L49" s="74">
        <f>MROUND(D49-(D49*20/100),50)</f>
        <v>800</v>
      </c>
      <c r="M49" s="74">
        <f>MROUND(L49-(L49*10/100),50)</f>
        <v>700</v>
      </c>
      <c r="N49" s="74">
        <f>MROUND(L49-(L49*20/100),50)</f>
        <v>650</v>
      </c>
      <c r="O49" s="74">
        <f>MROUND(L49-(L49*30/100),50)</f>
        <v>550</v>
      </c>
      <c r="P49" s="108" t="s">
        <v>10</v>
      </c>
      <c r="Q49" s="107" t="s">
        <v>23</v>
      </c>
      <c r="R49" s="107" t="s">
        <v>509</v>
      </c>
    </row>
    <row r="50" spans="1:18" ht="21.75" x14ac:dyDescent="0.2">
      <c r="A50" s="124"/>
      <c r="B50" s="107"/>
      <c r="C50" s="74" t="s">
        <v>16</v>
      </c>
      <c r="D50" s="74">
        <f t="shared" ref="D50" si="27">D49*50/100</f>
        <v>500</v>
      </c>
      <c r="E50" s="74">
        <f t="shared" ref="E50:O50" si="28">MROUND(E49*50/100,50)</f>
        <v>450</v>
      </c>
      <c r="F50" s="74">
        <f t="shared" si="28"/>
        <v>400</v>
      </c>
      <c r="G50" s="74">
        <f t="shared" si="28"/>
        <v>350</v>
      </c>
      <c r="H50" s="74">
        <f t="shared" si="28"/>
        <v>450</v>
      </c>
      <c r="I50" s="74">
        <f t="shared" si="28"/>
        <v>400</v>
      </c>
      <c r="J50" s="74">
        <f t="shared" si="28"/>
        <v>350</v>
      </c>
      <c r="K50" s="74">
        <f t="shared" si="28"/>
        <v>350</v>
      </c>
      <c r="L50" s="74">
        <f t="shared" si="28"/>
        <v>400</v>
      </c>
      <c r="M50" s="74">
        <f t="shared" si="28"/>
        <v>350</v>
      </c>
      <c r="N50" s="74">
        <f t="shared" si="28"/>
        <v>350</v>
      </c>
      <c r="O50" s="74">
        <f t="shared" si="28"/>
        <v>300</v>
      </c>
      <c r="P50" s="108"/>
      <c r="Q50" s="107"/>
      <c r="R50" s="107"/>
    </row>
    <row r="51" spans="1:18" ht="21.75" x14ac:dyDescent="0.2">
      <c r="A51" s="80" t="s">
        <v>349</v>
      </c>
      <c r="B51" s="73" t="s">
        <v>479</v>
      </c>
      <c r="C51" s="73" t="s">
        <v>24</v>
      </c>
      <c r="D51" s="113">
        <v>5000</v>
      </c>
      <c r="E51" s="113">
        <f>D51-(D51*10/100)</f>
        <v>4500</v>
      </c>
      <c r="F51" s="113">
        <f>D51-(D51*20/100)</f>
        <v>4000</v>
      </c>
      <c r="G51" s="113">
        <f>D51-(D51*30/100)</f>
        <v>3500</v>
      </c>
      <c r="H51" s="113">
        <f>D51-(D51*20/100)</f>
        <v>4000</v>
      </c>
      <c r="I51" s="113"/>
      <c r="J51" s="113"/>
      <c r="K51" s="113"/>
      <c r="L51" s="113">
        <f>D51-(D51*40/100)</f>
        <v>3000</v>
      </c>
      <c r="M51" s="113"/>
      <c r="N51" s="113"/>
      <c r="O51" s="113"/>
      <c r="P51" s="73" t="s">
        <v>9</v>
      </c>
      <c r="Q51" s="77" t="s">
        <v>23</v>
      </c>
      <c r="R51" s="77" t="s">
        <v>504</v>
      </c>
    </row>
    <row r="52" spans="1:18" s="4" customFormat="1" ht="43.5" x14ac:dyDescent="0.2">
      <c r="A52" s="80" t="s">
        <v>467</v>
      </c>
      <c r="B52" s="73" t="s">
        <v>475</v>
      </c>
      <c r="C52" s="73" t="s">
        <v>24</v>
      </c>
      <c r="D52" s="113">
        <v>5000</v>
      </c>
      <c r="E52" s="113"/>
      <c r="F52" s="113"/>
      <c r="G52" s="113"/>
      <c r="H52" s="113">
        <f>D52-(D52*20/100)</f>
        <v>4000</v>
      </c>
      <c r="I52" s="113"/>
      <c r="J52" s="113"/>
      <c r="K52" s="113"/>
      <c r="L52" s="113">
        <f>D52-(D52*40/100)</f>
        <v>3000</v>
      </c>
      <c r="M52" s="113"/>
      <c r="N52" s="113"/>
      <c r="O52" s="113"/>
      <c r="P52" s="73" t="s">
        <v>9</v>
      </c>
      <c r="Q52" s="43" t="s">
        <v>480</v>
      </c>
      <c r="R52" s="88" t="s">
        <v>506</v>
      </c>
    </row>
  </sheetData>
  <mergeCells count="140">
    <mergeCell ref="D12:G12"/>
    <mergeCell ref="H12:K12"/>
    <mergeCell ref="L12:O12"/>
    <mergeCell ref="D19:G19"/>
    <mergeCell ref="H19:K19"/>
    <mergeCell ref="L27:O27"/>
    <mergeCell ref="H26:K26"/>
    <mergeCell ref="P41:P42"/>
    <mergeCell ref="A13:A14"/>
    <mergeCell ref="B13:B14"/>
    <mergeCell ref="P15:P16"/>
    <mergeCell ref="D30:G30"/>
    <mergeCell ref="H30:K30"/>
    <mergeCell ref="L30:O30"/>
    <mergeCell ref="P23:P24"/>
    <mergeCell ref="L19:O19"/>
    <mergeCell ref="D22:G22"/>
    <mergeCell ref="A20:A21"/>
    <mergeCell ref="B17:B18"/>
    <mergeCell ref="A28:A29"/>
    <mergeCell ref="B28:B29"/>
    <mergeCell ref="A23:A24"/>
    <mergeCell ref="B23:B24"/>
    <mergeCell ref="H22:K22"/>
    <mergeCell ref="Q28:Q29"/>
    <mergeCell ref="Q35:Q36"/>
    <mergeCell ref="P17:P18"/>
    <mergeCell ref="P20:P21"/>
    <mergeCell ref="D13:O13"/>
    <mergeCell ref="P13:P14"/>
    <mergeCell ref="D14:O14"/>
    <mergeCell ref="Q13:Q14"/>
    <mergeCell ref="Q15:Q16"/>
    <mergeCell ref="Q17:Q18"/>
    <mergeCell ref="Q20:Q21"/>
    <mergeCell ref="Q23:Q24"/>
    <mergeCell ref="D25:G25"/>
    <mergeCell ref="P28:P29"/>
    <mergeCell ref="D27:G27"/>
    <mergeCell ref="H27:K27"/>
    <mergeCell ref="H31:K31"/>
    <mergeCell ref="L22:O22"/>
    <mergeCell ref="Q49:Q50"/>
    <mergeCell ref="A49:A50"/>
    <mergeCell ref="B49:B50"/>
    <mergeCell ref="P49:P50"/>
    <mergeCell ref="D44:G44"/>
    <mergeCell ref="H44:K44"/>
    <mergeCell ref="L44:O44"/>
    <mergeCell ref="D46:G46"/>
    <mergeCell ref="H46:K46"/>
    <mergeCell ref="L46:O46"/>
    <mergeCell ref="D47:G47"/>
    <mergeCell ref="H47:K47"/>
    <mergeCell ref="L47:O47"/>
    <mergeCell ref="D48:G48"/>
    <mergeCell ref="H48:K48"/>
    <mergeCell ref="L48:O48"/>
    <mergeCell ref="B2:B3"/>
    <mergeCell ref="C2:C3"/>
    <mergeCell ref="Q41:Q42"/>
    <mergeCell ref="A37:A38"/>
    <mergeCell ref="B37:B38"/>
    <mergeCell ref="P37:P38"/>
    <mergeCell ref="D45:G45"/>
    <mergeCell ref="H45:K45"/>
    <mergeCell ref="L45:O45"/>
    <mergeCell ref="A35:A36"/>
    <mergeCell ref="B35:B36"/>
    <mergeCell ref="P35:P36"/>
    <mergeCell ref="B41:B42"/>
    <mergeCell ref="A41:A42"/>
    <mergeCell ref="Q37:Q38"/>
    <mergeCell ref="P39:P40"/>
    <mergeCell ref="Q39:Q40"/>
    <mergeCell ref="B39:B40"/>
    <mergeCell ref="A39:A40"/>
    <mergeCell ref="D33:G33"/>
    <mergeCell ref="H33:K33"/>
    <mergeCell ref="L33:O33"/>
    <mergeCell ref="L31:O31"/>
    <mergeCell ref="D32:G32"/>
    <mergeCell ref="P2:P3"/>
    <mergeCell ref="D5:G5"/>
    <mergeCell ref="H5:K5"/>
    <mergeCell ref="L5:O5"/>
    <mergeCell ref="L2:O2"/>
    <mergeCell ref="H2:K2"/>
    <mergeCell ref="D2:G2"/>
    <mergeCell ref="Q9:Q10"/>
    <mergeCell ref="Q7:Q8"/>
    <mergeCell ref="P7:P8"/>
    <mergeCell ref="D51:G51"/>
    <mergeCell ref="H51:K51"/>
    <mergeCell ref="L51:O51"/>
    <mergeCell ref="D52:G52"/>
    <mergeCell ref="H52:K52"/>
    <mergeCell ref="L52:O52"/>
    <mergeCell ref="A7:A8"/>
    <mergeCell ref="B7:B8"/>
    <mergeCell ref="A9:A10"/>
    <mergeCell ref="B9:B10"/>
    <mergeCell ref="H34:K34"/>
    <mergeCell ref="D34:G34"/>
    <mergeCell ref="L32:O32"/>
    <mergeCell ref="L26:O26"/>
    <mergeCell ref="H25:K25"/>
    <mergeCell ref="L25:O25"/>
    <mergeCell ref="D26:G26"/>
    <mergeCell ref="D31:G31"/>
    <mergeCell ref="H32:K32"/>
    <mergeCell ref="L34:O34"/>
    <mergeCell ref="B20:B21"/>
    <mergeCell ref="A15:A16"/>
    <mergeCell ref="B15:B16"/>
    <mergeCell ref="A17:A18"/>
    <mergeCell ref="R35:R36"/>
    <mergeCell ref="R37:R38"/>
    <mergeCell ref="R39:R40"/>
    <mergeCell ref="R41:R42"/>
    <mergeCell ref="R49:R50"/>
    <mergeCell ref="A1:R1"/>
    <mergeCell ref="A43:R43"/>
    <mergeCell ref="A11:R11"/>
    <mergeCell ref="A4:R4"/>
    <mergeCell ref="R2:R3"/>
    <mergeCell ref="R7:R8"/>
    <mergeCell ref="R9:R10"/>
    <mergeCell ref="R13:R14"/>
    <mergeCell ref="R15:R16"/>
    <mergeCell ref="R17:R18"/>
    <mergeCell ref="R20:R21"/>
    <mergeCell ref="R23:R24"/>
    <mergeCell ref="R28:R29"/>
    <mergeCell ref="P9:P10"/>
    <mergeCell ref="Q2:Q3"/>
    <mergeCell ref="D6:G6"/>
    <mergeCell ref="H6:K6"/>
    <mergeCell ref="L6:O6"/>
    <mergeCell ref="A2:A3"/>
  </mergeCells>
  <pageMargins left="0.7" right="0.7" top="0.75" bottom="0.75" header="0.3" footer="0.3"/>
  <pageSetup scale="5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21"/>
  <sheetViews>
    <sheetView rightToLeft="1" topLeftCell="A10" zoomScale="82" zoomScaleNormal="82" workbookViewId="0">
      <selection activeCell="B19" sqref="B19:B20"/>
    </sheetView>
  </sheetViews>
  <sheetFormatPr defaultColWidth="9.125" defaultRowHeight="14.25" x14ac:dyDescent="0.2"/>
  <cols>
    <col min="1" max="1" width="10.375" style="36" customWidth="1"/>
    <col min="2" max="2" width="56.75" style="36" customWidth="1"/>
    <col min="3" max="3" width="11.75" style="36" customWidth="1"/>
    <col min="4" max="4" width="5.375" style="36" bestFit="1" customWidth="1"/>
    <col min="5" max="5" width="6.25" style="36" bestFit="1" customWidth="1"/>
    <col min="6" max="6" width="6.125" style="36" bestFit="1" customWidth="1"/>
    <col min="7" max="7" width="5.75" style="36" bestFit="1" customWidth="1"/>
    <col min="8" max="8" width="5.375" style="36" bestFit="1" customWidth="1"/>
    <col min="9" max="9" width="6.25" style="36" bestFit="1" customWidth="1"/>
    <col min="10" max="10" width="6.125" style="36" bestFit="1" customWidth="1"/>
    <col min="11" max="11" width="5.75" style="36" bestFit="1" customWidth="1"/>
    <col min="12" max="12" width="5.375" style="36" bestFit="1" customWidth="1"/>
    <col min="13" max="13" width="6.25" style="36" bestFit="1" customWidth="1"/>
    <col min="14" max="14" width="6.125" style="36" bestFit="1" customWidth="1"/>
    <col min="15" max="15" width="5.75" style="36" bestFit="1" customWidth="1"/>
    <col min="16" max="16" width="6.25" style="36" bestFit="1" customWidth="1"/>
    <col min="17" max="17" width="15" style="36" customWidth="1"/>
    <col min="18" max="18" width="28.375" style="36" customWidth="1"/>
    <col min="19" max="19" width="30.125" style="36" customWidth="1"/>
    <col min="20" max="16384" width="9.125" style="36"/>
  </cols>
  <sheetData>
    <row r="1" spans="1:18" ht="23.25" customHeight="1" x14ac:dyDescent="0.2">
      <c r="A1" s="133" t="s">
        <v>460</v>
      </c>
      <c r="B1" s="133"/>
      <c r="C1" s="133"/>
      <c r="D1" s="133"/>
      <c r="E1" s="133"/>
      <c r="F1" s="133"/>
      <c r="G1" s="133"/>
      <c r="H1" s="133"/>
      <c r="I1" s="133"/>
      <c r="J1" s="133"/>
      <c r="K1" s="133"/>
      <c r="L1" s="133"/>
      <c r="M1" s="133"/>
      <c r="N1" s="133"/>
      <c r="O1" s="133"/>
      <c r="P1" s="133"/>
      <c r="Q1" s="133"/>
      <c r="R1" s="133"/>
    </row>
    <row r="2" spans="1:18" ht="42" customHeight="1" x14ac:dyDescent="0.2">
      <c r="A2" s="134" t="s">
        <v>4</v>
      </c>
      <c r="B2" s="134" t="s">
        <v>3</v>
      </c>
      <c r="C2" s="134" t="s">
        <v>136</v>
      </c>
      <c r="D2" s="134" t="s">
        <v>2</v>
      </c>
      <c r="E2" s="134"/>
      <c r="F2" s="134"/>
      <c r="G2" s="134"/>
      <c r="H2" s="134" t="s">
        <v>1</v>
      </c>
      <c r="I2" s="134"/>
      <c r="J2" s="134"/>
      <c r="K2" s="134"/>
      <c r="L2" s="121" t="s">
        <v>458</v>
      </c>
      <c r="M2" s="121"/>
      <c r="N2" s="121"/>
      <c r="O2" s="121"/>
      <c r="P2" s="134" t="s">
        <v>57</v>
      </c>
      <c r="Q2" s="134" t="s">
        <v>25</v>
      </c>
      <c r="R2" s="134" t="s">
        <v>482</v>
      </c>
    </row>
    <row r="3" spans="1:18" ht="43.5" x14ac:dyDescent="0.2">
      <c r="A3" s="134"/>
      <c r="B3" s="134"/>
      <c r="C3" s="134"/>
      <c r="D3" s="84" t="s">
        <v>8</v>
      </c>
      <c r="E3" s="84" t="s">
        <v>7</v>
      </c>
      <c r="F3" s="84" t="s">
        <v>6</v>
      </c>
      <c r="G3" s="84" t="s">
        <v>5</v>
      </c>
      <c r="H3" s="84" t="s">
        <v>8</v>
      </c>
      <c r="I3" s="84" t="s">
        <v>7</v>
      </c>
      <c r="J3" s="84" t="s">
        <v>6</v>
      </c>
      <c r="K3" s="84" t="s">
        <v>5</v>
      </c>
      <c r="L3" s="84" t="s">
        <v>8</v>
      </c>
      <c r="M3" s="84" t="s">
        <v>7</v>
      </c>
      <c r="N3" s="84" t="s">
        <v>6</v>
      </c>
      <c r="O3" s="84" t="s">
        <v>5</v>
      </c>
      <c r="P3" s="134"/>
      <c r="Q3" s="134"/>
      <c r="R3" s="134"/>
    </row>
    <row r="4" spans="1:18" ht="23.25" customHeight="1" x14ac:dyDescent="0.2">
      <c r="A4" s="105" t="s">
        <v>91</v>
      </c>
      <c r="B4" s="105"/>
      <c r="C4" s="105"/>
      <c r="D4" s="105"/>
      <c r="E4" s="105"/>
      <c r="F4" s="105"/>
      <c r="G4" s="105"/>
      <c r="H4" s="105"/>
      <c r="I4" s="105"/>
      <c r="J4" s="105"/>
      <c r="K4" s="105"/>
      <c r="L4" s="105"/>
      <c r="M4" s="105"/>
      <c r="N4" s="105"/>
      <c r="O4" s="105"/>
      <c r="P4" s="105"/>
      <c r="Q4" s="105"/>
      <c r="R4" s="105"/>
    </row>
    <row r="5" spans="1:18" ht="75" customHeight="1" x14ac:dyDescent="0.2">
      <c r="A5" s="75" t="s">
        <v>350</v>
      </c>
      <c r="B5" s="75" t="s">
        <v>133</v>
      </c>
      <c r="C5" s="81" t="s">
        <v>42</v>
      </c>
      <c r="D5" s="107">
        <v>15000</v>
      </c>
      <c r="E5" s="107"/>
      <c r="F5" s="107"/>
      <c r="G5" s="107"/>
      <c r="H5" s="107">
        <f>D5-(D5*20/100)</f>
        <v>12000</v>
      </c>
      <c r="I5" s="107"/>
      <c r="J5" s="107"/>
      <c r="K5" s="107"/>
      <c r="L5" s="107">
        <f>D5-(D5*40/100)</f>
        <v>9000</v>
      </c>
      <c r="M5" s="107"/>
      <c r="N5" s="107"/>
      <c r="O5" s="107"/>
      <c r="P5" s="74" t="s">
        <v>9</v>
      </c>
      <c r="Q5" s="81" t="s">
        <v>38</v>
      </c>
      <c r="R5" s="81" t="s">
        <v>514</v>
      </c>
    </row>
    <row r="6" spans="1:18" ht="74.25" customHeight="1" x14ac:dyDescent="0.2">
      <c r="A6" s="74" t="s">
        <v>351</v>
      </c>
      <c r="B6" s="74" t="s">
        <v>82</v>
      </c>
      <c r="C6" s="81" t="s">
        <v>42</v>
      </c>
      <c r="D6" s="107">
        <v>2000</v>
      </c>
      <c r="E6" s="107"/>
      <c r="F6" s="107"/>
      <c r="G6" s="107"/>
      <c r="H6" s="107">
        <f>D6-(D6*20/100)</f>
        <v>1600</v>
      </c>
      <c r="I6" s="107"/>
      <c r="J6" s="107"/>
      <c r="K6" s="107"/>
      <c r="L6" s="107">
        <f>D6-(D6*40/100)</f>
        <v>1200</v>
      </c>
      <c r="M6" s="107"/>
      <c r="N6" s="107"/>
      <c r="O6" s="107"/>
      <c r="P6" s="74" t="s">
        <v>9</v>
      </c>
      <c r="Q6" s="81" t="s">
        <v>38</v>
      </c>
      <c r="R6" s="81" t="s">
        <v>514</v>
      </c>
    </row>
    <row r="7" spans="1:18" ht="21.75" customHeight="1" x14ac:dyDescent="0.2">
      <c r="A7" s="108" t="s">
        <v>352</v>
      </c>
      <c r="B7" s="108" t="s">
        <v>83</v>
      </c>
      <c r="C7" s="74" t="s">
        <v>14</v>
      </c>
      <c r="D7" s="74">
        <v>3000</v>
      </c>
      <c r="E7" s="74">
        <f>MROUND(D7-(D7*10/100),50)</f>
        <v>2700</v>
      </c>
      <c r="F7" s="74">
        <f>MROUND(D7-(D7*20/100),50)</f>
        <v>2400</v>
      </c>
      <c r="G7" s="74">
        <f>MROUND(D7-(D7*30/100),50)</f>
        <v>2100</v>
      </c>
      <c r="H7" s="74">
        <f>MROUND(D7-(D7*10/100),50)</f>
        <v>2700</v>
      </c>
      <c r="I7" s="74">
        <f>MROUND(H7-(H7*10/100),50)</f>
        <v>2450</v>
      </c>
      <c r="J7" s="74">
        <f>MROUND(H7-(H7*20/100),50)</f>
        <v>2150</v>
      </c>
      <c r="K7" s="74">
        <f>MROUND(H7-(H7*30/100),50)</f>
        <v>1900</v>
      </c>
      <c r="L7" s="74">
        <f>MROUND(D7-(D7*20/100),50)</f>
        <v>2400</v>
      </c>
      <c r="M7" s="74">
        <f>MROUND(L7-(L7*10/100),50)</f>
        <v>2150</v>
      </c>
      <c r="N7" s="74">
        <f>MROUND(L7-(L7*20/100),50)</f>
        <v>1900</v>
      </c>
      <c r="O7" s="74">
        <f>MROUND(L7-(L7*30/100),50)</f>
        <v>1700</v>
      </c>
      <c r="P7" s="108" t="s">
        <v>10</v>
      </c>
      <c r="Q7" s="108" t="s">
        <v>38</v>
      </c>
      <c r="R7" s="108" t="s">
        <v>514</v>
      </c>
    </row>
    <row r="8" spans="1:18" ht="16.5" customHeight="1" x14ac:dyDescent="0.2">
      <c r="A8" s="108"/>
      <c r="B8" s="108"/>
      <c r="C8" s="74" t="s">
        <v>16</v>
      </c>
      <c r="D8" s="74">
        <f t="shared" ref="D8" si="0">D7*50/100</f>
        <v>1500</v>
      </c>
      <c r="E8" s="75">
        <f t="shared" ref="E8:O8" si="1">MROUND(E7*50/100,50)</f>
        <v>1350</v>
      </c>
      <c r="F8" s="75">
        <f t="shared" si="1"/>
        <v>1200</v>
      </c>
      <c r="G8" s="75">
        <f t="shared" si="1"/>
        <v>1050</v>
      </c>
      <c r="H8" s="75">
        <f t="shared" si="1"/>
        <v>1350</v>
      </c>
      <c r="I8" s="75">
        <f t="shared" si="1"/>
        <v>1250</v>
      </c>
      <c r="J8" s="75">
        <f t="shared" si="1"/>
        <v>1100</v>
      </c>
      <c r="K8" s="75">
        <f t="shared" si="1"/>
        <v>950</v>
      </c>
      <c r="L8" s="75">
        <f t="shared" si="1"/>
        <v>1200</v>
      </c>
      <c r="M8" s="75">
        <f t="shared" si="1"/>
        <v>1100</v>
      </c>
      <c r="N8" s="75">
        <f t="shared" si="1"/>
        <v>950</v>
      </c>
      <c r="O8" s="75">
        <f t="shared" si="1"/>
        <v>850</v>
      </c>
      <c r="P8" s="108"/>
      <c r="Q8" s="108"/>
      <c r="R8" s="108"/>
    </row>
    <row r="9" spans="1:18" s="4" customFormat="1" ht="18" customHeight="1" x14ac:dyDescent="0.2">
      <c r="A9" s="129" t="s">
        <v>353</v>
      </c>
      <c r="B9" s="107" t="s">
        <v>94</v>
      </c>
      <c r="C9" s="74" t="s">
        <v>59</v>
      </c>
      <c r="D9" s="74">
        <v>3000</v>
      </c>
      <c r="E9" s="74">
        <f>MROUND(D9-(D9*10/100),50)</f>
        <v>2700</v>
      </c>
      <c r="F9" s="74">
        <f>MROUND(D9-(D9*20/100),50)</f>
        <v>2400</v>
      </c>
      <c r="G9" s="74">
        <f>MROUND(D9-(D9*30/100),50)</f>
        <v>2100</v>
      </c>
      <c r="H9" s="74">
        <f>MROUND(D9-(D9*10/100),50)</f>
        <v>2700</v>
      </c>
      <c r="I9" s="74">
        <f>MROUND(H9-(H9*10/100),50)</f>
        <v>2450</v>
      </c>
      <c r="J9" s="74">
        <f>MROUND(H9-(H9*20/100),50)</f>
        <v>2150</v>
      </c>
      <c r="K9" s="74">
        <f>MROUND(H9-(H9*30/100),50)</f>
        <v>1900</v>
      </c>
      <c r="L9" s="74">
        <f>MROUND(D9-(D9*20/100),50)</f>
        <v>2400</v>
      </c>
      <c r="M9" s="74">
        <f>MROUND(L9-(L9*10/100),50)</f>
        <v>2150</v>
      </c>
      <c r="N9" s="74">
        <f>MROUND(L9-(L9*20/100),50)</f>
        <v>1900</v>
      </c>
      <c r="O9" s="74">
        <f>MROUND(L9-(L9*30/100),50)</f>
        <v>1700</v>
      </c>
      <c r="P9" s="108" t="s">
        <v>10</v>
      </c>
      <c r="Q9" s="108" t="s">
        <v>23</v>
      </c>
      <c r="R9" s="107" t="s">
        <v>514</v>
      </c>
    </row>
    <row r="10" spans="1:18" ht="23.25" customHeight="1" x14ac:dyDescent="0.2">
      <c r="A10" s="129"/>
      <c r="B10" s="107"/>
      <c r="C10" s="74" t="s">
        <v>16</v>
      </c>
      <c r="D10" s="74">
        <f>D9*50/100</f>
        <v>1500</v>
      </c>
      <c r="E10" s="75">
        <f t="shared" ref="E10:O10" si="2">MROUND(E9*50/100,50)</f>
        <v>1350</v>
      </c>
      <c r="F10" s="75">
        <f t="shared" si="2"/>
        <v>1200</v>
      </c>
      <c r="G10" s="75">
        <f t="shared" si="2"/>
        <v>1050</v>
      </c>
      <c r="H10" s="75">
        <f t="shared" si="2"/>
        <v>1350</v>
      </c>
      <c r="I10" s="75">
        <f t="shared" si="2"/>
        <v>1250</v>
      </c>
      <c r="J10" s="75">
        <f t="shared" si="2"/>
        <v>1100</v>
      </c>
      <c r="K10" s="75">
        <f t="shared" si="2"/>
        <v>950</v>
      </c>
      <c r="L10" s="75">
        <f t="shared" si="2"/>
        <v>1200</v>
      </c>
      <c r="M10" s="75">
        <f t="shared" si="2"/>
        <v>1100</v>
      </c>
      <c r="N10" s="75">
        <f t="shared" si="2"/>
        <v>950</v>
      </c>
      <c r="O10" s="75">
        <f t="shared" si="2"/>
        <v>850</v>
      </c>
      <c r="P10" s="108"/>
      <c r="Q10" s="108"/>
      <c r="R10" s="107"/>
    </row>
    <row r="11" spans="1:18" ht="23.25" customHeight="1" x14ac:dyDescent="0.2">
      <c r="A11" s="105" t="s">
        <v>58</v>
      </c>
      <c r="B11" s="105"/>
      <c r="C11" s="105"/>
      <c r="D11" s="105"/>
      <c r="E11" s="105"/>
      <c r="F11" s="105"/>
      <c r="G11" s="105"/>
      <c r="H11" s="105"/>
      <c r="I11" s="105"/>
      <c r="J11" s="105"/>
      <c r="K11" s="105"/>
      <c r="L11" s="105"/>
      <c r="M11" s="105"/>
      <c r="N11" s="105"/>
      <c r="O11" s="105"/>
      <c r="P11" s="105"/>
      <c r="Q11" s="105"/>
      <c r="R11" s="105"/>
    </row>
    <row r="12" spans="1:18" s="19" customFormat="1" ht="51.75" customHeight="1" x14ac:dyDescent="0.2">
      <c r="A12" s="75" t="s">
        <v>354</v>
      </c>
      <c r="B12" s="73" t="s">
        <v>438</v>
      </c>
      <c r="C12" s="104" t="s">
        <v>24</v>
      </c>
      <c r="D12" s="107">
        <v>100000</v>
      </c>
      <c r="E12" s="107"/>
      <c r="F12" s="107"/>
      <c r="G12" s="107"/>
      <c r="H12" s="107">
        <f>D12-(D12*20/100)</f>
        <v>80000</v>
      </c>
      <c r="I12" s="107"/>
      <c r="J12" s="107"/>
      <c r="K12" s="107"/>
      <c r="L12" s="107">
        <f>D12-(D12*40/100)</f>
        <v>60000</v>
      </c>
      <c r="M12" s="107"/>
      <c r="N12" s="107"/>
      <c r="O12" s="107"/>
      <c r="P12" s="74" t="s">
        <v>9</v>
      </c>
      <c r="Q12" s="75" t="s">
        <v>38</v>
      </c>
      <c r="R12" s="95" t="s">
        <v>522</v>
      </c>
    </row>
    <row r="13" spans="1:18" ht="41.25" customHeight="1" x14ac:dyDescent="0.2">
      <c r="A13" s="83" t="s">
        <v>355</v>
      </c>
      <c r="B13" s="75" t="s">
        <v>120</v>
      </c>
      <c r="C13" s="81" t="s">
        <v>24</v>
      </c>
      <c r="D13" s="113">
        <v>100000</v>
      </c>
      <c r="E13" s="113"/>
      <c r="F13" s="113"/>
      <c r="G13" s="113"/>
      <c r="H13" s="113">
        <f t="shared" ref="H13" si="3">D13-(D13*20/100)</f>
        <v>80000</v>
      </c>
      <c r="I13" s="113"/>
      <c r="J13" s="113"/>
      <c r="K13" s="113"/>
      <c r="L13" s="113">
        <f t="shared" ref="L13" si="4">D13-(D13*40/100)</f>
        <v>60000</v>
      </c>
      <c r="M13" s="113"/>
      <c r="N13" s="113"/>
      <c r="O13" s="113"/>
      <c r="P13" s="74" t="s">
        <v>9</v>
      </c>
      <c r="Q13" s="81" t="s">
        <v>23</v>
      </c>
      <c r="R13" s="95" t="s">
        <v>522</v>
      </c>
    </row>
    <row r="14" spans="1:18" ht="42" customHeight="1" x14ac:dyDescent="0.2">
      <c r="A14" s="80" t="s">
        <v>469</v>
      </c>
      <c r="B14" s="75" t="s">
        <v>483</v>
      </c>
      <c r="C14" s="104" t="s">
        <v>24</v>
      </c>
      <c r="D14" s="118">
        <v>10000</v>
      </c>
      <c r="E14" s="119"/>
      <c r="F14" s="119"/>
      <c r="G14" s="120"/>
      <c r="H14" s="118">
        <v>8000</v>
      </c>
      <c r="I14" s="119"/>
      <c r="J14" s="119"/>
      <c r="K14" s="120"/>
      <c r="L14" s="118">
        <v>6000</v>
      </c>
      <c r="M14" s="119"/>
      <c r="N14" s="119"/>
      <c r="O14" s="120"/>
      <c r="P14" s="101" t="s">
        <v>9</v>
      </c>
      <c r="Q14" s="103" t="s">
        <v>23</v>
      </c>
      <c r="R14" s="99" t="s">
        <v>522</v>
      </c>
    </row>
    <row r="15" spans="1:18" ht="42" customHeight="1" x14ac:dyDescent="0.2">
      <c r="A15" s="100" t="s">
        <v>470</v>
      </c>
      <c r="B15" s="102" t="s">
        <v>33</v>
      </c>
      <c r="C15" s="104" t="s">
        <v>24</v>
      </c>
      <c r="D15" s="113">
        <v>30000</v>
      </c>
      <c r="E15" s="113">
        <f>D15-(D15*10/100)</f>
        <v>27000</v>
      </c>
      <c r="F15" s="113">
        <f>D15-(D15*20/100)</f>
        <v>24000</v>
      </c>
      <c r="G15" s="113">
        <f>D15-(D15*30/100)</f>
        <v>21000</v>
      </c>
      <c r="H15" s="113">
        <f t="shared" ref="H15:H16" si="5">D15-(D15*20/100)</f>
        <v>24000</v>
      </c>
      <c r="I15" s="113"/>
      <c r="J15" s="113"/>
      <c r="K15" s="113"/>
      <c r="L15" s="113">
        <f t="shared" ref="L15:L16" si="6">D15-(D15*40/100)</f>
        <v>18000</v>
      </c>
      <c r="M15" s="113"/>
      <c r="N15" s="113"/>
      <c r="O15" s="113"/>
      <c r="P15" s="101" t="s">
        <v>9</v>
      </c>
      <c r="Q15" s="103" t="s">
        <v>23</v>
      </c>
      <c r="R15" s="103" t="s">
        <v>506</v>
      </c>
    </row>
    <row r="16" spans="1:18" ht="36" customHeight="1" x14ac:dyDescent="0.2">
      <c r="A16" s="44" t="s">
        <v>487</v>
      </c>
      <c r="B16" s="102" t="s">
        <v>431</v>
      </c>
      <c r="C16" s="42" t="s">
        <v>13</v>
      </c>
      <c r="D16" s="113">
        <v>20000</v>
      </c>
      <c r="E16" s="113">
        <f t="shared" ref="E16" si="7">D16-(D16*10/100)</f>
        <v>18000</v>
      </c>
      <c r="F16" s="113">
        <f t="shared" ref="F16" si="8">D16-(D16*20/100)</f>
        <v>16000</v>
      </c>
      <c r="G16" s="113">
        <f t="shared" ref="G16" si="9">D16-(D16*30/100)</f>
        <v>14000</v>
      </c>
      <c r="H16" s="113">
        <f t="shared" si="5"/>
        <v>16000</v>
      </c>
      <c r="I16" s="113"/>
      <c r="J16" s="113"/>
      <c r="K16" s="113"/>
      <c r="L16" s="113">
        <f t="shared" si="6"/>
        <v>12000</v>
      </c>
      <c r="M16" s="113"/>
      <c r="N16" s="113"/>
      <c r="O16" s="113"/>
      <c r="P16" s="101" t="s">
        <v>9</v>
      </c>
      <c r="Q16" s="103" t="s">
        <v>23</v>
      </c>
      <c r="R16" s="103" t="s">
        <v>506</v>
      </c>
    </row>
    <row r="17" spans="1:18" ht="18.75" customHeight="1" x14ac:dyDescent="0.2">
      <c r="A17" s="135" t="s">
        <v>471</v>
      </c>
      <c r="B17" s="109" t="s">
        <v>137</v>
      </c>
      <c r="C17" s="74" t="s">
        <v>14</v>
      </c>
      <c r="D17" s="74">
        <v>5000</v>
      </c>
      <c r="E17" s="74">
        <f>MROUND(D17-(D17*10/100),50)</f>
        <v>4500</v>
      </c>
      <c r="F17" s="74">
        <f>MROUND(D17-(D17*20/100),50)</f>
        <v>4000</v>
      </c>
      <c r="G17" s="74">
        <f>MROUND(D17-(D17*30/100),50)</f>
        <v>3500</v>
      </c>
      <c r="H17" s="74">
        <f>MROUND(D17-(D17*10/100),50)</f>
        <v>4500</v>
      </c>
      <c r="I17" s="74">
        <f>MROUND(H17-(H17*10/100),50)</f>
        <v>4050</v>
      </c>
      <c r="J17" s="74">
        <f>MROUND(H17-(H17*20/100),50)</f>
        <v>3600</v>
      </c>
      <c r="K17" s="74">
        <f>MROUND(H17-(H17*30/100),50)</f>
        <v>3150</v>
      </c>
      <c r="L17" s="74">
        <f>MROUND(D17-(D17*20/100),50)</f>
        <v>4000</v>
      </c>
      <c r="M17" s="74">
        <f>MROUND(L17-(L17*10/100),50)</f>
        <v>3600</v>
      </c>
      <c r="N17" s="74">
        <f>MROUND(L17-(L17*20/100),50)</f>
        <v>3200</v>
      </c>
      <c r="O17" s="74">
        <f>MROUND(L17-(L17*30/100),50)</f>
        <v>2800</v>
      </c>
      <c r="P17" s="108" t="s">
        <v>10</v>
      </c>
      <c r="Q17" s="107" t="s">
        <v>38</v>
      </c>
      <c r="R17" s="107" t="s">
        <v>515</v>
      </c>
    </row>
    <row r="18" spans="1:18" ht="21.75" customHeight="1" x14ac:dyDescent="0.2">
      <c r="A18" s="135"/>
      <c r="B18" s="109"/>
      <c r="C18" s="72" t="s">
        <v>16</v>
      </c>
      <c r="D18" s="72">
        <f t="shared" ref="D18" si="10">D17*50/100</f>
        <v>2500</v>
      </c>
      <c r="E18" s="73">
        <f t="shared" ref="E18:O18" si="11">MROUND(E17*50/100,50)</f>
        <v>2250</v>
      </c>
      <c r="F18" s="73">
        <f t="shared" si="11"/>
        <v>2000</v>
      </c>
      <c r="G18" s="73">
        <f t="shared" si="11"/>
        <v>1750</v>
      </c>
      <c r="H18" s="73">
        <f t="shared" si="11"/>
        <v>2250</v>
      </c>
      <c r="I18" s="73">
        <f t="shared" si="11"/>
        <v>2050</v>
      </c>
      <c r="J18" s="73">
        <f t="shared" si="11"/>
        <v>1800</v>
      </c>
      <c r="K18" s="73">
        <f t="shared" si="11"/>
        <v>1600</v>
      </c>
      <c r="L18" s="73">
        <f t="shared" si="11"/>
        <v>2000</v>
      </c>
      <c r="M18" s="73">
        <f t="shared" si="11"/>
        <v>1800</v>
      </c>
      <c r="N18" s="73">
        <f t="shared" si="11"/>
        <v>1600</v>
      </c>
      <c r="O18" s="73">
        <f t="shared" si="11"/>
        <v>1400</v>
      </c>
      <c r="P18" s="108"/>
      <c r="Q18" s="107"/>
      <c r="R18" s="107"/>
    </row>
    <row r="19" spans="1:18" ht="21.75" customHeight="1" x14ac:dyDescent="0.2">
      <c r="A19" s="124" t="s">
        <v>472</v>
      </c>
      <c r="B19" s="107" t="s">
        <v>124</v>
      </c>
      <c r="C19" s="74" t="s">
        <v>14</v>
      </c>
      <c r="D19" s="74">
        <v>5000</v>
      </c>
      <c r="E19" s="74">
        <f>MROUND(D19-(D19*10/100),50)</f>
        <v>4500</v>
      </c>
      <c r="F19" s="74">
        <f>MROUND(D19-(D19*20/100),50)</f>
        <v>4000</v>
      </c>
      <c r="G19" s="74">
        <f>MROUND(D19-(D19*30/100),50)</f>
        <v>3500</v>
      </c>
      <c r="H19" s="74">
        <f>MROUND(D19-(D19*10/100),50)</f>
        <v>4500</v>
      </c>
      <c r="I19" s="74">
        <f>MROUND(H19-(H19*10/100),50)</f>
        <v>4050</v>
      </c>
      <c r="J19" s="74">
        <f>MROUND(H19-(H19*20/100),50)</f>
        <v>3600</v>
      </c>
      <c r="K19" s="74">
        <f>MROUND(H19-(H19*30/100),50)</f>
        <v>3150</v>
      </c>
      <c r="L19" s="74">
        <f>MROUND(D19-(D19*20/100),50)</f>
        <v>4000</v>
      </c>
      <c r="M19" s="74">
        <f>MROUND(L19-(L19*10/100),50)</f>
        <v>3600</v>
      </c>
      <c r="N19" s="74">
        <f>MROUND(L19-(L19*20/100),50)</f>
        <v>3200</v>
      </c>
      <c r="O19" s="74">
        <f>MROUND(L19-(L19*30/100),50)</f>
        <v>2800</v>
      </c>
      <c r="P19" s="108" t="s">
        <v>10</v>
      </c>
      <c r="Q19" s="107" t="s">
        <v>38</v>
      </c>
      <c r="R19" s="112" t="s">
        <v>510</v>
      </c>
    </row>
    <row r="20" spans="1:18" ht="21.75" x14ac:dyDescent="0.2">
      <c r="A20" s="124"/>
      <c r="B20" s="107"/>
      <c r="C20" s="74" t="s">
        <v>16</v>
      </c>
      <c r="D20" s="74">
        <f t="shared" ref="D20" si="12">D19*50/100</f>
        <v>2500</v>
      </c>
      <c r="E20" s="75">
        <f t="shared" ref="E20:O20" si="13">MROUND(E19*50/100,50)</f>
        <v>2250</v>
      </c>
      <c r="F20" s="75">
        <f t="shared" si="13"/>
        <v>2000</v>
      </c>
      <c r="G20" s="75">
        <f t="shared" si="13"/>
        <v>1750</v>
      </c>
      <c r="H20" s="75">
        <f t="shared" si="13"/>
        <v>2250</v>
      </c>
      <c r="I20" s="75">
        <f t="shared" si="13"/>
        <v>2050</v>
      </c>
      <c r="J20" s="75">
        <f t="shared" si="13"/>
        <v>1800</v>
      </c>
      <c r="K20" s="75">
        <f t="shared" si="13"/>
        <v>1600</v>
      </c>
      <c r="L20" s="75">
        <f t="shared" si="13"/>
        <v>2000</v>
      </c>
      <c r="M20" s="75">
        <f t="shared" si="13"/>
        <v>1800</v>
      </c>
      <c r="N20" s="75">
        <f t="shared" si="13"/>
        <v>1600</v>
      </c>
      <c r="O20" s="75">
        <f t="shared" si="13"/>
        <v>1400</v>
      </c>
      <c r="P20" s="108"/>
      <c r="Q20" s="107"/>
      <c r="R20" s="112"/>
    </row>
    <row r="21" spans="1:18" s="4" customFormat="1" ht="65.25" x14ac:dyDescent="0.2">
      <c r="A21" s="82" t="s">
        <v>474</v>
      </c>
      <c r="B21" s="73" t="s">
        <v>478</v>
      </c>
      <c r="C21" s="73" t="s">
        <v>24</v>
      </c>
      <c r="D21" s="113">
        <v>5000</v>
      </c>
      <c r="E21" s="113"/>
      <c r="F21" s="113"/>
      <c r="G21" s="113"/>
      <c r="H21" s="113">
        <f>D21-(D21*20/100)</f>
        <v>4000</v>
      </c>
      <c r="I21" s="113"/>
      <c r="J21" s="113"/>
      <c r="K21" s="113"/>
      <c r="L21" s="113">
        <f>D21-(D21*40/100)</f>
        <v>3000</v>
      </c>
      <c r="M21" s="113"/>
      <c r="N21" s="113"/>
      <c r="O21" s="113"/>
      <c r="P21" s="73" t="s">
        <v>9</v>
      </c>
      <c r="Q21" s="73" t="s">
        <v>480</v>
      </c>
      <c r="R21" s="90" t="s">
        <v>506</v>
      </c>
    </row>
  </sheetData>
  <mergeCells count="56">
    <mergeCell ref="D16:G16"/>
    <mergeCell ref="H16:K16"/>
    <mergeCell ref="L16:O16"/>
    <mergeCell ref="D15:G15"/>
    <mergeCell ref="H15:K15"/>
    <mergeCell ref="L15:O15"/>
    <mergeCell ref="A2:A3"/>
    <mergeCell ref="H2:K2"/>
    <mergeCell ref="Q19:Q20"/>
    <mergeCell ref="H13:K13"/>
    <mergeCell ref="L13:O13"/>
    <mergeCell ref="A19:A20"/>
    <mergeCell ref="B19:B20"/>
    <mergeCell ref="P19:P20"/>
    <mergeCell ref="Q17:Q18"/>
    <mergeCell ref="A17:A18"/>
    <mergeCell ref="B17:B18"/>
    <mergeCell ref="P17:P18"/>
    <mergeCell ref="D14:G14"/>
    <mergeCell ref="A1:R1"/>
    <mergeCell ref="A9:A10"/>
    <mergeCell ref="B9:B10"/>
    <mergeCell ref="L2:O2"/>
    <mergeCell ref="B2:B3"/>
    <mergeCell ref="C2:C3"/>
    <mergeCell ref="D5:G5"/>
    <mergeCell ref="D6:G6"/>
    <mergeCell ref="H6:K6"/>
    <mergeCell ref="L6:O6"/>
    <mergeCell ref="P2:P3"/>
    <mergeCell ref="D2:G2"/>
    <mergeCell ref="R2:R3"/>
    <mergeCell ref="Q2:Q3"/>
    <mergeCell ref="H5:K5"/>
    <mergeCell ref="Q7:Q8"/>
    <mergeCell ref="D21:G21"/>
    <mergeCell ref="H21:K21"/>
    <mergeCell ref="L21:O21"/>
    <mergeCell ref="Q9:Q10"/>
    <mergeCell ref="L12:O12"/>
    <mergeCell ref="H12:K12"/>
    <mergeCell ref="A4:R4"/>
    <mergeCell ref="A11:R11"/>
    <mergeCell ref="D12:G12"/>
    <mergeCell ref="L5:O5"/>
    <mergeCell ref="H14:K14"/>
    <mergeCell ref="L14:O14"/>
    <mergeCell ref="P7:P8"/>
    <mergeCell ref="A7:A8"/>
    <mergeCell ref="B7:B8"/>
    <mergeCell ref="D13:G13"/>
    <mergeCell ref="P9:P10"/>
    <mergeCell ref="R7:R8"/>
    <mergeCell ref="R9:R10"/>
    <mergeCell ref="R17:R18"/>
    <mergeCell ref="R19:R20"/>
  </mergeCells>
  <pageMargins left="0.7" right="0.7" top="0.75" bottom="0.75" header="0.3" footer="0.3"/>
  <pageSetup scale="6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V189"/>
  <sheetViews>
    <sheetView rightToLeft="1" topLeftCell="A58" zoomScale="85" zoomScaleNormal="85" workbookViewId="0">
      <selection activeCell="R28" sqref="R28:R29"/>
    </sheetView>
  </sheetViews>
  <sheetFormatPr defaultRowHeight="14.25" x14ac:dyDescent="0.2"/>
  <cols>
    <col min="1" max="1" width="8.75" customWidth="1"/>
    <col min="2" max="2" width="68" style="1" customWidth="1"/>
    <col min="3" max="3" width="13" style="1" customWidth="1"/>
    <col min="4" max="4" width="5.375" customWidth="1"/>
    <col min="5" max="5" width="6.25" customWidth="1"/>
    <col min="6" max="6" width="6.125" customWidth="1"/>
    <col min="7" max="7" width="5.75" customWidth="1"/>
    <col min="8" max="8" width="5.375" customWidth="1"/>
    <col min="9" max="9" width="6.25" customWidth="1"/>
    <col min="10" max="10" width="6.125" customWidth="1"/>
    <col min="11" max="11" width="5.75" customWidth="1"/>
    <col min="12" max="12" width="5.375" customWidth="1"/>
    <col min="13" max="13" width="6.25" customWidth="1"/>
    <col min="14" max="14" width="6.125" customWidth="1"/>
    <col min="15" max="15" width="5.875" customWidth="1"/>
    <col min="16" max="16" width="9.875" customWidth="1"/>
    <col min="17" max="17" width="13" style="1" customWidth="1"/>
    <col min="18" max="18" width="23" style="1" customWidth="1"/>
  </cols>
  <sheetData>
    <row r="1" spans="1:18" ht="21.75" x14ac:dyDescent="0.2">
      <c r="A1" s="136" t="s">
        <v>141</v>
      </c>
      <c r="B1" s="136"/>
      <c r="C1" s="136"/>
      <c r="D1" s="136"/>
      <c r="E1" s="136"/>
      <c r="F1" s="136"/>
      <c r="G1" s="136"/>
      <c r="H1" s="136"/>
      <c r="I1" s="136"/>
      <c r="J1" s="136"/>
      <c r="K1" s="136"/>
      <c r="L1" s="136"/>
      <c r="M1" s="136"/>
      <c r="N1" s="136"/>
      <c r="O1" s="136"/>
      <c r="P1" s="136"/>
      <c r="Q1" s="136"/>
      <c r="R1" s="136"/>
    </row>
    <row r="2" spans="1:18" ht="39.75" customHeight="1" x14ac:dyDescent="0.2">
      <c r="A2" s="137" t="s">
        <v>4</v>
      </c>
      <c r="B2" s="137" t="s">
        <v>3</v>
      </c>
      <c r="C2" s="137" t="s">
        <v>136</v>
      </c>
      <c r="D2" s="137" t="s">
        <v>2</v>
      </c>
      <c r="E2" s="137"/>
      <c r="F2" s="137"/>
      <c r="G2" s="137"/>
      <c r="H2" s="137" t="s">
        <v>1</v>
      </c>
      <c r="I2" s="137"/>
      <c r="J2" s="137"/>
      <c r="K2" s="137"/>
      <c r="L2" s="121" t="s">
        <v>458</v>
      </c>
      <c r="M2" s="121"/>
      <c r="N2" s="121"/>
      <c r="O2" s="121"/>
      <c r="P2" s="137" t="s">
        <v>0</v>
      </c>
      <c r="Q2" s="137" t="s">
        <v>25</v>
      </c>
      <c r="R2" s="137" t="s">
        <v>482</v>
      </c>
    </row>
    <row r="3" spans="1:18" ht="43.5" x14ac:dyDescent="0.2">
      <c r="A3" s="137"/>
      <c r="B3" s="137"/>
      <c r="C3" s="137"/>
      <c r="D3" s="62" t="s">
        <v>8</v>
      </c>
      <c r="E3" s="62" t="s">
        <v>7</v>
      </c>
      <c r="F3" s="62" t="s">
        <v>6</v>
      </c>
      <c r="G3" s="62" t="s">
        <v>5</v>
      </c>
      <c r="H3" s="62" t="s">
        <v>8</v>
      </c>
      <c r="I3" s="62" t="s">
        <v>7</v>
      </c>
      <c r="J3" s="62" t="s">
        <v>6</v>
      </c>
      <c r="K3" s="62" t="s">
        <v>5</v>
      </c>
      <c r="L3" s="62" t="s">
        <v>8</v>
      </c>
      <c r="M3" s="62" t="s">
        <v>7</v>
      </c>
      <c r="N3" s="62" t="s">
        <v>6</v>
      </c>
      <c r="O3" s="62" t="s">
        <v>5</v>
      </c>
      <c r="P3" s="137"/>
      <c r="Q3" s="137"/>
      <c r="R3" s="137"/>
    </row>
    <row r="4" spans="1:18" ht="23.25" customHeight="1" x14ac:dyDescent="0.2">
      <c r="A4" s="105" t="s">
        <v>91</v>
      </c>
      <c r="B4" s="105"/>
      <c r="C4" s="105"/>
      <c r="D4" s="105"/>
      <c r="E4" s="105"/>
      <c r="F4" s="105"/>
      <c r="G4" s="105"/>
      <c r="H4" s="105"/>
      <c r="I4" s="105"/>
      <c r="J4" s="105"/>
      <c r="K4" s="105"/>
      <c r="L4" s="105"/>
      <c r="M4" s="105"/>
      <c r="N4" s="105"/>
      <c r="O4" s="105"/>
      <c r="P4" s="105"/>
      <c r="Q4" s="105"/>
      <c r="R4" s="105"/>
    </row>
    <row r="5" spans="1:18" ht="21.75" x14ac:dyDescent="0.2">
      <c r="A5" s="57" t="s">
        <v>356</v>
      </c>
      <c r="B5" s="51" t="s">
        <v>133</v>
      </c>
      <c r="C5" s="37" t="s">
        <v>24</v>
      </c>
      <c r="D5" s="107">
        <v>2500</v>
      </c>
      <c r="E5" s="107"/>
      <c r="F5" s="107"/>
      <c r="G5" s="107"/>
      <c r="H5" s="107">
        <f>D5-(D5*20/100)</f>
        <v>2000</v>
      </c>
      <c r="I5" s="107"/>
      <c r="J5" s="107"/>
      <c r="K5" s="107"/>
      <c r="L5" s="107">
        <f>D5-(D5*40/100)</f>
        <v>1500</v>
      </c>
      <c r="M5" s="107"/>
      <c r="N5" s="107"/>
      <c r="O5" s="107"/>
      <c r="P5" s="50" t="s">
        <v>9</v>
      </c>
      <c r="Q5" s="59" t="s">
        <v>23</v>
      </c>
      <c r="R5" s="71" t="s">
        <v>502</v>
      </c>
    </row>
    <row r="6" spans="1:18" ht="21.75" x14ac:dyDescent="0.2">
      <c r="A6" s="60" t="s">
        <v>357</v>
      </c>
      <c r="B6" s="50" t="s">
        <v>79</v>
      </c>
      <c r="C6" s="37" t="s">
        <v>24</v>
      </c>
      <c r="D6" s="107">
        <v>2000</v>
      </c>
      <c r="E6" s="107"/>
      <c r="F6" s="107"/>
      <c r="G6" s="107"/>
      <c r="H6" s="107">
        <f>D6-(D6*20/100)</f>
        <v>1600</v>
      </c>
      <c r="I6" s="107"/>
      <c r="J6" s="107"/>
      <c r="K6" s="107"/>
      <c r="L6" s="107">
        <f>D6-(D6*40/100)</f>
        <v>1200</v>
      </c>
      <c r="M6" s="107"/>
      <c r="N6" s="107"/>
      <c r="O6" s="107"/>
      <c r="P6" s="50" t="s">
        <v>9</v>
      </c>
      <c r="Q6" s="59" t="s">
        <v>23</v>
      </c>
      <c r="R6" s="71" t="s">
        <v>502</v>
      </c>
    </row>
    <row r="7" spans="1:18" ht="21.75" x14ac:dyDescent="0.2">
      <c r="A7" s="129" t="s">
        <v>358</v>
      </c>
      <c r="B7" s="108" t="s">
        <v>80</v>
      </c>
      <c r="C7" s="50" t="s">
        <v>14</v>
      </c>
      <c r="D7" s="50">
        <v>2000</v>
      </c>
      <c r="E7" s="50">
        <f>MROUND(D7-(D7*10/100),50)</f>
        <v>1800</v>
      </c>
      <c r="F7" s="50">
        <f>MROUND(D7-(D7*20/100),50)</f>
        <v>1600</v>
      </c>
      <c r="G7" s="50">
        <f>MROUND(D7-(D7*30/100),50)</f>
        <v>1400</v>
      </c>
      <c r="H7" s="50">
        <f>MROUND(D7-(D7*10/100),50)</f>
        <v>1800</v>
      </c>
      <c r="I7" s="50">
        <f>MROUND(H7-(H7*10/100),50)</f>
        <v>1600</v>
      </c>
      <c r="J7" s="50">
        <f>MROUND(H7-(H7*20/100),50)</f>
        <v>1450</v>
      </c>
      <c r="K7" s="50">
        <f>MROUND(H7-(H7*30/100),50)</f>
        <v>1250</v>
      </c>
      <c r="L7" s="50">
        <f>MROUND(D7-(D7*20/100),50)</f>
        <v>1600</v>
      </c>
      <c r="M7" s="50">
        <f>MROUND(L7-(L7*10/100),50)</f>
        <v>1450</v>
      </c>
      <c r="N7" s="50">
        <f>MROUND(L7-(L7*20/100),50)</f>
        <v>1300</v>
      </c>
      <c r="O7" s="50">
        <f>MROUND(L7-(L7*30/100),50)</f>
        <v>1100</v>
      </c>
      <c r="P7" s="108" t="s">
        <v>10</v>
      </c>
      <c r="Q7" s="108" t="s">
        <v>23</v>
      </c>
      <c r="R7" s="117" t="s">
        <v>502</v>
      </c>
    </row>
    <row r="8" spans="1:18" ht="21.75" x14ac:dyDescent="0.2">
      <c r="A8" s="129"/>
      <c r="B8" s="108"/>
      <c r="C8" s="50" t="s">
        <v>15</v>
      </c>
      <c r="D8" s="50">
        <f t="shared" ref="D8" si="0">D7*50/100</f>
        <v>1000</v>
      </c>
      <c r="E8" s="51">
        <f t="shared" ref="E8:O8" si="1">MROUND(E7*50/100,50)</f>
        <v>900</v>
      </c>
      <c r="F8" s="51">
        <f t="shared" si="1"/>
        <v>800</v>
      </c>
      <c r="G8" s="51">
        <f t="shared" si="1"/>
        <v>700</v>
      </c>
      <c r="H8" s="51">
        <f t="shared" si="1"/>
        <v>900</v>
      </c>
      <c r="I8" s="51">
        <f t="shared" si="1"/>
        <v>800</v>
      </c>
      <c r="J8" s="51">
        <f t="shared" si="1"/>
        <v>750</v>
      </c>
      <c r="K8" s="51">
        <f t="shared" si="1"/>
        <v>650</v>
      </c>
      <c r="L8" s="51">
        <f t="shared" si="1"/>
        <v>800</v>
      </c>
      <c r="M8" s="51">
        <f t="shared" si="1"/>
        <v>750</v>
      </c>
      <c r="N8" s="51">
        <f t="shared" si="1"/>
        <v>650</v>
      </c>
      <c r="O8" s="51">
        <f t="shared" si="1"/>
        <v>550</v>
      </c>
      <c r="P8" s="108"/>
      <c r="Q8" s="108"/>
      <c r="R8" s="117"/>
    </row>
    <row r="9" spans="1:18" s="1" customFormat="1" ht="27.75" customHeight="1" x14ac:dyDescent="0.2">
      <c r="A9" s="60" t="s">
        <v>360</v>
      </c>
      <c r="B9" s="50" t="s">
        <v>493</v>
      </c>
      <c r="C9" s="59" t="s">
        <v>24</v>
      </c>
      <c r="D9" s="107">
        <v>1000</v>
      </c>
      <c r="E9" s="107"/>
      <c r="F9" s="107"/>
      <c r="G9" s="107"/>
      <c r="H9" s="107">
        <f>D9-(D9*20/100)</f>
        <v>800</v>
      </c>
      <c r="I9" s="107"/>
      <c r="J9" s="107"/>
      <c r="K9" s="107"/>
      <c r="L9" s="107">
        <f>D9-(D9*40/100)</f>
        <v>600</v>
      </c>
      <c r="M9" s="107"/>
      <c r="N9" s="107"/>
      <c r="O9" s="107"/>
      <c r="P9" s="50" t="s">
        <v>9</v>
      </c>
      <c r="Q9" s="59" t="s">
        <v>23</v>
      </c>
      <c r="R9" s="71" t="s">
        <v>502</v>
      </c>
    </row>
    <row r="10" spans="1:18" s="4" customFormat="1" ht="18" customHeight="1" x14ac:dyDescent="0.2">
      <c r="A10" s="124" t="s">
        <v>359</v>
      </c>
      <c r="B10" s="107" t="s">
        <v>94</v>
      </c>
      <c r="C10" s="50" t="s">
        <v>59</v>
      </c>
      <c r="D10" s="50">
        <v>3000</v>
      </c>
      <c r="E10" s="50">
        <f>MROUND(D10-(D10*10/100),50)</f>
        <v>2700</v>
      </c>
      <c r="F10" s="50">
        <f>MROUND(D10-(D10*20/100),50)</f>
        <v>2400</v>
      </c>
      <c r="G10" s="50">
        <f>MROUND(D10-(D10*30/100),50)</f>
        <v>2100</v>
      </c>
      <c r="H10" s="50">
        <f>MROUND(D10-(D10*10/100),50)</f>
        <v>2700</v>
      </c>
      <c r="I10" s="50">
        <f>MROUND(H10-(H10*10/100),50)</f>
        <v>2450</v>
      </c>
      <c r="J10" s="50">
        <f>MROUND(H10-(H10*20/100),50)</f>
        <v>2150</v>
      </c>
      <c r="K10" s="50">
        <f>MROUND(H10-(H10*30/100),50)</f>
        <v>1900</v>
      </c>
      <c r="L10" s="50">
        <f>MROUND(D10-(D10*20/100),50)</f>
        <v>2400</v>
      </c>
      <c r="M10" s="50">
        <f>MROUND(L10-(L10*10/100),50)</f>
        <v>2150</v>
      </c>
      <c r="N10" s="50">
        <f>MROUND(L10-(L10*20/100),50)</f>
        <v>1900</v>
      </c>
      <c r="O10" s="50">
        <f>MROUND(L10-(L10*30/100),50)</f>
        <v>1700</v>
      </c>
      <c r="P10" s="108" t="s">
        <v>10</v>
      </c>
      <c r="Q10" s="108" t="s">
        <v>23</v>
      </c>
      <c r="R10" s="113" t="s">
        <v>502</v>
      </c>
    </row>
    <row r="11" spans="1:18" s="7" customFormat="1" ht="21.75" customHeight="1" x14ac:dyDescent="0.2">
      <c r="A11" s="124"/>
      <c r="B11" s="107"/>
      <c r="C11" s="50" t="s">
        <v>16</v>
      </c>
      <c r="D11" s="50">
        <f>D10*50/100</f>
        <v>1500</v>
      </c>
      <c r="E11" s="51">
        <f t="shared" ref="E11:O11" si="2">MROUND(E10*50/100,50)</f>
        <v>1350</v>
      </c>
      <c r="F11" s="51">
        <f t="shared" si="2"/>
        <v>1200</v>
      </c>
      <c r="G11" s="51">
        <f t="shared" si="2"/>
        <v>1050</v>
      </c>
      <c r="H11" s="51">
        <f t="shared" si="2"/>
        <v>1350</v>
      </c>
      <c r="I11" s="51">
        <f t="shared" si="2"/>
        <v>1250</v>
      </c>
      <c r="J11" s="51">
        <f t="shared" si="2"/>
        <v>1100</v>
      </c>
      <c r="K11" s="51">
        <f t="shared" si="2"/>
        <v>950</v>
      </c>
      <c r="L11" s="51">
        <f t="shared" si="2"/>
        <v>1200</v>
      </c>
      <c r="M11" s="51">
        <f t="shared" si="2"/>
        <v>1100</v>
      </c>
      <c r="N11" s="51">
        <f t="shared" si="2"/>
        <v>950</v>
      </c>
      <c r="O11" s="51">
        <f t="shared" si="2"/>
        <v>850</v>
      </c>
      <c r="P11" s="108"/>
      <c r="Q11" s="108"/>
      <c r="R11" s="113"/>
    </row>
    <row r="12" spans="1:18" s="7" customFormat="1" ht="21.75" x14ac:dyDescent="0.2">
      <c r="A12" s="124" t="s">
        <v>361</v>
      </c>
      <c r="B12" s="107" t="s">
        <v>125</v>
      </c>
      <c r="C12" s="50" t="s">
        <v>14</v>
      </c>
      <c r="D12" s="50">
        <v>2000</v>
      </c>
      <c r="E12" s="50">
        <f>MROUND(D12-(D12*10/100),50)</f>
        <v>1800</v>
      </c>
      <c r="F12" s="50">
        <f>MROUND(D12-(D12*20/100),50)</f>
        <v>1600</v>
      </c>
      <c r="G12" s="50">
        <f>MROUND(D12-(D12*30/100),50)</f>
        <v>1400</v>
      </c>
      <c r="H12" s="50">
        <f>MROUND(D12-(D12*10/100),50)</f>
        <v>1800</v>
      </c>
      <c r="I12" s="50">
        <f>MROUND(H12-(H12*10/100),50)</f>
        <v>1600</v>
      </c>
      <c r="J12" s="50">
        <f>MROUND(H12-(H12*20/100),50)</f>
        <v>1450</v>
      </c>
      <c r="K12" s="50">
        <f>MROUND(H12-(H12*30/100),50)</f>
        <v>1250</v>
      </c>
      <c r="L12" s="50">
        <f>MROUND(D12-(D12*20/100),50)</f>
        <v>1600</v>
      </c>
      <c r="M12" s="50">
        <f>MROUND(L12-(L12*10/100),50)</f>
        <v>1450</v>
      </c>
      <c r="N12" s="50">
        <f>MROUND(L12-(L12*20/100),50)</f>
        <v>1300</v>
      </c>
      <c r="O12" s="50">
        <f>MROUND(L12-(L12*30/100),50)</f>
        <v>1100</v>
      </c>
      <c r="P12" s="108" t="s">
        <v>10</v>
      </c>
      <c r="Q12" s="117" t="s">
        <v>414</v>
      </c>
      <c r="R12" s="117" t="s">
        <v>502</v>
      </c>
    </row>
    <row r="13" spans="1:18" ht="23.25" customHeight="1" x14ac:dyDescent="0.2">
      <c r="A13" s="124"/>
      <c r="B13" s="107"/>
      <c r="C13" s="50" t="s">
        <v>16</v>
      </c>
      <c r="D13" s="50">
        <f t="shared" ref="D13" si="3">D12*50/100</f>
        <v>1000</v>
      </c>
      <c r="E13" s="51">
        <f t="shared" ref="E13:O13" si="4">MROUND(E12*50/100,50)</f>
        <v>900</v>
      </c>
      <c r="F13" s="51">
        <f t="shared" si="4"/>
        <v>800</v>
      </c>
      <c r="G13" s="51">
        <f t="shared" si="4"/>
        <v>700</v>
      </c>
      <c r="H13" s="51">
        <f t="shared" si="4"/>
        <v>900</v>
      </c>
      <c r="I13" s="51">
        <f t="shared" si="4"/>
        <v>800</v>
      </c>
      <c r="J13" s="51">
        <f t="shared" si="4"/>
        <v>750</v>
      </c>
      <c r="K13" s="51">
        <f t="shared" si="4"/>
        <v>650</v>
      </c>
      <c r="L13" s="51">
        <f t="shared" si="4"/>
        <v>800</v>
      </c>
      <c r="M13" s="51">
        <f t="shared" si="4"/>
        <v>750</v>
      </c>
      <c r="N13" s="51">
        <f t="shared" si="4"/>
        <v>650</v>
      </c>
      <c r="O13" s="51">
        <f t="shared" si="4"/>
        <v>550</v>
      </c>
      <c r="P13" s="108"/>
      <c r="Q13" s="117"/>
      <c r="R13" s="117"/>
    </row>
    <row r="14" spans="1:18" s="2" customFormat="1" ht="23.25" customHeight="1" x14ac:dyDescent="0.2">
      <c r="A14" s="105" t="s">
        <v>87</v>
      </c>
      <c r="B14" s="105"/>
      <c r="C14" s="105"/>
      <c r="D14" s="105"/>
      <c r="E14" s="105"/>
      <c r="F14" s="105"/>
      <c r="G14" s="105"/>
      <c r="H14" s="105"/>
      <c r="I14" s="105"/>
      <c r="J14" s="105"/>
      <c r="K14" s="105"/>
      <c r="L14" s="105"/>
      <c r="M14" s="105"/>
      <c r="N14" s="105"/>
      <c r="O14" s="105"/>
      <c r="P14" s="105"/>
      <c r="Q14" s="105"/>
      <c r="R14" s="105"/>
    </row>
    <row r="15" spans="1:18" s="2" customFormat="1" ht="43.5" x14ac:dyDescent="0.2">
      <c r="A15" s="37" t="s">
        <v>362</v>
      </c>
      <c r="B15" s="42" t="s">
        <v>420</v>
      </c>
      <c r="C15" s="37" t="s">
        <v>24</v>
      </c>
      <c r="D15" s="107">
        <v>10000</v>
      </c>
      <c r="E15" s="107">
        <f t="shared" ref="E15:E16" si="5">D15-(D15*10/100)</f>
        <v>9000</v>
      </c>
      <c r="F15" s="107">
        <f t="shared" ref="F15:F16" si="6">D15-(D15*20/100)</f>
        <v>8000</v>
      </c>
      <c r="G15" s="107">
        <f t="shared" ref="G15:G16" si="7">D15-(D15*30/100)</f>
        <v>7000</v>
      </c>
      <c r="H15" s="107">
        <f t="shared" ref="H15:H24" si="8">D15-(D15*20/100)</f>
        <v>8000</v>
      </c>
      <c r="I15" s="107"/>
      <c r="J15" s="107"/>
      <c r="K15" s="107"/>
      <c r="L15" s="107">
        <f t="shared" ref="L15:L24" si="9">D15-(D15*40/100)</f>
        <v>6000</v>
      </c>
      <c r="M15" s="107"/>
      <c r="N15" s="107"/>
      <c r="O15" s="107"/>
      <c r="P15" s="50" t="s">
        <v>9</v>
      </c>
      <c r="Q15" s="56" t="s">
        <v>23</v>
      </c>
      <c r="R15" s="66" t="s">
        <v>505</v>
      </c>
    </row>
    <row r="16" spans="1:18" s="2" customFormat="1" ht="43.5" x14ac:dyDescent="0.2">
      <c r="A16" s="51" t="s">
        <v>363</v>
      </c>
      <c r="B16" s="49" t="s">
        <v>442</v>
      </c>
      <c r="C16" s="37" t="s">
        <v>24</v>
      </c>
      <c r="D16" s="107">
        <v>100000</v>
      </c>
      <c r="E16" s="107">
        <f t="shared" si="5"/>
        <v>90000</v>
      </c>
      <c r="F16" s="107">
        <f t="shared" si="6"/>
        <v>80000</v>
      </c>
      <c r="G16" s="107">
        <f t="shared" si="7"/>
        <v>70000</v>
      </c>
      <c r="H16" s="107">
        <f t="shared" si="8"/>
        <v>80000</v>
      </c>
      <c r="I16" s="107"/>
      <c r="J16" s="107"/>
      <c r="K16" s="107"/>
      <c r="L16" s="107">
        <f t="shared" si="9"/>
        <v>60000</v>
      </c>
      <c r="M16" s="107"/>
      <c r="N16" s="107"/>
      <c r="O16" s="107"/>
      <c r="P16" s="50" t="s">
        <v>9</v>
      </c>
      <c r="Q16" s="56" t="s">
        <v>23</v>
      </c>
      <c r="R16" s="66" t="s">
        <v>505</v>
      </c>
    </row>
    <row r="17" spans="1:48" s="17" customFormat="1" ht="43.5" x14ac:dyDescent="0.2">
      <c r="A17" s="50" t="s">
        <v>364</v>
      </c>
      <c r="B17" s="50" t="s">
        <v>36</v>
      </c>
      <c r="C17" s="37" t="s">
        <v>24</v>
      </c>
      <c r="D17" s="107">
        <v>15000</v>
      </c>
      <c r="E17" s="107">
        <f t="shared" ref="E17:E19" si="10">D17-(D17*10/100)</f>
        <v>13500</v>
      </c>
      <c r="F17" s="107">
        <f t="shared" ref="F17:F19" si="11">D17-(D17*20/100)</f>
        <v>12000</v>
      </c>
      <c r="G17" s="107">
        <f t="shared" ref="G17:G19" si="12">D17-(D17*30/100)</f>
        <v>10500</v>
      </c>
      <c r="H17" s="107">
        <f t="shared" si="8"/>
        <v>12000</v>
      </c>
      <c r="I17" s="107"/>
      <c r="J17" s="107"/>
      <c r="K17" s="107"/>
      <c r="L17" s="107">
        <f t="shared" si="9"/>
        <v>9000</v>
      </c>
      <c r="M17" s="107"/>
      <c r="N17" s="107"/>
      <c r="O17" s="107"/>
      <c r="P17" s="50" t="s">
        <v>9</v>
      </c>
      <c r="Q17" s="56" t="s">
        <v>23</v>
      </c>
      <c r="R17" s="66" t="s">
        <v>505</v>
      </c>
      <c r="S17" s="18"/>
      <c r="T17" s="18"/>
      <c r="U17" s="18"/>
      <c r="V17" s="18"/>
      <c r="W17" s="18"/>
      <c r="X17" s="18"/>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row>
    <row r="18" spans="1:48" ht="40.5" customHeight="1" x14ac:dyDescent="0.2">
      <c r="A18" s="37" t="s">
        <v>365</v>
      </c>
      <c r="B18" s="42" t="s">
        <v>454</v>
      </c>
      <c r="C18" s="37" t="s">
        <v>13</v>
      </c>
      <c r="D18" s="107">
        <v>10000</v>
      </c>
      <c r="E18" s="107">
        <f t="shared" si="10"/>
        <v>9000</v>
      </c>
      <c r="F18" s="107">
        <f t="shared" si="11"/>
        <v>8000</v>
      </c>
      <c r="G18" s="107">
        <f t="shared" si="12"/>
        <v>7000</v>
      </c>
      <c r="H18" s="107">
        <f>D18-(D18*20/100)</f>
        <v>8000</v>
      </c>
      <c r="I18" s="107"/>
      <c r="J18" s="107"/>
      <c r="K18" s="107"/>
      <c r="L18" s="107">
        <f>D18-(D18*40/100)</f>
        <v>6000</v>
      </c>
      <c r="M18" s="107"/>
      <c r="N18" s="107"/>
      <c r="O18" s="107"/>
      <c r="P18" s="50" t="s">
        <v>9</v>
      </c>
      <c r="Q18" s="56" t="s">
        <v>23</v>
      </c>
      <c r="R18" s="66" t="s">
        <v>505</v>
      </c>
    </row>
    <row r="19" spans="1:48" s="2" customFormat="1" ht="42.75" customHeight="1" x14ac:dyDescent="0.2">
      <c r="A19" s="37" t="s">
        <v>366</v>
      </c>
      <c r="B19" s="42" t="s">
        <v>35</v>
      </c>
      <c r="C19" s="37" t="s">
        <v>24</v>
      </c>
      <c r="D19" s="107">
        <v>10000</v>
      </c>
      <c r="E19" s="107">
        <f t="shared" si="10"/>
        <v>9000</v>
      </c>
      <c r="F19" s="107">
        <f t="shared" si="11"/>
        <v>8000</v>
      </c>
      <c r="G19" s="107">
        <f t="shared" si="12"/>
        <v>7000</v>
      </c>
      <c r="H19" s="107">
        <f t="shared" si="8"/>
        <v>8000</v>
      </c>
      <c r="I19" s="107"/>
      <c r="J19" s="107"/>
      <c r="K19" s="107"/>
      <c r="L19" s="107">
        <f t="shared" si="9"/>
        <v>6000</v>
      </c>
      <c r="M19" s="107"/>
      <c r="N19" s="107"/>
      <c r="O19" s="107"/>
      <c r="P19" s="50" t="s">
        <v>9</v>
      </c>
      <c r="Q19" s="56" t="s">
        <v>23</v>
      </c>
      <c r="R19" s="66" t="s">
        <v>505</v>
      </c>
    </row>
    <row r="20" spans="1:48" s="35" customFormat="1" ht="43.5" x14ac:dyDescent="0.2">
      <c r="A20" s="34" t="s">
        <v>367</v>
      </c>
      <c r="B20" s="45" t="s">
        <v>62</v>
      </c>
      <c r="C20" s="37" t="s">
        <v>24</v>
      </c>
      <c r="D20" s="107">
        <v>5000</v>
      </c>
      <c r="E20" s="107"/>
      <c r="F20" s="107"/>
      <c r="G20" s="107"/>
      <c r="H20" s="107">
        <f t="shared" si="8"/>
        <v>4000</v>
      </c>
      <c r="I20" s="107"/>
      <c r="J20" s="107"/>
      <c r="K20" s="107"/>
      <c r="L20" s="107">
        <f t="shared" si="9"/>
        <v>3000</v>
      </c>
      <c r="M20" s="107"/>
      <c r="N20" s="107"/>
      <c r="O20" s="107"/>
      <c r="P20" s="50" t="s">
        <v>9</v>
      </c>
      <c r="Q20" s="56" t="s">
        <v>23</v>
      </c>
      <c r="R20" s="66" t="s">
        <v>505</v>
      </c>
    </row>
    <row r="21" spans="1:48" s="3" customFormat="1" ht="44.25" customHeight="1" x14ac:dyDescent="0.2">
      <c r="A21" s="56" t="s">
        <v>368</v>
      </c>
      <c r="B21" s="55" t="s">
        <v>135</v>
      </c>
      <c r="C21" s="56" t="s">
        <v>24</v>
      </c>
      <c r="D21" s="109">
        <v>50000</v>
      </c>
      <c r="E21" s="109"/>
      <c r="F21" s="109"/>
      <c r="G21" s="109"/>
      <c r="H21" s="109">
        <f t="shared" si="8"/>
        <v>40000</v>
      </c>
      <c r="I21" s="109"/>
      <c r="J21" s="109"/>
      <c r="K21" s="109"/>
      <c r="L21" s="109">
        <f t="shared" si="9"/>
        <v>30000</v>
      </c>
      <c r="M21" s="109"/>
      <c r="N21" s="109"/>
      <c r="O21" s="109"/>
      <c r="P21" s="56" t="s">
        <v>9</v>
      </c>
      <c r="Q21" s="56" t="s">
        <v>23</v>
      </c>
      <c r="R21" s="89" t="s">
        <v>506</v>
      </c>
    </row>
    <row r="22" spans="1:48" s="17" customFormat="1" ht="49.5" customHeight="1" x14ac:dyDescent="0.2">
      <c r="A22" s="51" t="s">
        <v>369</v>
      </c>
      <c r="B22" s="49" t="s">
        <v>491</v>
      </c>
      <c r="C22" s="37" t="s">
        <v>24</v>
      </c>
      <c r="D22" s="107">
        <v>5000</v>
      </c>
      <c r="E22" s="107"/>
      <c r="F22" s="107"/>
      <c r="G22" s="107"/>
      <c r="H22" s="107">
        <f t="shared" si="8"/>
        <v>4000</v>
      </c>
      <c r="I22" s="107"/>
      <c r="J22" s="107"/>
      <c r="K22" s="107"/>
      <c r="L22" s="107">
        <f t="shared" si="9"/>
        <v>3000</v>
      </c>
      <c r="M22" s="107"/>
      <c r="N22" s="107"/>
      <c r="O22" s="107"/>
      <c r="P22" s="50" t="s">
        <v>9</v>
      </c>
      <c r="Q22" s="49" t="s">
        <v>401</v>
      </c>
      <c r="R22" s="66" t="s">
        <v>505</v>
      </c>
      <c r="S22" s="18"/>
      <c r="T22" s="18"/>
      <c r="U22" s="18"/>
      <c r="V22" s="18"/>
      <c r="W22" s="18"/>
    </row>
    <row r="23" spans="1:48" s="4" customFormat="1" ht="40.5" customHeight="1" x14ac:dyDescent="0.2">
      <c r="A23" s="34" t="s">
        <v>370</v>
      </c>
      <c r="B23" s="34" t="s">
        <v>63</v>
      </c>
      <c r="C23" s="37" t="s">
        <v>13</v>
      </c>
      <c r="D23" s="107">
        <v>20000</v>
      </c>
      <c r="E23" s="107"/>
      <c r="F23" s="107"/>
      <c r="G23" s="107"/>
      <c r="H23" s="107">
        <f t="shared" si="8"/>
        <v>16000</v>
      </c>
      <c r="I23" s="107"/>
      <c r="J23" s="107"/>
      <c r="K23" s="107"/>
      <c r="L23" s="107">
        <f t="shared" si="9"/>
        <v>12000</v>
      </c>
      <c r="M23" s="107"/>
      <c r="N23" s="107"/>
      <c r="O23" s="107"/>
      <c r="P23" s="50" t="s">
        <v>9</v>
      </c>
      <c r="Q23" s="49" t="s">
        <v>401</v>
      </c>
      <c r="R23" s="66" t="s">
        <v>505</v>
      </c>
    </row>
    <row r="24" spans="1:48" s="17" customFormat="1" ht="50.25" customHeight="1" x14ac:dyDescent="0.2">
      <c r="A24" s="51" t="s">
        <v>371</v>
      </c>
      <c r="B24" s="51" t="s">
        <v>113</v>
      </c>
      <c r="C24" s="59" t="s">
        <v>24</v>
      </c>
      <c r="D24" s="107">
        <v>15000</v>
      </c>
      <c r="E24" s="107">
        <f>D24-(D24*10/100)</f>
        <v>13500</v>
      </c>
      <c r="F24" s="107">
        <f>D24-(D24*20/100)</f>
        <v>12000</v>
      </c>
      <c r="G24" s="107">
        <f>D24-(D24*30/100)</f>
        <v>10500</v>
      </c>
      <c r="H24" s="107">
        <f t="shared" si="8"/>
        <v>12000</v>
      </c>
      <c r="I24" s="107"/>
      <c r="J24" s="107"/>
      <c r="K24" s="107"/>
      <c r="L24" s="107">
        <f t="shared" si="9"/>
        <v>9000</v>
      </c>
      <c r="M24" s="107"/>
      <c r="N24" s="107"/>
      <c r="O24" s="107"/>
      <c r="P24" s="50" t="s">
        <v>9</v>
      </c>
      <c r="Q24" s="49" t="s">
        <v>402</v>
      </c>
      <c r="R24" s="66" t="s">
        <v>505</v>
      </c>
      <c r="S24" s="18"/>
      <c r="T24" s="18"/>
      <c r="U24" s="18"/>
      <c r="V24" s="18"/>
      <c r="W24" s="18"/>
    </row>
    <row r="25" spans="1:48" s="4" customFormat="1" ht="43.5" x14ac:dyDescent="0.2">
      <c r="A25" s="39" t="s">
        <v>463</v>
      </c>
      <c r="B25" s="37" t="s">
        <v>99</v>
      </c>
      <c r="C25" s="37" t="s">
        <v>13</v>
      </c>
      <c r="D25" s="107">
        <v>5000</v>
      </c>
      <c r="E25" s="107">
        <f>D25-(D25*10/100)</f>
        <v>4500</v>
      </c>
      <c r="F25" s="107">
        <f>D25-(D25*20/100)</f>
        <v>4000</v>
      </c>
      <c r="G25" s="107">
        <f>D25-(D25*30/100)</f>
        <v>3500</v>
      </c>
      <c r="H25" s="107">
        <f>D25-(D25*20/100)</f>
        <v>4000</v>
      </c>
      <c r="I25" s="107"/>
      <c r="J25" s="107"/>
      <c r="K25" s="107"/>
      <c r="L25" s="107">
        <f>D25-(D25*40/100)</f>
        <v>3000</v>
      </c>
      <c r="M25" s="107"/>
      <c r="N25" s="107"/>
      <c r="O25" s="107"/>
      <c r="P25" s="50" t="s">
        <v>9</v>
      </c>
      <c r="Q25" s="59" t="s">
        <v>23</v>
      </c>
      <c r="R25" s="66" t="s">
        <v>505</v>
      </c>
    </row>
    <row r="26" spans="1:48" s="15" customFormat="1" ht="42.75" customHeight="1" x14ac:dyDescent="0.2">
      <c r="A26" s="39" t="s">
        <v>372</v>
      </c>
      <c r="B26" s="51" t="s">
        <v>100</v>
      </c>
      <c r="C26" s="59" t="s">
        <v>24</v>
      </c>
      <c r="D26" s="107">
        <v>5000</v>
      </c>
      <c r="E26" s="107"/>
      <c r="F26" s="107"/>
      <c r="G26" s="107"/>
      <c r="H26" s="107">
        <f t="shared" ref="H26" si="13">D26-(D26*20/100)</f>
        <v>4000</v>
      </c>
      <c r="I26" s="107"/>
      <c r="J26" s="107"/>
      <c r="K26" s="107"/>
      <c r="L26" s="107">
        <f t="shared" ref="L26" si="14">D26-(D26*40/100)</f>
        <v>3000</v>
      </c>
      <c r="M26" s="107"/>
      <c r="N26" s="107"/>
      <c r="O26" s="107"/>
      <c r="P26" s="50" t="s">
        <v>9</v>
      </c>
      <c r="Q26" s="59" t="s">
        <v>23</v>
      </c>
      <c r="R26" s="86" t="s">
        <v>509</v>
      </c>
    </row>
    <row r="27" spans="1:48" ht="43.5" x14ac:dyDescent="0.2">
      <c r="A27" s="39" t="s">
        <v>388</v>
      </c>
      <c r="B27" s="34" t="s">
        <v>32</v>
      </c>
      <c r="C27" s="59" t="s">
        <v>24</v>
      </c>
      <c r="D27" s="107">
        <v>2000</v>
      </c>
      <c r="E27" s="107"/>
      <c r="F27" s="107"/>
      <c r="G27" s="107"/>
      <c r="H27" s="107">
        <f>D27-(D27*20/100)</f>
        <v>1600</v>
      </c>
      <c r="I27" s="107"/>
      <c r="J27" s="107"/>
      <c r="K27" s="107"/>
      <c r="L27" s="107">
        <f>D27-(D27*40/100)</f>
        <v>1200</v>
      </c>
      <c r="M27" s="107"/>
      <c r="N27" s="107"/>
      <c r="O27" s="107"/>
      <c r="P27" s="50" t="s">
        <v>9</v>
      </c>
      <c r="Q27" s="51" t="s">
        <v>23</v>
      </c>
      <c r="R27" s="97" t="s">
        <v>521</v>
      </c>
    </row>
    <row r="28" spans="1:48" ht="21.75" x14ac:dyDescent="0.2">
      <c r="A28" s="124" t="s">
        <v>373</v>
      </c>
      <c r="B28" s="107" t="s">
        <v>64</v>
      </c>
      <c r="C28" s="50" t="s">
        <v>14</v>
      </c>
      <c r="D28" s="50">
        <v>1000</v>
      </c>
      <c r="E28" s="50">
        <f>MROUND(D28-(D28*10/100),50)</f>
        <v>900</v>
      </c>
      <c r="F28" s="50">
        <f>MROUND(D28-(D28*20/100),50)</f>
        <v>800</v>
      </c>
      <c r="G28" s="50">
        <f>MROUND(D28-(D28*30/100),50)</f>
        <v>700</v>
      </c>
      <c r="H28" s="50">
        <f>MROUND(D28-(D28*10/100),50)</f>
        <v>900</v>
      </c>
      <c r="I28" s="50">
        <f>MROUND(H28-(H28*10/100),50)</f>
        <v>800</v>
      </c>
      <c r="J28" s="50">
        <f>MROUND(H28-(H28*20/100),50)</f>
        <v>700</v>
      </c>
      <c r="K28" s="50">
        <f>MROUND(H28-(H28*30/100),50)</f>
        <v>650</v>
      </c>
      <c r="L28" s="50">
        <f>MROUND(D28-(D28*20/100),50)</f>
        <v>800</v>
      </c>
      <c r="M28" s="50">
        <f>MROUND(L28-(L28*10/100),50)</f>
        <v>700</v>
      </c>
      <c r="N28" s="50">
        <f>MROUND(L28-(L28*20/100),50)</f>
        <v>650</v>
      </c>
      <c r="O28" s="50">
        <f>MROUND(L28-(L28*30/100),50)</f>
        <v>550</v>
      </c>
      <c r="P28" s="108" t="s">
        <v>10</v>
      </c>
      <c r="Q28" s="108" t="s">
        <v>23</v>
      </c>
      <c r="R28" s="113" t="s">
        <v>507</v>
      </c>
    </row>
    <row r="29" spans="1:48" ht="63" customHeight="1" x14ac:dyDescent="0.2">
      <c r="A29" s="124"/>
      <c r="B29" s="107"/>
      <c r="C29" s="50" t="s">
        <v>15</v>
      </c>
      <c r="D29" s="50">
        <f>D28*50/100</f>
        <v>500</v>
      </c>
      <c r="E29" s="50">
        <f t="shared" ref="E29:O29" si="15">MROUND(E28*50/100,50)</f>
        <v>450</v>
      </c>
      <c r="F29" s="50">
        <f t="shared" si="15"/>
        <v>400</v>
      </c>
      <c r="G29" s="50">
        <f t="shared" si="15"/>
        <v>350</v>
      </c>
      <c r="H29" s="50">
        <f t="shared" si="15"/>
        <v>450</v>
      </c>
      <c r="I29" s="50">
        <f t="shared" si="15"/>
        <v>400</v>
      </c>
      <c r="J29" s="50">
        <f t="shared" si="15"/>
        <v>350</v>
      </c>
      <c r="K29" s="50">
        <f t="shared" si="15"/>
        <v>350</v>
      </c>
      <c r="L29" s="50">
        <f t="shared" si="15"/>
        <v>400</v>
      </c>
      <c r="M29" s="50">
        <f t="shared" si="15"/>
        <v>350</v>
      </c>
      <c r="N29" s="50">
        <f t="shared" si="15"/>
        <v>350</v>
      </c>
      <c r="O29" s="50">
        <f t="shared" si="15"/>
        <v>300</v>
      </c>
      <c r="P29" s="108"/>
      <c r="Q29" s="108"/>
      <c r="R29" s="113"/>
    </row>
    <row r="30" spans="1:48" ht="43.5" x14ac:dyDescent="0.2">
      <c r="A30" s="39" t="s">
        <v>374</v>
      </c>
      <c r="B30" s="51" t="s">
        <v>65</v>
      </c>
      <c r="C30" s="37" t="s">
        <v>24</v>
      </c>
      <c r="D30" s="107">
        <v>2000</v>
      </c>
      <c r="E30" s="107"/>
      <c r="F30" s="107"/>
      <c r="G30" s="107"/>
      <c r="H30" s="107">
        <f>D30-(D30*20/100)</f>
        <v>1600</v>
      </c>
      <c r="I30" s="107"/>
      <c r="J30" s="107"/>
      <c r="K30" s="107"/>
      <c r="L30" s="107">
        <f>D30-(D30*40/100)</f>
        <v>1200</v>
      </c>
      <c r="M30" s="107"/>
      <c r="N30" s="107"/>
      <c r="O30" s="107"/>
      <c r="P30" s="50" t="s">
        <v>9</v>
      </c>
      <c r="Q30" s="59" t="s">
        <v>23</v>
      </c>
      <c r="R30" s="63" t="s">
        <v>507</v>
      </c>
    </row>
    <row r="31" spans="1:48" s="6" customFormat="1" ht="39.950000000000003" customHeight="1" x14ac:dyDescent="0.2">
      <c r="A31" s="39" t="s">
        <v>375</v>
      </c>
      <c r="B31" s="50" t="s">
        <v>78</v>
      </c>
      <c r="C31" s="37" t="s">
        <v>24</v>
      </c>
      <c r="D31" s="107">
        <v>5000</v>
      </c>
      <c r="E31" s="107"/>
      <c r="F31" s="107"/>
      <c r="G31" s="107"/>
      <c r="H31" s="107">
        <f>D31-(D31*20/100)</f>
        <v>4000</v>
      </c>
      <c r="I31" s="107"/>
      <c r="J31" s="107"/>
      <c r="K31" s="107"/>
      <c r="L31" s="107">
        <f>D31-(D31*40/100)</f>
        <v>3000</v>
      </c>
      <c r="M31" s="107"/>
      <c r="N31" s="107"/>
      <c r="O31" s="107"/>
      <c r="P31" s="50" t="s">
        <v>9</v>
      </c>
      <c r="Q31" s="59" t="s">
        <v>23</v>
      </c>
      <c r="R31" s="68" t="s">
        <v>508</v>
      </c>
    </row>
    <row r="32" spans="1:48" s="21" customFormat="1" ht="39.950000000000003" customHeight="1" x14ac:dyDescent="0.2">
      <c r="A32" s="39" t="s">
        <v>376</v>
      </c>
      <c r="B32" s="49" t="s">
        <v>116</v>
      </c>
      <c r="C32" s="51" t="s">
        <v>24</v>
      </c>
      <c r="D32" s="107">
        <v>1000</v>
      </c>
      <c r="E32" s="107">
        <f t="shared" ref="E32:E33" si="16">D32-(D32*10/100)</f>
        <v>900</v>
      </c>
      <c r="F32" s="107">
        <f t="shared" ref="F32:F33" si="17">D32-(D32*20/100)</f>
        <v>800</v>
      </c>
      <c r="G32" s="107">
        <f t="shared" ref="G32:G33" si="18">D32-(D32*30/100)</f>
        <v>700</v>
      </c>
      <c r="H32" s="107">
        <f>D32-(D32*20/100)</f>
        <v>800</v>
      </c>
      <c r="I32" s="107"/>
      <c r="J32" s="107"/>
      <c r="K32" s="107"/>
      <c r="L32" s="107">
        <f>D32-(D32*40/100)</f>
        <v>600</v>
      </c>
      <c r="M32" s="107"/>
      <c r="N32" s="107"/>
      <c r="O32" s="107"/>
      <c r="P32" s="51" t="s">
        <v>9</v>
      </c>
      <c r="Q32" s="43" t="s">
        <v>404</v>
      </c>
      <c r="R32" s="66" t="s">
        <v>505</v>
      </c>
    </row>
    <row r="33" spans="1:48" s="1" customFormat="1" ht="43.5" x14ac:dyDescent="0.2">
      <c r="A33" s="39" t="s">
        <v>377</v>
      </c>
      <c r="B33" s="51" t="s">
        <v>102</v>
      </c>
      <c r="C33" s="51" t="s">
        <v>24</v>
      </c>
      <c r="D33" s="107">
        <v>1000</v>
      </c>
      <c r="E33" s="107">
        <f t="shared" si="16"/>
        <v>900</v>
      </c>
      <c r="F33" s="107">
        <f t="shared" si="17"/>
        <v>800</v>
      </c>
      <c r="G33" s="107">
        <f t="shared" si="18"/>
        <v>700</v>
      </c>
      <c r="H33" s="107">
        <f>D33-(D33*20/100)</f>
        <v>800</v>
      </c>
      <c r="I33" s="107"/>
      <c r="J33" s="107"/>
      <c r="K33" s="107"/>
      <c r="L33" s="107">
        <f>D33-(D33*40/100)</f>
        <v>600</v>
      </c>
      <c r="M33" s="107"/>
      <c r="N33" s="107"/>
      <c r="O33" s="107"/>
      <c r="P33" s="51" t="s">
        <v>9</v>
      </c>
      <c r="Q33" s="43" t="s">
        <v>404</v>
      </c>
      <c r="R33" s="66" t="s">
        <v>505</v>
      </c>
    </row>
    <row r="34" spans="1:48" s="1" customFormat="1" ht="24.75" customHeight="1" x14ac:dyDescent="0.2">
      <c r="A34" s="124" t="s">
        <v>378</v>
      </c>
      <c r="B34" s="113" t="s">
        <v>423</v>
      </c>
      <c r="C34" s="50" t="s">
        <v>14</v>
      </c>
      <c r="D34" s="50">
        <v>500</v>
      </c>
      <c r="E34" s="50">
        <f t="shared" ref="E34" si="19">MROUND(D34-(D34*10/100),50)</f>
        <v>450</v>
      </c>
      <c r="F34" s="50">
        <f t="shared" ref="F34" si="20">MROUND(D34-(D34*20/100),50)</f>
        <v>400</v>
      </c>
      <c r="G34" s="50">
        <f t="shared" ref="G34" si="21">MROUND(D34-(D34*30/100),50)</f>
        <v>350</v>
      </c>
      <c r="H34" s="50">
        <f t="shared" ref="H34" si="22">MROUND(D34-(D34*10/100),50)</f>
        <v>450</v>
      </c>
      <c r="I34" s="50">
        <f t="shared" ref="I34" si="23">MROUND(H34-(H34*10/100),50)</f>
        <v>400</v>
      </c>
      <c r="J34" s="50">
        <f t="shared" ref="J34" si="24">MROUND(H34-(H34*20/100),50)</f>
        <v>350</v>
      </c>
      <c r="K34" s="50">
        <f t="shared" ref="K34" si="25">MROUND(H34-(H34*30/100),50)</f>
        <v>300</v>
      </c>
      <c r="L34" s="50">
        <f t="shared" ref="L34" si="26">MROUND(D34-(D34*20/100),50)</f>
        <v>400</v>
      </c>
      <c r="M34" s="50">
        <f t="shared" ref="M34" si="27">MROUND(L34-(L34*10/100),50)</f>
        <v>350</v>
      </c>
      <c r="N34" s="50">
        <f t="shared" ref="N34" si="28">MROUND(L34-(L34*20/100),50)</f>
        <v>300</v>
      </c>
      <c r="O34" s="50">
        <f t="shared" ref="O34" si="29">MROUND(L34-(L34*30/100),50)</f>
        <v>300</v>
      </c>
      <c r="P34" s="108" t="s">
        <v>10</v>
      </c>
      <c r="Q34" s="113" t="s">
        <v>413</v>
      </c>
      <c r="R34" s="113" t="s">
        <v>516</v>
      </c>
    </row>
    <row r="35" spans="1:48" s="4" customFormat="1" ht="21.75" x14ac:dyDescent="0.2">
      <c r="A35" s="124"/>
      <c r="B35" s="113"/>
      <c r="C35" s="50" t="s">
        <v>15</v>
      </c>
      <c r="D35" s="50">
        <f t="shared" ref="D35" si="30">D34*50/100</f>
        <v>250</v>
      </c>
      <c r="E35" s="50">
        <f t="shared" ref="E35:O35" si="31">MROUND(E34*50/100,50)</f>
        <v>250</v>
      </c>
      <c r="F35" s="50">
        <f t="shared" si="31"/>
        <v>200</v>
      </c>
      <c r="G35" s="50">
        <f t="shared" si="31"/>
        <v>200</v>
      </c>
      <c r="H35" s="50">
        <f t="shared" si="31"/>
        <v>250</v>
      </c>
      <c r="I35" s="50">
        <f t="shared" si="31"/>
        <v>200</v>
      </c>
      <c r="J35" s="50">
        <f t="shared" si="31"/>
        <v>200</v>
      </c>
      <c r="K35" s="50">
        <f t="shared" si="31"/>
        <v>150</v>
      </c>
      <c r="L35" s="50">
        <f t="shared" si="31"/>
        <v>200</v>
      </c>
      <c r="M35" s="50">
        <f t="shared" si="31"/>
        <v>200</v>
      </c>
      <c r="N35" s="50">
        <f t="shared" si="31"/>
        <v>150</v>
      </c>
      <c r="O35" s="50">
        <f t="shared" si="31"/>
        <v>150</v>
      </c>
      <c r="P35" s="108"/>
      <c r="Q35" s="113"/>
      <c r="R35" s="113"/>
    </row>
    <row r="36" spans="1:48" ht="43.5" x14ac:dyDescent="0.2">
      <c r="A36" s="39" t="s">
        <v>379</v>
      </c>
      <c r="B36" s="51" t="s">
        <v>74</v>
      </c>
      <c r="C36" s="59" t="s">
        <v>24</v>
      </c>
      <c r="D36" s="107">
        <v>10000</v>
      </c>
      <c r="E36" s="107">
        <f t="shared" ref="E36" si="32">D36-(D36*10/100)</f>
        <v>9000</v>
      </c>
      <c r="F36" s="107">
        <f t="shared" ref="F36" si="33">D36-(D36*20/100)</f>
        <v>8000</v>
      </c>
      <c r="G36" s="107">
        <f t="shared" ref="G36" si="34">D36-(D36*30/100)</f>
        <v>7000</v>
      </c>
      <c r="H36" s="107">
        <f>D36-(D36*20/100)</f>
        <v>8000</v>
      </c>
      <c r="I36" s="107"/>
      <c r="J36" s="107"/>
      <c r="K36" s="107"/>
      <c r="L36" s="107">
        <f>D36-(D36*40/100)</f>
        <v>6000</v>
      </c>
      <c r="M36" s="107"/>
      <c r="N36" s="107"/>
      <c r="O36" s="107"/>
      <c r="P36" s="50" t="s">
        <v>9</v>
      </c>
      <c r="Q36" s="50" t="s">
        <v>23</v>
      </c>
      <c r="R36" s="63" t="s">
        <v>505</v>
      </c>
    </row>
    <row r="37" spans="1:48" s="1" customFormat="1" ht="43.5" x14ac:dyDescent="0.2">
      <c r="A37" s="39" t="s">
        <v>380</v>
      </c>
      <c r="B37" s="42" t="s">
        <v>424</v>
      </c>
      <c r="C37" s="37" t="s">
        <v>24</v>
      </c>
      <c r="D37" s="107">
        <v>1000</v>
      </c>
      <c r="E37" s="107">
        <f t="shared" ref="E37" si="35">D37-(D37*10/100)</f>
        <v>900</v>
      </c>
      <c r="F37" s="107">
        <f t="shared" ref="F37" si="36">D37-(D37*20/100)</f>
        <v>800</v>
      </c>
      <c r="G37" s="107">
        <f t="shared" ref="G37" si="37">D37-(D37*30/100)</f>
        <v>700</v>
      </c>
      <c r="H37" s="107">
        <f>D37-(D37*20/100)</f>
        <v>800</v>
      </c>
      <c r="I37" s="107"/>
      <c r="J37" s="107"/>
      <c r="K37" s="107"/>
      <c r="L37" s="107">
        <f>D37-(D37*40/100)</f>
        <v>600</v>
      </c>
      <c r="M37" s="107"/>
      <c r="N37" s="107"/>
      <c r="O37" s="107"/>
      <c r="P37" s="50" t="s">
        <v>9</v>
      </c>
      <c r="Q37" s="59" t="s">
        <v>23</v>
      </c>
      <c r="R37" s="63" t="s">
        <v>505</v>
      </c>
    </row>
    <row r="38" spans="1:48" s="1" customFormat="1" ht="30.75" customHeight="1" x14ac:dyDescent="0.2">
      <c r="A38" s="124" t="s">
        <v>381</v>
      </c>
      <c r="B38" s="108" t="s">
        <v>26</v>
      </c>
      <c r="C38" s="50" t="s">
        <v>14</v>
      </c>
      <c r="D38" s="50">
        <v>500</v>
      </c>
      <c r="E38" s="50">
        <f>MROUND(D38-(D38*10/100),50)</f>
        <v>450</v>
      </c>
      <c r="F38" s="50">
        <f>MROUND(D38-(D38*20/100),50)</f>
        <v>400</v>
      </c>
      <c r="G38" s="50">
        <f>MROUND(D38-(D38*30/100),50)</f>
        <v>350</v>
      </c>
      <c r="H38" s="50">
        <f>MROUND(D38-(D38*10/100),50)</f>
        <v>450</v>
      </c>
      <c r="I38" s="50">
        <f>MROUND(H38-(H38*10/100),50)</f>
        <v>400</v>
      </c>
      <c r="J38" s="50">
        <f>MROUND(H38-(H38*20/100),50)</f>
        <v>350</v>
      </c>
      <c r="K38" s="50">
        <f>MROUND(H38-(H38*30/100),50)</f>
        <v>300</v>
      </c>
      <c r="L38" s="50">
        <f>MROUND(D38-(D38*20/100),50)</f>
        <v>400</v>
      </c>
      <c r="M38" s="50">
        <f>MROUND(L38-(L38*10/100),50)</f>
        <v>350</v>
      </c>
      <c r="N38" s="50">
        <f>MROUND(L38-(L38*20/100),50)</f>
        <v>300</v>
      </c>
      <c r="O38" s="50">
        <f>MROUND(L38-(L38*30/100),50)</f>
        <v>300</v>
      </c>
      <c r="P38" s="108" t="s">
        <v>10</v>
      </c>
      <c r="Q38" s="108" t="s">
        <v>23</v>
      </c>
      <c r="R38" s="112" t="s">
        <v>505</v>
      </c>
    </row>
    <row r="39" spans="1:48" s="4" customFormat="1" ht="18" customHeight="1" x14ac:dyDescent="0.2">
      <c r="A39" s="124"/>
      <c r="B39" s="108"/>
      <c r="C39" s="50" t="s">
        <v>16</v>
      </c>
      <c r="D39" s="50">
        <f t="shared" ref="D39" si="38">D38*50/100</f>
        <v>250</v>
      </c>
      <c r="E39" s="51">
        <f t="shared" ref="E39:O39" si="39">MROUND(E38*50/100,50)</f>
        <v>250</v>
      </c>
      <c r="F39" s="51">
        <f t="shared" si="39"/>
        <v>200</v>
      </c>
      <c r="G39" s="51">
        <f t="shared" si="39"/>
        <v>200</v>
      </c>
      <c r="H39" s="51">
        <f t="shared" si="39"/>
        <v>250</v>
      </c>
      <c r="I39" s="51">
        <f t="shared" si="39"/>
        <v>200</v>
      </c>
      <c r="J39" s="51">
        <f t="shared" si="39"/>
        <v>200</v>
      </c>
      <c r="K39" s="51">
        <f t="shared" si="39"/>
        <v>150</v>
      </c>
      <c r="L39" s="51">
        <f t="shared" si="39"/>
        <v>200</v>
      </c>
      <c r="M39" s="51">
        <f t="shared" si="39"/>
        <v>200</v>
      </c>
      <c r="N39" s="51">
        <f t="shared" si="39"/>
        <v>150</v>
      </c>
      <c r="O39" s="51">
        <f t="shared" si="39"/>
        <v>150</v>
      </c>
      <c r="P39" s="108"/>
      <c r="Q39" s="108"/>
      <c r="R39" s="112"/>
    </row>
    <row r="40" spans="1:48" s="4" customFormat="1" ht="21.75" x14ac:dyDescent="0.2">
      <c r="A40" s="124" t="s">
        <v>382</v>
      </c>
      <c r="B40" s="113" t="s">
        <v>425</v>
      </c>
      <c r="C40" s="51" t="s">
        <v>14</v>
      </c>
      <c r="D40" s="51">
        <v>3000</v>
      </c>
      <c r="E40" s="51">
        <f>MROUND(D40-(D40*10/100),50)</f>
        <v>2700</v>
      </c>
      <c r="F40" s="51">
        <f>MROUND(D40-(D40*20/100),50)</f>
        <v>2400</v>
      </c>
      <c r="G40" s="51">
        <f>MROUND(D40-(D40*30/100),50)</f>
        <v>2100</v>
      </c>
      <c r="H40" s="51">
        <f>MROUND(D40-(D40*10/100),50)</f>
        <v>2700</v>
      </c>
      <c r="I40" s="51">
        <f>MROUND(H40-(H40*10/100),50)</f>
        <v>2450</v>
      </c>
      <c r="J40" s="51">
        <f>MROUND(H40-(H40*20/100),50)</f>
        <v>2150</v>
      </c>
      <c r="K40" s="51">
        <f>MROUND(H40-(H40*30/100),50)</f>
        <v>1900</v>
      </c>
      <c r="L40" s="51">
        <f>MROUND(D40-(D40*20/100),50)</f>
        <v>2400</v>
      </c>
      <c r="M40" s="51">
        <f>MROUND(L40-(L40*10/100),50)</f>
        <v>2150</v>
      </c>
      <c r="N40" s="51">
        <f>MROUND(L40-(L40*20/100),50)</f>
        <v>1900</v>
      </c>
      <c r="O40" s="51">
        <f>MROUND(L40-(L40*30/100),50)</f>
        <v>1700</v>
      </c>
      <c r="P40" s="107" t="s">
        <v>10</v>
      </c>
      <c r="Q40" s="107" t="s">
        <v>23</v>
      </c>
      <c r="R40" s="113" t="s">
        <v>505</v>
      </c>
    </row>
    <row r="41" spans="1:48" s="4" customFormat="1" ht="47.25" customHeight="1" x14ac:dyDescent="0.2">
      <c r="A41" s="124"/>
      <c r="B41" s="113"/>
      <c r="C41" s="51" t="s">
        <v>16</v>
      </c>
      <c r="D41" s="51">
        <f t="shared" ref="D41" si="40">D40*50/100</f>
        <v>1500</v>
      </c>
      <c r="E41" s="51">
        <f t="shared" ref="E41:O41" si="41">MROUND(E40*50/100,50)</f>
        <v>1350</v>
      </c>
      <c r="F41" s="51">
        <f t="shared" si="41"/>
        <v>1200</v>
      </c>
      <c r="G41" s="51">
        <f t="shared" si="41"/>
        <v>1050</v>
      </c>
      <c r="H41" s="51">
        <f t="shared" si="41"/>
        <v>1350</v>
      </c>
      <c r="I41" s="51">
        <f t="shared" si="41"/>
        <v>1250</v>
      </c>
      <c r="J41" s="51">
        <f t="shared" si="41"/>
        <v>1100</v>
      </c>
      <c r="K41" s="51">
        <f t="shared" si="41"/>
        <v>950</v>
      </c>
      <c r="L41" s="51">
        <f t="shared" si="41"/>
        <v>1200</v>
      </c>
      <c r="M41" s="51">
        <f t="shared" si="41"/>
        <v>1100</v>
      </c>
      <c r="N41" s="51">
        <f t="shared" si="41"/>
        <v>950</v>
      </c>
      <c r="O41" s="51">
        <f t="shared" si="41"/>
        <v>850</v>
      </c>
      <c r="P41" s="107"/>
      <c r="Q41" s="107"/>
      <c r="R41" s="113"/>
    </row>
    <row r="42" spans="1:48" s="5" customFormat="1" ht="65.25" x14ac:dyDescent="0.2">
      <c r="A42" s="39" t="s">
        <v>383</v>
      </c>
      <c r="B42" s="49" t="s">
        <v>473</v>
      </c>
      <c r="C42" s="37" t="s">
        <v>13</v>
      </c>
      <c r="D42" s="107">
        <v>1000</v>
      </c>
      <c r="E42" s="107"/>
      <c r="F42" s="107"/>
      <c r="G42" s="107"/>
      <c r="H42" s="107">
        <f>D42-(D42*20/100)</f>
        <v>800</v>
      </c>
      <c r="I42" s="107"/>
      <c r="J42" s="107"/>
      <c r="K42" s="107"/>
      <c r="L42" s="107">
        <f>D42-(D42*40/100)</f>
        <v>600</v>
      </c>
      <c r="M42" s="107"/>
      <c r="N42" s="107"/>
      <c r="O42" s="107"/>
      <c r="P42" s="50" t="s">
        <v>9</v>
      </c>
      <c r="Q42" s="49" t="s">
        <v>447</v>
      </c>
      <c r="R42" s="66" t="s">
        <v>509</v>
      </c>
    </row>
    <row r="43" spans="1:48" s="5" customFormat="1" ht="21.75" x14ac:dyDescent="0.2">
      <c r="A43" s="124" t="s">
        <v>384</v>
      </c>
      <c r="B43" s="109" t="s">
        <v>137</v>
      </c>
      <c r="C43" s="51" t="s">
        <v>14</v>
      </c>
      <c r="D43" s="51">
        <v>5000</v>
      </c>
      <c r="E43" s="51">
        <f>MROUND(D43-(D43*10/100),50)</f>
        <v>4500</v>
      </c>
      <c r="F43" s="51">
        <f>MROUND(D43-(D43*20/100),50)</f>
        <v>4000</v>
      </c>
      <c r="G43" s="51">
        <f>MROUND(D43-(D43*30/100),50)</f>
        <v>3500</v>
      </c>
      <c r="H43" s="51">
        <f>MROUND(D43-(D43*10/100),50)</f>
        <v>4500</v>
      </c>
      <c r="I43" s="51">
        <f>MROUND(H43-(H43*10/100),50)</f>
        <v>4050</v>
      </c>
      <c r="J43" s="51">
        <f>MROUND(H43-(H43*20/100),50)</f>
        <v>3600</v>
      </c>
      <c r="K43" s="51">
        <f>MROUND(H43-(H43*30/100),50)</f>
        <v>3150</v>
      </c>
      <c r="L43" s="51">
        <f>MROUND(D43-(D43*20/100),50)</f>
        <v>4000</v>
      </c>
      <c r="M43" s="51">
        <f>MROUND(L43-(L43*10/100),50)</f>
        <v>3600</v>
      </c>
      <c r="N43" s="51">
        <f>MROUND(L43-(L43*20/100),50)</f>
        <v>3200</v>
      </c>
      <c r="O43" s="51">
        <f>MROUND(L43-(L43*30/100),50)</f>
        <v>2800</v>
      </c>
      <c r="P43" s="107" t="s">
        <v>10</v>
      </c>
      <c r="Q43" s="107" t="s">
        <v>23</v>
      </c>
      <c r="R43" s="113" t="s">
        <v>509</v>
      </c>
    </row>
    <row r="44" spans="1:48" s="29" customFormat="1" ht="21.75" customHeight="1" x14ac:dyDescent="0.2">
      <c r="A44" s="124"/>
      <c r="B44" s="109"/>
      <c r="C44" s="51" t="s">
        <v>16</v>
      </c>
      <c r="D44" s="51">
        <f>D43*50/100</f>
        <v>2500</v>
      </c>
      <c r="E44" s="51">
        <f t="shared" ref="E44:O44" si="42">MROUND(E43*50/100,50)</f>
        <v>2250</v>
      </c>
      <c r="F44" s="51">
        <f t="shared" si="42"/>
        <v>2000</v>
      </c>
      <c r="G44" s="51">
        <f t="shared" si="42"/>
        <v>1750</v>
      </c>
      <c r="H44" s="51">
        <f t="shared" si="42"/>
        <v>2250</v>
      </c>
      <c r="I44" s="51">
        <f t="shared" si="42"/>
        <v>2050</v>
      </c>
      <c r="J44" s="51">
        <f t="shared" si="42"/>
        <v>1800</v>
      </c>
      <c r="K44" s="51">
        <f t="shared" si="42"/>
        <v>1600</v>
      </c>
      <c r="L44" s="51">
        <f t="shared" si="42"/>
        <v>2000</v>
      </c>
      <c r="M44" s="51">
        <f t="shared" si="42"/>
        <v>1800</v>
      </c>
      <c r="N44" s="51">
        <f t="shared" si="42"/>
        <v>1600</v>
      </c>
      <c r="O44" s="51">
        <f t="shared" si="42"/>
        <v>1400</v>
      </c>
      <c r="P44" s="107"/>
      <c r="Q44" s="107"/>
      <c r="R44" s="113"/>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row>
    <row r="45" spans="1:48" s="29" customFormat="1" ht="43.5" customHeight="1" x14ac:dyDescent="0.2">
      <c r="A45" s="124" t="s">
        <v>385</v>
      </c>
      <c r="B45" s="107" t="s">
        <v>126</v>
      </c>
      <c r="C45" s="51" t="s">
        <v>14</v>
      </c>
      <c r="D45" s="51">
        <v>2000</v>
      </c>
      <c r="E45" s="51">
        <f t="shared" ref="E45" si="43">MROUND(D45-(D45*10/100),50)</f>
        <v>1800</v>
      </c>
      <c r="F45" s="51">
        <f t="shared" ref="F45" si="44">MROUND(D45-(D45*20/100),50)</f>
        <v>1600</v>
      </c>
      <c r="G45" s="51">
        <f t="shared" ref="G45" si="45">MROUND(D45-(D45*30/100),50)</f>
        <v>1400</v>
      </c>
      <c r="H45" s="51">
        <f t="shared" ref="H45" si="46">MROUND(D45-(D45*10/100),50)</f>
        <v>1800</v>
      </c>
      <c r="I45" s="51">
        <f t="shared" ref="I45" si="47">MROUND(H45-(H45*10/100),50)</f>
        <v>1600</v>
      </c>
      <c r="J45" s="51">
        <f t="shared" ref="J45" si="48">MROUND(H45-(H45*20/100),50)</f>
        <v>1450</v>
      </c>
      <c r="K45" s="51">
        <f t="shared" ref="K45" si="49">MROUND(H45-(H45*30/100),50)</f>
        <v>1250</v>
      </c>
      <c r="L45" s="51">
        <f t="shared" ref="L45" si="50">MROUND(D45-(D45*20/100),50)</f>
        <v>1600</v>
      </c>
      <c r="M45" s="51">
        <f t="shared" ref="M45" si="51">MROUND(L45-(L45*10/100),50)</f>
        <v>1450</v>
      </c>
      <c r="N45" s="51">
        <f t="shared" ref="N45" si="52">MROUND(L45-(L45*20/100),50)</f>
        <v>1300</v>
      </c>
      <c r="O45" s="51">
        <f t="shared" ref="O45" si="53">MROUND(L45-(L45*30/100),50)</f>
        <v>1100</v>
      </c>
      <c r="P45" s="107" t="s">
        <v>10</v>
      </c>
      <c r="Q45" s="112" t="s">
        <v>419</v>
      </c>
      <c r="R45" s="113" t="s">
        <v>505</v>
      </c>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row>
    <row r="46" spans="1:48" ht="18" customHeight="1" x14ac:dyDescent="0.2">
      <c r="A46" s="124"/>
      <c r="B46" s="107"/>
      <c r="C46" s="51" t="s">
        <v>15</v>
      </c>
      <c r="D46" s="51">
        <f t="shared" ref="D46" si="54">D45*50/100</f>
        <v>1000</v>
      </c>
      <c r="E46" s="51">
        <f t="shared" ref="E46:O46" si="55">MROUND(E45*50/100,50)</f>
        <v>900</v>
      </c>
      <c r="F46" s="51">
        <f t="shared" si="55"/>
        <v>800</v>
      </c>
      <c r="G46" s="51">
        <f t="shared" si="55"/>
        <v>700</v>
      </c>
      <c r="H46" s="51">
        <f t="shared" si="55"/>
        <v>900</v>
      </c>
      <c r="I46" s="51">
        <f t="shared" si="55"/>
        <v>800</v>
      </c>
      <c r="J46" s="51">
        <f t="shared" si="55"/>
        <v>750</v>
      </c>
      <c r="K46" s="51">
        <f t="shared" si="55"/>
        <v>650</v>
      </c>
      <c r="L46" s="51">
        <f t="shared" si="55"/>
        <v>800</v>
      </c>
      <c r="M46" s="51">
        <f t="shared" si="55"/>
        <v>750</v>
      </c>
      <c r="N46" s="51">
        <f t="shared" si="55"/>
        <v>650</v>
      </c>
      <c r="O46" s="51">
        <f t="shared" si="55"/>
        <v>550</v>
      </c>
      <c r="P46" s="107"/>
      <c r="Q46" s="112"/>
      <c r="R46" s="113"/>
    </row>
    <row r="47" spans="1:48" ht="18" customHeight="1" x14ac:dyDescent="0.2">
      <c r="A47" s="124" t="s">
        <v>386</v>
      </c>
      <c r="B47" s="108" t="s">
        <v>500</v>
      </c>
      <c r="C47" s="50" t="s">
        <v>14</v>
      </c>
      <c r="D47" s="64">
        <v>500</v>
      </c>
      <c r="E47" s="64">
        <f>MROUND(D47-(D47*10/100),50)</f>
        <v>450</v>
      </c>
      <c r="F47" s="64">
        <f>MROUND(D47-(D47*20/100),50)</f>
        <v>400</v>
      </c>
      <c r="G47" s="64">
        <f>MROUND(D47-(D47*30/100),50)</f>
        <v>350</v>
      </c>
      <c r="H47" s="64">
        <f>MROUND(D47-(D47*10/100),50)</f>
        <v>450</v>
      </c>
      <c r="I47" s="64">
        <f>MROUND(H47-(H47*10/100),50)</f>
        <v>400</v>
      </c>
      <c r="J47" s="64">
        <f>MROUND(H47-(H47*20/100),50)</f>
        <v>350</v>
      </c>
      <c r="K47" s="64">
        <f>MROUND(H47-(H47*30/100),50)</f>
        <v>300</v>
      </c>
      <c r="L47" s="64">
        <f>MROUND(D47-(D47*20/100),50)</f>
        <v>400</v>
      </c>
      <c r="M47" s="64">
        <f>MROUND(L47-(L47*10/100),50)</f>
        <v>350</v>
      </c>
      <c r="N47" s="64">
        <f>MROUND(L47-(L47*20/100),50)</f>
        <v>300</v>
      </c>
      <c r="O47" s="64">
        <f>MROUND(L47-(L47*30/100),50)</f>
        <v>300</v>
      </c>
      <c r="P47" s="108" t="s">
        <v>10</v>
      </c>
      <c r="Q47" s="112" t="s">
        <v>419</v>
      </c>
      <c r="R47" s="110" t="s">
        <v>505</v>
      </c>
    </row>
    <row r="48" spans="1:48" s="2" customFormat="1" ht="21.75" customHeight="1" x14ac:dyDescent="0.2">
      <c r="A48" s="124"/>
      <c r="B48" s="108"/>
      <c r="C48" s="52" t="s">
        <v>15</v>
      </c>
      <c r="D48" s="64">
        <f>D47*50/100</f>
        <v>250</v>
      </c>
      <c r="E48" s="64">
        <f t="shared" ref="E48:O48" si="56">MROUND(E47*50/100,50)</f>
        <v>250</v>
      </c>
      <c r="F48" s="64">
        <f t="shared" si="56"/>
        <v>200</v>
      </c>
      <c r="G48" s="64">
        <f t="shared" si="56"/>
        <v>200</v>
      </c>
      <c r="H48" s="64">
        <f t="shared" si="56"/>
        <v>250</v>
      </c>
      <c r="I48" s="64">
        <f t="shared" si="56"/>
        <v>200</v>
      </c>
      <c r="J48" s="64">
        <f t="shared" si="56"/>
        <v>200</v>
      </c>
      <c r="K48" s="64">
        <f t="shared" si="56"/>
        <v>150</v>
      </c>
      <c r="L48" s="64">
        <f t="shared" si="56"/>
        <v>200</v>
      </c>
      <c r="M48" s="64">
        <f t="shared" si="56"/>
        <v>200</v>
      </c>
      <c r="N48" s="64">
        <f t="shared" si="56"/>
        <v>150</v>
      </c>
      <c r="O48" s="64">
        <f t="shared" si="56"/>
        <v>150</v>
      </c>
      <c r="P48" s="108"/>
      <c r="Q48" s="112"/>
      <c r="R48" s="111"/>
    </row>
    <row r="49" spans="1:23" ht="21.75" customHeight="1" x14ac:dyDescent="0.2">
      <c r="A49" s="124" t="s">
        <v>387</v>
      </c>
      <c r="B49" s="107" t="s">
        <v>11</v>
      </c>
      <c r="C49" s="51" t="s">
        <v>14</v>
      </c>
      <c r="D49" s="51">
        <v>3000</v>
      </c>
      <c r="E49" s="51">
        <f>MROUND(D49-(D49*10/100),50)</f>
        <v>2700</v>
      </c>
      <c r="F49" s="51">
        <f>MROUND(D49-(D49*20/100),50)</f>
        <v>2400</v>
      </c>
      <c r="G49" s="51">
        <f>MROUND(D49-(D49*30/100),50)</f>
        <v>2100</v>
      </c>
      <c r="H49" s="51">
        <f>MROUND(D49-(D49*10/100),50)</f>
        <v>2700</v>
      </c>
      <c r="I49" s="51">
        <f>MROUND(H49-(H49*10/100),50)</f>
        <v>2450</v>
      </c>
      <c r="J49" s="51">
        <f>MROUND(H49-(H49*20/100),50)</f>
        <v>2150</v>
      </c>
      <c r="K49" s="51">
        <f>MROUND(H49-(H49*30/100),50)</f>
        <v>1900</v>
      </c>
      <c r="L49" s="51">
        <f>MROUND(D49-(D49*20/100),50)</f>
        <v>2400</v>
      </c>
      <c r="M49" s="51">
        <f>MROUND(L49-(L49*10/100),50)</f>
        <v>2150</v>
      </c>
      <c r="N49" s="51">
        <f>MROUND(L49-(L49*20/100),50)</f>
        <v>1900</v>
      </c>
      <c r="O49" s="51">
        <f>MROUND(L49-(L49*30/100),50)</f>
        <v>1700</v>
      </c>
      <c r="P49" s="107" t="s">
        <v>10</v>
      </c>
      <c r="Q49" s="107" t="s">
        <v>23</v>
      </c>
      <c r="R49" s="110" t="s">
        <v>516</v>
      </c>
    </row>
    <row r="50" spans="1:23" ht="23.25" customHeight="1" x14ac:dyDescent="0.2">
      <c r="A50" s="124"/>
      <c r="B50" s="107"/>
      <c r="C50" s="51" t="s">
        <v>15</v>
      </c>
      <c r="D50" s="51">
        <f t="shared" ref="D50" si="57">D49*50/100</f>
        <v>1500</v>
      </c>
      <c r="E50" s="51">
        <f t="shared" ref="E50:O50" si="58">MROUND(E49*50/100,50)</f>
        <v>1350</v>
      </c>
      <c r="F50" s="51">
        <f t="shared" si="58"/>
        <v>1200</v>
      </c>
      <c r="G50" s="51">
        <f t="shared" si="58"/>
        <v>1050</v>
      </c>
      <c r="H50" s="51">
        <f t="shared" si="58"/>
        <v>1350</v>
      </c>
      <c r="I50" s="51">
        <f t="shared" si="58"/>
        <v>1250</v>
      </c>
      <c r="J50" s="51">
        <f t="shared" si="58"/>
        <v>1100</v>
      </c>
      <c r="K50" s="51">
        <f t="shared" si="58"/>
        <v>950</v>
      </c>
      <c r="L50" s="51">
        <f t="shared" si="58"/>
        <v>1200</v>
      </c>
      <c r="M50" s="51">
        <f t="shared" si="58"/>
        <v>1100</v>
      </c>
      <c r="N50" s="51">
        <f t="shared" si="58"/>
        <v>950</v>
      </c>
      <c r="O50" s="51">
        <f t="shared" si="58"/>
        <v>850</v>
      </c>
      <c r="P50" s="107"/>
      <c r="Q50" s="107"/>
      <c r="R50" s="111"/>
    </row>
    <row r="51" spans="1:23" s="4" customFormat="1" ht="23.25" x14ac:dyDescent="0.2">
      <c r="A51" s="106" t="s">
        <v>455</v>
      </c>
      <c r="B51" s="106"/>
      <c r="C51" s="106"/>
      <c r="D51" s="106"/>
      <c r="E51" s="106"/>
      <c r="F51" s="106"/>
      <c r="G51" s="106"/>
      <c r="H51" s="106"/>
      <c r="I51" s="106"/>
      <c r="J51" s="106"/>
      <c r="K51" s="106"/>
      <c r="L51" s="106"/>
      <c r="M51" s="106"/>
      <c r="N51" s="106"/>
      <c r="O51" s="106"/>
      <c r="P51" s="106"/>
      <c r="Q51" s="106"/>
      <c r="R51" s="106"/>
    </row>
    <row r="52" spans="1:23" s="2" customFormat="1" ht="57" customHeight="1" x14ac:dyDescent="0.2">
      <c r="A52" s="50" t="s">
        <v>147</v>
      </c>
      <c r="B52" s="50" t="s">
        <v>70</v>
      </c>
      <c r="C52" s="59" t="s">
        <v>24</v>
      </c>
      <c r="D52" s="107">
        <v>500</v>
      </c>
      <c r="E52" s="107"/>
      <c r="F52" s="107"/>
      <c r="G52" s="107"/>
      <c r="H52" s="107">
        <f>D52-(D52*20/100)</f>
        <v>400</v>
      </c>
      <c r="I52" s="107"/>
      <c r="J52" s="107"/>
      <c r="K52" s="107"/>
      <c r="L52" s="107">
        <f>D52-(D52*40/100)</f>
        <v>300</v>
      </c>
      <c r="M52" s="107"/>
      <c r="N52" s="107"/>
      <c r="O52" s="107"/>
      <c r="P52" s="50" t="s">
        <v>9</v>
      </c>
      <c r="Q52" s="50" t="s">
        <v>23</v>
      </c>
      <c r="R52" s="64" t="s">
        <v>510</v>
      </c>
    </row>
    <row r="53" spans="1:23" s="2" customFormat="1" ht="58.5" customHeight="1" x14ac:dyDescent="0.2">
      <c r="A53" s="37" t="s">
        <v>148</v>
      </c>
      <c r="B53" s="42" t="s">
        <v>439</v>
      </c>
      <c r="C53" s="37" t="s">
        <v>24</v>
      </c>
      <c r="D53" s="107">
        <v>2000</v>
      </c>
      <c r="E53" s="107"/>
      <c r="F53" s="107"/>
      <c r="G53" s="107"/>
      <c r="H53" s="107">
        <f>D53-(D53*20/100)</f>
        <v>1600</v>
      </c>
      <c r="I53" s="107"/>
      <c r="J53" s="107"/>
      <c r="K53" s="107"/>
      <c r="L53" s="107">
        <f>D53-(D53*40/100)</f>
        <v>1200</v>
      </c>
      <c r="M53" s="107"/>
      <c r="N53" s="107"/>
      <c r="O53" s="107"/>
      <c r="P53" s="50" t="s">
        <v>9</v>
      </c>
      <c r="Q53" s="50" t="s">
        <v>23</v>
      </c>
      <c r="R53" s="64" t="s">
        <v>510</v>
      </c>
    </row>
    <row r="54" spans="1:23" s="3" customFormat="1" ht="48.75" customHeight="1" x14ac:dyDescent="0.2">
      <c r="A54" s="50" t="s">
        <v>149</v>
      </c>
      <c r="B54" s="52" t="s">
        <v>428</v>
      </c>
      <c r="C54" s="37" t="s">
        <v>24</v>
      </c>
      <c r="D54" s="107">
        <v>1000</v>
      </c>
      <c r="E54" s="107">
        <f t="shared" ref="E54" si="59">D54-(D54*10/100)</f>
        <v>900</v>
      </c>
      <c r="F54" s="107">
        <f t="shared" ref="F54" si="60">D54-(D54*20/100)</f>
        <v>800</v>
      </c>
      <c r="G54" s="107">
        <f t="shared" ref="G54" si="61">D54-(D54*30/100)</f>
        <v>700</v>
      </c>
      <c r="H54" s="107">
        <f>D54-(D54*20/100)</f>
        <v>800</v>
      </c>
      <c r="I54" s="107"/>
      <c r="J54" s="107"/>
      <c r="K54" s="107"/>
      <c r="L54" s="107">
        <f>D54-(D54*40/100)</f>
        <v>600</v>
      </c>
      <c r="M54" s="107"/>
      <c r="N54" s="107"/>
      <c r="O54" s="107"/>
      <c r="P54" s="50" t="s">
        <v>9</v>
      </c>
      <c r="Q54" s="50" t="s">
        <v>23</v>
      </c>
      <c r="R54" s="64" t="s">
        <v>510</v>
      </c>
    </row>
    <row r="55" spans="1:23" s="3" customFormat="1" ht="45" customHeight="1" x14ac:dyDescent="0.2">
      <c r="A55" s="59" t="s">
        <v>150</v>
      </c>
      <c r="B55" s="59" t="s">
        <v>28</v>
      </c>
      <c r="C55" s="59" t="s">
        <v>24</v>
      </c>
      <c r="D55" s="107">
        <v>500</v>
      </c>
      <c r="E55" s="107"/>
      <c r="F55" s="107"/>
      <c r="G55" s="107"/>
      <c r="H55" s="107">
        <f>D55-(D55*20/100)</f>
        <v>400</v>
      </c>
      <c r="I55" s="107"/>
      <c r="J55" s="107"/>
      <c r="K55" s="107"/>
      <c r="L55" s="107">
        <f>D55-(D55*40/100)</f>
        <v>300</v>
      </c>
      <c r="M55" s="107"/>
      <c r="N55" s="107"/>
      <c r="O55" s="107"/>
      <c r="P55" s="50" t="s">
        <v>9</v>
      </c>
      <c r="Q55" s="54" t="s">
        <v>416</v>
      </c>
      <c r="R55" s="96" t="s">
        <v>510</v>
      </c>
      <c r="S55" s="22"/>
    </row>
    <row r="56" spans="1:23" s="3" customFormat="1" ht="26.25" customHeight="1" x14ac:dyDescent="0.2">
      <c r="A56" s="108" t="s">
        <v>151</v>
      </c>
      <c r="B56" s="108" t="s">
        <v>29</v>
      </c>
      <c r="C56" s="50" t="s">
        <v>14</v>
      </c>
      <c r="D56" s="50">
        <v>500</v>
      </c>
      <c r="E56" s="50">
        <f>MROUND(D56-(D56*10/100),50)</f>
        <v>450</v>
      </c>
      <c r="F56" s="50">
        <f>MROUND(D56-(D56*20/100),50)</f>
        <v>400</v>
      </c>
      <c r="G56" s="50">
        <f>MROUND(D56-(D56*30/100),50)</f>
        <v>350</v>
      </c>
      <c r="H56" s="50">
        <f>MROUND(D56-(D56*10/100),50)</f>
        <v>450</v>
      </c>
      <c r="I56" s="50">
        <f>MROUND(H56-(H56*10/100),50)</f>
        <v>400</v>
      </c>
      <c r="J56" s="50">
        <f>MROUND(H56-(H56*20/100),50)</f>
        <v>350</v>
      </c>
      <c r="K56" s="50">
        <f>MROUND(H56-(H56*30/100),50)</f>
        <v>300</v>
      </c>
      <c r="L56" s="50">
        <f>MROUND(D56-(D56*20/100),50)</f>
        <v>400</v>
      </c>
      <c r="M56" s="50">
        <f>MROUND(L56-(L56*10/100),50)</f>
        <v>350</v>
      </c>
      <c r="N56" s="50">
        <f>MROUND(L56-(L56*20/100),50)</f>
        <v>300</v>
      </c>
      <c r="O56" s="50">
        <f>MROUND(L56-(L56*30/100),50)</f>
        <v>300</v>
      </c>
      <c r="P56" s="108" t="s">
        <v>10</v>
      </c>
      <c r="Q56" s="112" t="s">
        <v>416</v>
      </c>
      <c r="R56" s="112" t="s">
        <v>510</v>
      </c>
      <c r="S56" s="22"/>
    </row>
    <row r="57" spans="1:23" s="16" customFormat="1" ht="18.75" customHeight="1" x14ac:dyDescent="0.2">
      <c r="A57" s="108"/>
      <c r="B57" s="108"/>
      <c r="C57" s="50" t="s">
        <v>16</v>
      </c>
      <c r="D57" s="50">
        <f>D56*50/100</f>
        <v>250</v>
      </c>
      <c r="E57" s="50">
        <f t="shared" ref="E57:O57" si="62">MROUND(E56*50/100,50)</f>
        <v>250</v>
      </c>
      <c r="F57" s="50">
        <f t="shared" si="62"/>
        <v>200</v>
      </c>
      <c r="G57" s="50">
        <f t="shared" si="62"/>
        <v>200</v>
      </c>
      <c r="H57" s="50">
        <f t="shared" si="62"/>
        <v>250</v>
      </c>
      <c r="I57" s="50">
        <f t="shared" si="62"/>
        <v>200</v>
      </c>
      <c r="J57" s="50">
        <f t="shared" si="62"/>
        <v>200</v>
      </c>
      <c r="K57" s="50">
        <f t="shared" si="62"/>
        <v>150</v>
      </c>
      <c r="L57" s="50">
        <f t="shared" si="62"/>
        <v>200</v>
      </c>
      <c r="M57" s="50">
        <f t="shared" si="62"/>
        <v>200</v>
      </c>
      <c r="N57" s="50">
        <f t="shared" si="62"/>
        <v>150</v>
      </c>
      <c r="O57" s="50">
        <f t="shared" si="62"/>
        <v>150</v>
      </c>
      <c r="P57" s="108"/>
      <c r="Q57" s="112"/>
      <c r="R57" s="112"/>
      <c r="S57" s="23"/>
      <c r="T57" s="23"/>
      <c r="U57" s="23"/>
      <c r="V57" s="23"/>
      <c r="W57" s="23"/>
    </row>
    <row r="58" spans="1:23" s="19" customFormat="1" ht="45" customHeight="1" x14ac:dyDescent="0.2">
      <c r="A58" s="51" t="s">
        <v>152</v>
      </c>
      <c r="B58" s="51" t="s">
        <v>27</v>
      </c>
      <c r="C58" s="59" t="s">
        <v>24</v>
      </c>
      <c r="D58" s="107">
        <v>3000</v>
      </c>
      <c r="E58" s="107"/>
      <c r="F58" s="107"/>
      <c r="G58" s="107"/>
      <c r="H58" s="107">
        <f>D58-(D58*20/100)</f>
        <v>2400</v>
      </c>
      <c r="I58" s="107"/>
      <c r="J58" s="107"/>
      <c r="K58" s="107"/>
      <c r="L58" s="107">
        <f>D58-(D58*40/100)</f>
        <v>1800</v>
      </c>
      <c r="M58" s="107"/>
      <c r="N58" s="107"/>
      <c r="O58" s="107"/>
      <c r="P58" s="50" t="s">
        <v>9</v>
      </c>
      <c r="Q58" s="52" t="s">
        <v>23</v>
      </c>
      <c r="R58" s="64" t="s">
        <v>510</v>
      </c>
    </row>
    <row r="59" spans="1:23" s="19" customFormat="1" ht="21.75" customHeight="1" x14ac:dyDescent="0.2">
      <c r="A59" s="108" t="s">
        <v>153</v>
      </c>
      <c r="B59" s="108" t="s">
        <v>109</v>
      </c>
      <c r="C59" s="50" t="s">
        <v>14</v>
      </c>
      <c r="D59" s="50">
        <v>500</v>
      </c>
      <c r="E59" s="50">
        <f>MROUND(D59-(D59*10/100),50)</f>
        <v>450</v>
      </c>
      <c r="F59" s="50">
        <f>MROUND(D59-(D59*20/100),50)</f>
        <v>400</v>
      </c>
      <c r="G59" s="50">
        <f>MROUND(D59-(D59*30/100),50)</f>
        <v>350</v>
      </c>
      <c r="H59" s="50">
        <f>MROUND(D59-(D59*10/100),50)</f>
        <v>450</v>
      </c>
      <c r="I59" s="50">
        <f>MROUND(H59-(H59*10/100),50)</f>
        <v>400</v>
      </c>
      <c r="J59" s="50">
        <f>MROUND(H59-(H59*20/100),50)</f>
        <v>350</v>
      </c>
      <c r="K59" s="50">
        <f>MROUND(H59-(H59*30/100),50)</f>
        <v>300</v>
      </c>
      <c r="L59" s="50">
        <f>MROUND(D59-(D59*20/100),50)</f>
        <v>400</v>
      </c>
      <c r="M59" s="50">
        <f>MROUND(L59-(L59*10/100),50)</f>
        <v>350</v>
      </c>
      <c r="N59" s="50">
        <f>MROUND(L59-(L59*20/100),50)</f>
        <v>300</v>
      </c>
      <c r="O59" s="50">
        <f>MROUND(L59-(L59*30/100),50)</f>
        <v>300</v>
      </c>
      <c r="P59" s="108" t="s">
        <v>10</v>
      </c>
      <c r="Q59" s="112" t="s">
        <v>419</v>
      </c>
      <c r="R59" s="112" t="s">
        <v>510</v>
      </c>
    </row>
    <row r="60" spans="1:23" s="16" customFormat="1" ht="21.75" customHeight="1" x14ac:dyDescent="0.2">
      <c r="A60" s="108"/>
      <c r="B60" s="108"/>
      <c r="C60" s="50" t="s">
        <v>16</v>
      </c>
      <c r="D60" s="50">
        <f t="shared" ref="D60" si="63">D59*50/100</f>
        <v>250</v>
      </c>
      <c r="E60" s="50">
        <f t="shared" ref="E60:O60" si="64">MROUND(E59*50/100,50)</f>
        <v>250</v>
      </c>
      <c r="F60" s="50">
        <f t="shared" si="64"/>
        <v>200</v>
      </c>
      <c r="G60" s="50">
        <f t="shared" si="64"/>
        <v>200</v>
      </c>
      <c r="H60" s="50">
        <f t="shared" si="64"/>
        <v>250</v>
      </c>
      <c r="I60" s="50">
        <f t="shared" si="64"/>
        <v>200</v>
      </c>
      <c r="J60" s="50">
        <f t="shared" si="64"/>
        <v>200</v>
      </c>
      <c r="K60" s="50">
        <f t="shared" si="64"/>
        <v>150</v>
      </c>
      <c r="L60" s="50">
        <f t="shared" si="64"/>
        <v>200</v>
      </c>
      <c r="M60" s="50">
        <f t="shared" si="64"/>
        <v>200</v>
      </c>
      <c r="N60" s="50">
        <f t="shared" si="64"/>
        <v>150</v>
      </c>
      <c r="O60" s="50">
        <f t="shared" si="64"/>
        <v>150</v>
      </c>
      <c r="P60" s="108"/>
      <c r="Q60" s="112"/>
      <c r="R60" s="112"/>
    </row>
    <row r="61" spans="1:23" s="21" customFormat="1" ht="21.75" x14ac:dyDescent="0.2">
      <c r="A61" s="107" t="s">
        <v>154</v>
      </c>
      <c r="B61" s="107" t="s">
        <v>118</v>
      </c>
      <c r="C61" s="50" t="s">
        <v>14</v>
      </c>
      <c r="D61" s="50">
        <v>1000</v>
      </c>
      <c r="E61" s="50">
        <f>MROUND(D61-(D61*10/100),50)</f>
        <v>900</v>
      </c>
      <c r="F61" s="50">
        <f>MROUND(D61-(D61*20/100),50)</f>
        <v>800</v>
      </c>
      <c r="G61" s="50">
        <f>MROUND(D61-(D61*30/100),50)</f>
        <v>700</v>
      </c>
      <c r="H61" s="50">
        <f>MROUND(D61-(D61*10/100),50)</f>
        <v>900</v>
      </c>
      <c r="I61" s="50">
        <f>MROUND(H61-(H61*10/100),50)</f>
        <v>800</v>
      </c>
      <c r="J61" s="50">
        <f>MROUND(H61-(H61*20/100),50)</f>
        <v>700</v>
      </c>
      <c r="K61" s="50">
        <f>MROUND(H61-(H61*30/100),50)</f>
        <v>650</v>
      </c>
      <c r="L61" s="50">
        <f>MROUND(D61-(D61*20/100),50)</f>
        <v>800</v>
      </c>
      <c r="M61" s="50">
        <f>MROUND(L61-(L61*10/100),50)</f>
        <v>700</v>
      </c>
      <c r="N61" s="50">
        <f>MROUND(L61-(L61*20/100),50)</f>
        <v>650</v>
      </c>
      <c r="O61" s="50">
        <f>MROUND(L61-(L61*30/100),50)</f>
        <v>550</v>
      </c>
      <c r="P61" s="108" t="s">
        <v>10</v>
      </c>
      <c r="Q61" s="112" t="s">
        <v>419</v>
      </c>
      <c r="R61" s="112" t="s">
        <v>510</v>
      </c>
      <c r="S61" s="22"/>
    </row>
    <row r="62" spans="1:23" s="6" customFormat="1" ht="21.75" customHeight="1" x14ac:dyDescent="0.2">
      <c r="A62" s="107"/>
      <c r="B62" s="107"/>
      <c r="C62" s="51" t="s">
        <v>16</v>
      </c>
      <c r="D62" s="51">
        <f t="shared" ref="D62" si="65">D61*50/100</f>
        <v>500</v>
      </c>
      <c r="E62" s="51">
        <f t="shared" ref="E62:O62" si="66">MROUND(E61*50/100,50)</f>
        <v>450</v>
      </c>
      <c r="F62" s="51">
        <f t="shared" si="66"/>
        <v>400</v>
      </c>
      <c r="G62" s="51">
        <f t="shared" si="66"/>
        <v>350</v>
      </c>
      <c r="H62" s="51">
        <f t="shared" si="66"/>
        <v>450</v>
      </c>
      <c r="I62" s="51">
        <f t="shared" si="66"/>
        <v>400</v>
      </c>
      <c r="J62" s="51">
        <f t="shared" si="66"/>
        <v>350</v>
      </c>
      <c r="K62" s="51">
        <f t="shared" si="66"/>
        <v>350</v>
      </c>
      <c r="L62" s="51">
        <f t="shared" si="66"/>
        <v>400</v>
      </c>
      <c r="M62" s="51">
        <f t="shared" si="66"/>
        <v>350</v>
      </c>
      <c r="N62" s="51">
        <f t="shared" si="66"/>
        <v>350</v>
      </c>
      <c r="O62" s="51">
        <f t="shared" si="66"/>
        <v>300</v>
      </c>
      <c r="P62" s="108"/>
      <c r="Q62" s="112"/>
      <c r="R62" s="112"/>
    </row>
    <row r="63" spans="1:23" s="6" customFormat="1" ht="21.75" x14ac:dyDescent="0.2">
      <c r="A63" s="107" t="s">
        <v>155</v>
      </c>
      <c r="B63" s="107" t="s">
        <v>127</v>
      </c>
      <c r="C63" s="51" t="s">
        <v>14</v>
      </c>
      <c r="D63" s="51">
        <v>500</v>
      </c>
      <c r="E63" s="51">
        <f>MROUND(D63-(D63*10/100),50)</f>
        <v>450</v>
      </c>
      <c r="F63" s="51">
        <f>MROUND(D63-(D63*20/100),50)</f>
        <v>400</v>
      </c>
      <c r="G63" s="51">
        <f>MROUND(D63-(D63*30/100),50)</f>
        <v>350</v>
      </c>
      <c r="H63" s="51">
        <f>MROUND(D63-(D63*10/100),50)</f>
        <v>450</v>
      </c>
      <c r="I63" s="51">
        <f>MROUND(H63-(H63*10/100),50)</f>
        <v>400</v>
      </c>
      <c r="J63" s="51">
        <f>MROUND(H63-(H63*20/100),50)</f>
        <v>350</v>
      </c>
      <c r="K63" s="51">
        <f>MROUND(H63-(H63*30/100),50)</f>
        <v>300</v>
      </c>
      <c r="L63" s="51">
        <f>MROUND(D63-(D63*20/100),50)</f>
        <v>400</v>
      </c>
      <c r="M63" s="51">
        <f>MROUND(L63-(L63*10/100),50)</f>
        <v>350</v>
      </c>
      <c r="N63" s="51">
        <f>MROUND(L63-(L63*20/100),50)</f>
        <v>300</v>
      </c>
      <c r="O63" s="51">
        <f>MROUND(L63-(L63*30/100),50)</f>
        <v>300</v>
      </c>
      <c r="P63" s="107" t="s">
        <v>10</v>
      </c>
      <c r="Q63" s="112" t="s">
        <v>419</v>
      </c>
      <c r="R63" s="112" t="s">
        <v>505</v>
      </c>
    </row>
    <row r="64" spans="1:23" ht="23.25" customHeight="1" x14ac:dyDescent="0.2">
      <c r="A64" s="107"/>
      <c r="B64" s="107"/>
      <c r="C64" s="51" t="s">
        <v>16</v>
      </c>
      <c r="D64" s="51">
        <f>D63*50/100</f>
        <v>250</v>
      </c>
      <c r="E64" s="51">
        <f t="shared" ref="E64:O64" si="67">MROUND(E63*50/100,50)</f>
        <v>250</v>
      </c>
      <c r="F64" s="51">
        <f t="shared" si="67"/>
        <v>200</v>
      </c>
      <c r="G64" s="51">
        <f t="shared" si="67"/>
        <v>200</v>
      </c>
      <c r="H64" s="51">
        <f t="shared" si="67"/>
        <v>250</v>
      </c>
      <c r="I64" s="51">
        <f t="shared" si="67"/>
        <v>200</v>
      </c>
      <c r="J64" s="51">
        <f t="shared" si="67"/>
        <v>200</v>
      </c>
      <c r="K64" s="51">
        <f t="shared" si="67"/>
        <v>150</v>
      </c>
      <c r="L64" s="51">
        <f t="shared" si="67"/>
        <v>200</v>
      </c>
      <c r="M64" s="51">
        <f t="shared" si="67"/>
        <v>200</v>
      </c>
      <c r="N64" s="51">
        <f t="shared" si="67"/>
        <v>150</v>
      </c>
      <c r="O64" s="51">
        <f t="shared" si="67"/>
        <v>150</v>
      </c>
      <c r="P64" s="107"/>
      <c r="Q64" s="112"/>
      <c r="R64" s="112"/>
    </row>
    <row r="65" spans="1:18" s="2" customFormat="1" ht="18.75" customHeight="1" x14ac:dyDescent="0.2">
      <c r="A65" s="105" t="s">
        <v>37</v>
      </c>
      <c r="B65" s="105"/>
      <c r="C65" s="105"/>
      <c r="D65" s="105"/>
      <c r="E65" s="105"/>
      <c r="F65" s="105"/>
      <c r="G65" s="105"/>
      <c r="H65" s="105"/>
      <c r="I65" s="105"/>
      <c r="J65" s="105"/>
      <c r="K65" s="105"/>
      <c r="L65" s="105"/>
      <c r="M65" s="105"/>
      <c r="N65" s="105"/>
      <c r="O65" s="105"/>
      <c r="P65" s="105"/>
      <c r="Q65" s="105"/>
      <c r="R65" s="105"/>
    </row>
    <row r="66" spans="1:18" s="19" customFormat="1" ht="65.25" x14ac:dyDescent="0.2">
      <c r="A66" s="39" t="s">
        <v>142</v>
      </c>
      <c r="B66" s="49" t="s">
        <v>438</v>
      </c>
      <c r="C66" s="42" t="s">
        <v>24</v>
      </c>
      <c r="D66" s="113">
        <v>10000</v>
      </c>
      <c r="E66" s="113">
        <f t="shared" ref="E66" si="68">D66-(D66*10/100)</f>
        <v>9000</v>
      </c>
      <c r="F66" s="113">
        <f t="shared" ref="F66" si="69">D66-(D66*20/100)</f>
        <v>8000</v>
      </c>
      <c r="G66" s="113">
        <f t="shared" ref="G66" si="70">D66-(D66*30/100)</f>
        <v>7000</v>
      </c>
      <c r="H66" s="113">
        <f t="shared" ref="H66:H71" si="71">D66-(D66*20/100)</f>
        <v>8000</v>
      </c>
      <c r="I66" s="113"/>
      <c r="J66" s="113"/>
      <c r="K66" s="113"/>
      <c r="L66" s="113">
        <f t="shared" ref="L66:L71" si="72">D66-(D66*40/100)</f>
        <v>6000</v>
      </c>
      <c r="M66" s="113"/>
      <c r="N66" s="113"/>
      <c r="O66" s="113"/>
      <c r="P66" s="52" t="s">
        <v>9</v>
      </c>
      <c r="Q66" s="54" t="s">
        <v>23</v>
      </c>
      <c r="R66" s="95" t="s">
        <v>522</v>
      </c>
    </row>
    <row r="67" spans="1:18" s="2" customFormat="1" ht="65.25" x14ac:dyDescent="0.2">
      <c r="A67" s="40" t="s">
        <v>143</v>
      </c>
      <c r="B67" s="49" t="s">
        <v>120</v>
      </c>
      <c r="C67" s="54" t="s">
        <v>24</v>
      </c>
      <c r="D67" s="113">
        <v>10000</v>
      </c>
      <c r="E67" s="113">
        <f t="shared" ref="E67" si="73">D67-(D67*10/100)</f>
        <v>9000</v>
      </c>
      <c r="F67" s="113">
        <f t="shared" ref="F67" si="74">D67-(D67*20/100)</f>
        <v>8000</v>
      </c>
      <c r="G67" s="113">
        <f t="shared" ref="G67" si="75">D67-(D67*30/100)</f>
        <v>7000</v>
      </c>
      <c r="H67" s="113">
        <f t="shared" ref="H67" si="76">D67-(D67*20/100)</f>
        <v>8000</v>
      </c>
      <c r="I67" s="113"/>
      <c r="J67" s="113"/>
      <c r="K67" s="113"/>
      <c r="L67" s="113">
        <f t="shared" ref="L67" si="77">D67-(D67*40/100)</f>
        <v>6000</v>
      </c>
      <c r="M67" s="113"/>
      <c r="N67" s="113"/>
      <c r="O67" s="113"/>
      <c r="P67" s="52" t="s">
        <v>9</v>
      </c>
      <c r="Q67" s="54" t="s">
        <v>23</v>
      </c>
      <c r="R67" s="95" t="s">
        <v>522</v>
      </c>
    </row>
    <row r="68" spans="1:18" s="2" customFormat="1" ht="65.25" x14ac:dyDescent="0.2">
      <c r="A68" s="40" t="s">
        <v>464</v>
      </c>
      <c r="B68" s="66" t="s">
        <v>501</v>
      </c>
      <c r="C68" s="69" t="s">
        <v>24</v>
      </c>
      <c r="D68" s="113">
        <v>5000</v>
      </c>
      <c r="E68" s="113"/>
      <c r="F68" s="113"/>
      <c r="G68" s="113"/>
      <c r="H68" s="113">
        <v>4000</v>
      </c>
      <c r="I68" s="113"/>
      <c r="J68" s="113"/>
      <c r="K68" s="113"/>
      <c r="L68" s="113">
        <v>3000</v>
      </c>
      <c r="M68" s="113"/>
      <c r="N68" s="113"/>
      <c r="O68" s="113"/>
      <c r="P68" s="67" t="s">
        <v>9</v>
      </c>
      <c r="Q68" s="69" t="s">
        <v>513</v>
      </c>
      <c r="R68" s="95" t="s">
        <v>522</v>
      </c>
    </row>
    <row r="69" spans="1:18" s="2" customFormat="1" ht="50.25" customHeight="1" x14ac:dyDescent="0.2">
      <c r="A69" s="41" t="s">
        <v>144</v>
      </c>
      <c r="B69" s="49" t="s">
        <v>33</v>
      </c>
      <c r="C69" s="42" t="s">
        <v>24</v>
      </c>
      <c r="D69" s="113">
        <v>5000</v>
      </c>
      <c r="E69" s="113"/>
      <c r="F69" s="113"/>
      <c r="G69" s="113"/>
      <c r="H69" s="113">
        <f t="shared" ref="H69" si="78">D69-(D69*20/100)</f>
        <v>4000</v>
      </c>
      <c r="I69" s="113"/>
      <c r="J69" s="113"/>
      <c r="K69" s="113"/>
      <c r="L69" s="113">
        <f t="shared" ref="L69" si="79">D69-(D69*40/100)</f>
        <v>3000</v>
      </c>
      <c r="M69" s="113"/>
      <c r="N69" s="113"/>
      <c r="O69" s="113"/>
      <c r="P69" s="52" t="s">
        <v>9</v>
      </c>
      <c r="Q69" s="54" t="s">
        <v>23</v>
      </c>
      <c r="R69" s="98" t="s">
        <v>506</v>
      </c>
    </row>
    <row r="70" spans="1:18" s="2" customFormat="1" ht="57" customHeight="1" x14ac:dyDescent="0.2">
      <c r="A70" s="41" t="s">
        <v>145</v>
      </c>
      <c r="B70" s="49" t="s">
        <v>431</v>
      </c>
      <c r="C70" s="42" t="s">
        <v>24</v>
      </c>
      <c r="D70" s="113">
        <v>5000</v>
      </c>
      <c r="E70" s="113"/>
      <c r="F70" s="113"/>
      <c r="G70" s="113"/>
      <c r="H70" s="113">
        <f t="shared" si="71"/>
        <v>4000</v>
      </c>
      <c r="I70" s="113"/>
      <c r="J70" s="113"/>
      <c r="K70" s="113"/>
      <c r="L70" s="113">
        <f t="shared" si="72"/>
        <v>3000</v>
      </c>
      <c r="M70" s="113"/>
      <c r="N70" s="113"/>
      <c r="O70" s="113"/>
      <c r="P70" s="52" t="s">
        <v>9</v>
      </c>
      <c r="Q70" s="54" t="s">
        <v>23</v>
      </c>
      <c r="R70" s="98" t="s">
        <v>506</v>
      </c>
    </row>
    <row r="71" spans="1:18" s="2" customFormat="1" ht="43.5" x14ac:dyDescent="0.2">
      <c r="A71" s="39" t="s">
        <v>146</v>
      </c>
      <c r="B71" s="49" t="s">
        <v>31</v>
      </c>
      <c r="C71" s="42" t="s">
        <v>24</v>
      </c>
      <c r="D71" s="113">
        <v>5000</v>
      </c>
      <c r="E71" s="113"/>
      <c r="F71" s="113"/>
      <c r="G71" s="113"/>
      <c r="H71" s="113">
        <f t="shared" si="71"/>
        <v>4000</v>
      </c>
      <c r="I71" s="113"/>
      <c r="J71" s="113"/>
      <c r="K71" s="113"/>
      <c r="L71" s="113">
        <f t="shared" si="72"/>
        <v>3000</v>
      </c>
      <c r="M71" s="113"/>
      <c r="N71" s="113"/>
      <c r="O71" s="113"/>
      <c r="P71" s="52" t="s">
        <v>9</v>
      </c>
      <c r="Q71" s="54" t="s">
        <v>23</v>
      </c>
      <c r="R71" s="95" t="s">
        <v>523</v>
      </c>
    </row>
    <row r="72" spans="1:18" ht="43.5" x14ac:dyDescent="0.2">
      <c r="A72" s="47" t="s">
        <v>476</v>
      </c>
      <c r="B72" s="42" t="s">
        <v>440</v>
      </c>
      <c r="C72" s="42" t="s">
        <v>24</v>
      </c>
      <c r="D72" s="113">
        <v>10000</v>
      </c>
      <c r="E72" s="113"/>
      <c r="F72" s="113"/>
      <c r="G72" s="113"/>
      <c r="H72" s="113">
        <f>D72-(D72*20/100)</f>
        <v>8000</v>
      </c>
      <c r="I72" s="113"/>
      <c r="J72" s="113"/>
      <c r="K72" s="113"/>
      <c r="L72" s="113">
        <f>D72-(D72*40/100)</f>
        <v>6000</v>
      </c>
      <c r="M72" s="113"/>
      <c r="N72" s="113"/>
      <c r="O72" s="113"/>
      <c r="P72" s="52" t="s">
        <v>9</v>
      </c>
      <c r="Q72" s="54" t="s">
        <v>23</v>
      </c>
      <c r="R72" s="95" t="s">
        <v>518</v>
      </c>
    </row>
    <row r="73" spans="1:18" s="4" customFormat="1" ht="87" x14ac:dyDescent="0.2">
      <c r="A73" s="47" t="s">
        <v>477</v>
      </c>
      <c r="B73" s="49" t="s">
        <v>475</v>
      </c>
      <c r="C73" s="49" t="s">
        <v>24</v>
      </c>
      <c r="D73" s="113">
        <v>1000</v>
      </c>
      <c r="E73" s="113"/>
      <c r="F73" s="113"/>
      <c r="G73" s="113"/>
      <c r="H73" s="113">
        <f>D73-(D73*20/100)</f>
        <v>800</v>
      </c>
      <c r="I73" s="113"/>
      <c r="J73" s="113"/>
      <c r="K73" s="113"/>
      <c r="L73" s="113">
        <f>D73-(D73*40/100)</f>
        <v>600</v>
      </c>
      <c r="M73" s="113"/>
      <c r="N73" s="113"/>
      <c r="O73" s="113"/>
      <c r="P73" s="49" t="s">
        <v>9</v>
      </c>
      <c r="Q73" s="49" t="s">
        <v>481</v>
      </c>
      <c r="R73" s="98" t="s">
        <v>506</v>
      </c>
    </row>
    <row r="77" spans="1:18" ht="18" customHeight="1" x14ac:dyDescent="0.2"/>
    <row r="78" spans="1:18" ht="18" customHeight="1" x14ac:dyDescent="0.2"/>
    <row r="79" spans="1:18" ht="18.75" customHeight="1" x14ac:dyDescent="0.2"/>
    <row r="80" spans="1:18" ht="18" customHeight="1" x14ac:dyDescent="0.2">
      <c r="B80"/>
      <c r="C80"/>
      <c r="Q80"/>
      <c r="R80"/>
    </row>
    <row r="81" spans="2:18" ht="18" customHeight="1" x14ac:dyDescent="0.2">
      <c r="B81"/>
      <c r="C81"/>
      <c r="Q81"/>
      <c r="R81"/>
    </row>
    <row r="82" spans="2:18" ht="18.75" customHeight="1" x14ac:dyDescent="0.2">
      <c r="B82"/>
      <c r="C82"/>
      <c r="Q82"/>
      <c r="R82"/>
    </row>
    <row r="83" spans="2:18" ht="18" customHeight="1" x14ac:dyDescent="0.2">
      <c r="B83"/>
      <c r="C83"/>
      <c r="Q83"/>
      <c r="R83"/>
    </row>
    <row r="84" spans="2:18" ht="18" customHeight="1" x14ac:dyDescent="0.2">
      <c r="B84"/>
      <c r="C84"/>
      <c r="Q84"/>
      <c r="R84"/>
    </row>
    <row r="85" spans="2:18" ht="18.75" customHeight="1" x14ac:dyDescent="0.2">
      <c r="B85"/>
      <c r="C85"/>
      <c r="Q85"/>
      <c r="R85"/>
    </row>
    <row r="86" spans="2:18" ht="18" customHeight="1" x14ac:dyDescent="0.2">
      <c r="B86"/>
      <c r="C86"/>
      <c r="Q86"/>
      <c r="R86"/>
    </row>
    <row r="87" spans="2:18" ht="18" customHeight="1" x14ac:dyDescent="0.2">
      <c r="B87"/>
      <c r="C87"/>
      <c r="Q87"/>
      <c r="R87"/>
    </row>
    <row r="88" spans="2:18" ht="18.75" customHeight="1" x14ac:dyDescent="0.2">
      <c r="B88"/>
      <c r="C88"/>
      <c r="Q88"/>
      <c r="R88"/>
    </row>
    <row r="89" spans="2:18" ht="18" customHeight="1" x14ac:dyDescent="0.2">
      <c r="B89"/>
      <c r="C89"/>
      <c r="Q89"/>
      <c r="R89"/>
    </row>
    <row r="90" spans="2:18" ht="18" customHeight="1" x14ac:dyDescent="0.2">
      <c r="B90"/>
      <c r="C90"/>
      <c r="Q90"/>
      <c r="R90"/>
    </row>
    <row r="91" spans="2:18" ht="18.75" customHeight="1" x14ac:dyDescent="0.2">
      <c r="B91"/>
      <c r="C91"/>
      <c r="Q91"/>
      <c r="R91"/>
    </row>
    <row r="92" spans="2:18" x14ac:dyDescent="0.2">
      <c r="B92"/>
      <c r="C92"/>
      <c r="Q92"/>
      <c r="R92"/>
    </row>
    <row r="112" ht="18" customHeight="1" x14ac:dyDescent="0.2"/>
    <row r="113" spans="2:18" ht="18" customHeight="1" x14ac:dyDescent="0.2">
      <c r="B113"/>
      <c r="C113"/>
      <c r="Q113"/>
      <c r="R113"/>
    </row>
    <row r="114" spans="2:18" ht="18.75" customHeight="1" x14ac:dyDescent="0.2">
      <c r="B114"/>
      <c r="C114"/>
      <c r="Q114"/>
      <c r="R114"/>
    </row>
    <row r="115" spans="2:18" ht="18" customHeight="1" x14ac:dyDescent="0.2">
      <c r="B115"/>
      <c r="C115"/>
      <c r="Q115"/>
      <c r="R115"/>
    </row>
    <row r="116" spans="2:18" ht="18" customHeight="1" x14ac:dyDescent="0.2">
      <c r="B116"/>
      <c r="C116"/>
      <c r="Q116"/>
      <c r="R116"/>
    </row>
    <row r="117" spans="2:18" ht="18.75" customHeight="1" x14ac:dyDescent="0.2">
      <c r="B117"/>
      <c r="C117"/>
      <c r="Q117"/>
      <c r="R117"/>
    </row>
    <row r="118" spans="2:18" x14ac:dyDescent="0.2">
      <c r="B118"/>
      <c r="C118"/>
      <c r="Q118"/>
      <c r="R118"/>
    </row>
    <row r="122" spans="2:18" ht="18" customHeight="1" x14ac:dyDescent="0.2"/>
    <row r="123" spans="2:18" ht="18" customHeight="1" x14ac:dyDescent="0.2">
      <c r="B123"/>
      <c r="C123"/>
      <c r="Q123"/>
      <c r="R123"/>
    </row>
    <row r="124" spans="2:18" ht="18.75" customHeight="1" x14ac:dyDescent="0.2">
      <c r="B124"/>
      <c r="C124"/>
      <c r="Q124"/>
      <c r="R124"/>
    </row>
    <row r="125" spans="2:18" ht="18" customHeight="1" x14ac:dyDescent="0.2">
      <c r="B125"/>
      <c r="C125"/>
      <c r="Q125"/>
      <c r="R125"/>
    </row>
    <row r="126" spans="2:18" ht="18" customHeight="1" x14ac:dyDescent="0.2">
      <c r="B126"/>
      <c r="C126"/>
      <c r="Q126"/>
      <c r="R126"/>
    </row>
    <row r="127" spans="2:18" ht="18.75" customHeight="1" x14ac:dyDescent="0.2">
      <c r="B127"/>
      <c r="C127"/>
      <c r="Q127"/>
      <c r="R127"/>
    </row>
    <row r="128" spans="2:18" x14ac:dyDescent="0.2">
      <c r="B128"/>
      <c r="C128"/>
      <c r="Q128"/>
      <c r="R128"/>
    </row>
    <row r="129" spans="2:18" ht="18" customHeight="1" x14ac:dyDescent="0.2"/>
    <row r="130" spans="2:18" ht="18" customHeight="1" x14ac:dyDescent="0.2">
      <c r="B130"/>
      <c r="C130"/>
      <c r="Q130"/>
      <c r="R130"/>
    </row>
    <row r="131" spans="2:18" ht="18.75" customHeight="1" x14ac:dyDescent="0.2">
      <c r="B131"/>
      <c r="C131"/>
      <c r="Q131"/>
      <c r="R131"/>
    </row>
    <row r="132" spans="2:18" x14ac:dyDescent="0.2">
      <c r="B132"/>
      <c r="C132"/>
      <c r="Q132"/>
      <c r="R132"/>
    </row>
    <row r="133" spans="2:18" ht="18" customHeight="1" x14ac:dyDescent="0.2"/>
    <row r="134" spans="2:18" ht="18" customHeight="1" x14ac:dyDescent="0.2">
      <c r="B134"/>
      <c r="C134"/>
      <c r="Q134"/>
      <c r="R134"/>
    </row>
    <row r="135" spans="2:18" ht="18.75" customHeight="1" x14ac:dyDescent="0.2">
      <c r="B135"/>
      <c r="C135"/>
      <c r="Q135"/>
      <c r="R135"/>
    </row>
    <row r="136" spans="2:18" ht="18" customHeight="1" x14ac:dyDescent="0.2">
      <c r="B136"/>
      <c r="C136"/>
      <c r="Q136"/>
      <c r="R136"/>
    </row>
    <row r="137" spans="2:18" ht="18" customHeight="1" x14ac:dyDescent="0.2">
      <c r="B137"/>
      <c r="C137"/>
      <c r="Q137"/>
      <c r="R137"/>
    </row>
    <row r="138" spans="2:18" ht="18.75" customHeight="1" x14ac:dyDescent="0.2">
      <c r="B138"/>
      <c r="C138"/>
      <c r="Q138"/>
      <c r="R138"/>
    </row>
    <row r="139" spans="2:18" ht="18" customHeight="1" x14ac:dyDescent="0.2">
      <c r="B139"/>
      <c r="C139"/>
      <c r="Q139"/>
      <c r="R139"/>
    </row>
    <row r="140" spans="2:18" ht="18" customHeight="1" x14ac:dyDescent="0.2">
      <c r="B140"/>
      <c r="C140"/>
      <c r="Q140"/>
      <c r="R140"/>
    </row>
    <row r="141" spans="2:18" ht="18.75" customHeight="1" x14ac:dyDescent="0.2">
      <c r="B141"/>
      <c r="C141"/>
      <c r="Q141"/>
      <c r="R141"/>
    </row>
    <row r="142" spans="2:18" x14ac:dyDescent="0.2">
      <c r="B142"/>
      <c r="C142"/>
      <c r="Q142"/>
      <c r="R142"/>
    </row>
    <row r="143" spans="2:18" ht="18" customHeight="1" x14ac:dyDescent="0.2"/>
    <row r="144" spans="2:18" ht="18" customHeight="1" x14ac:dyDescent="0.2">
      <c r="B144"/>
      <c r="C144"/>
      <c r="Q144"/>
      <c r="R144"/>
    </row>
    <row r="145" spans="2:18" ht="18.75" customHeight="1" x14ac:dyDescent="0.2">
      <c r="B145"/>
      <c r="C145"/>
      <c r="Q145"/>
      <c r="R145"/>
    </row>
    <row r="146" spans="2:18" ht="18" customHeight="1" x14ac:dyDescent="0.2">
      <c r="B146"/>
      <c r="C146"/>
      <c r="Q146"/>
      <c r="R146"/>
    </row>
    <row r="147" spans="2:18" ht="18" customHeight="1" x14ac:dyDescent="0.2">
      <c r="B147"/>
      <c r="C147"/>
      <c r="Q147"/>
      <c r="R147"/>
    </row>
    <row r="148" spans="2:18" ht="18.75" customHeight="1" x14ac:dyDescent="0.2">
      <c r="B148"/>
      <c r="C148"/>
      <c r="Q148"/>
      <c r="R148"/>
    </row>
    <row r="149" spans="2:18" ht="18" customHeight="1" x14ac:dyDescent="0.2">
      <c r="B149"/>
      <c r="C149"/>
      <c r="Q149"/>
      <c r="R149"/>
    </row>
    <row r="150" spans="2:18" ht="18" customHeight="1" x14ac:dyDescent="0.2">
      <c r="B150"/>
      <c r="C150"/>
      <c r="Q150"/>
      <c r="R150"/>
    </row>
    <row r="151" spans="2:18" ht="18.75" customHeight="1" x14ac:dyDescent="0.2">
      <c r="B151"/>
      <c r="C151"/>
      <c r="Q151"/>
      <c r="R151"/>
    </row>
    <row r="152" spans="2:18" x14ac:dyDescent="0.2">
      <c r="B152"/>
      <c r="C152"/>
      <c r="Q152"/>
      <c r="R152"/>
    </row>
    <row r="154" spans="2:18" ht="18" customHeight="1" x14ac:dyDescent="0.2"/>
    <row r="155" spans="2:18" ht="18" customHeight="1" x14ac:dyDescent="0.2">
      <c r="B155"/>
      <c r="C155"/>
      <c r="Q155"/>
      <c r="R155"/>
    </row>
    <row r="156" spans="2:18" ht="18.75" customHeight="1" x14ac:dyDescent="0.2">
      <c r="B156"/>
      <c r="C156"/>
      <c r="Q156"/>
      <c r="R156"/>
    </row>
    <row r="157" spans="2:18" ht="18" customHeight="1" x14ac:dyDescent="0.2">
      <c r="B157"/>
      <c r="C157"/>
      <c r="Q157"/>
      <c r="R157"/>
    </row>
    <row r="158" spans="2:18" ht="18" customHeight="1" x14ac:dyDescent="0.2">
      <c r="B158"/>
      <c r="C158"/>
      <c r="Q158"/>
      <c r="R158"/>
    </row>
    <row r="159" spans="2:18" ht="18.75" customHeight="1" x14ac:dyDescent="0.2">
      <c r="B159"/>
      <c r="C159"/>
      <c r="Q159"/>
      <c r="R159"/>
    </row>
    <row r="160" spans="2:18" x14ac:dyDescent="0.2">
      <c r="B160"/>
      <c r="C160"/>
      <c r="Q160"/>
      <c r="R160"/>
    </row>
    <row r="162" spans="2:18" ht="18" customHeight="1" x14ac:dyDescent="0.2"/>
    <row r="163" spans="2:18" ht="18" customHeight="1" x14ac:dyDescent="0.2">
      <c r="B163"/>
      <c r="C163"/>
      <c r="Q163"/>
      <c r="R163"/>
    </row>
    <row r="164" spans="2:18" ht="18.75" customHeight="1" x14ac:dyDescent="0.2">
      <c r="B164"/>
      <c r="C164"/>
      <c r="Q164"/>
      <c r="R164"/>
    </row>
    <row r="165" spans="2:18" ht="18" customHeight="1" x14ac:dyDescent="0.2">
      <c r="B165"/>
      <c r="C165"/>
      <c r="Q165"/>
      <c r="R165"/>
    </row>
    <row r="166" spans="2:18" ht="18" customHeight="1" x14ac:dyDescent="0.2">
      <c r="B166"/>
      <c r="C166"/>
      <c r="Q166"/>
      <c r="R166"/>
    </row>
    <row r="167" spans="2:18" ht="18.75" customHeight="1" x14ac:dyDescent="0.2">
      <c r="B167"/>
      <c r="C167"/>
      <c r="Q167"/>
      <c r="R167"/>
    </row>
    <row r="168" spans="2:18" ht="18" customHeight="1" x14ac:dyDescent="0.2">
      <c r="B168"/>
      <c r="C168"/>
      <c r="Q168"/>
      <c r="R168"/>
    </row>
    <row r="169" spans="2:18" ht="18" customHeight="1" x14ac:dyDescent="0.2">
      <c r="B169"/>
      <c r="C169"/>
      <c r="Q169"/>
      <c r="R169"/>
    </row>
    <row r="170" spans="2:18" ht="18.75" customHeight="1" x14ac:dyDescent="0.2">
      <c r="B170"/>
      <c r="C170"/>
      <c r="Q170"/>
      <c r="R170"/>
    </row>
    <row r="171" spans="2:18" ht="18" customHeight="1" x14ac:dyDescent="0.2">
      <c r="B171"/>
      <c r="C171"/>
      <c r="Q171"/>
      <c r="R171"/>
    </row>
    <row r="172" spans="2:18" ht="18" customHeight="1" x14ac:dyDescent="0.2">
      <c r="B172"/>
      <c r="C172"/>
      <c r="Q172"/>
      <c r="R172"/>
    </row>
    <row r="173" spans="2:18" ht="18.75" customHeight="1" x14ac:dyDescent="0.2">
      <c r="B173"/>
      <c r="C173"/>
      <c r="Q173"/>
      <c r="R173"/>
    </row>
    <row r="174" spans="2:18" ht="18" customHeight="1" x14ac:dyDescent="0.2">
      <c r="B174"/>
      <c r="C174"/>
      <c r="Q174"/>
      <c r="R174"/>
    </row>
    <row r="175" spans="2:18" ht="18" customHeight="1" x14ac:dyDescent="0.2">
      <c r="B175"/>
      <c r="C175"/>
      <c r="Q175"/>
      <c r="R175"/>
    </row>
    <row r="176" spans="2:18" ht="18.75" customHeight="1" x14ac:dyDescent="0.2">
      <c r="B176"/>
      <c r="C176"/>
      <c r="Q176"/>
      <c r="R176"/>
    </row>
    <row r="177" spans="2:18" ht="18" customHeight="1" x14ac:dyDescent="0.2">
      <c r="B177"/>
      <c r="C177"/>
      <c r="Q177"/>
      <c r="R177"/>
    </row>
    <row r="178" spans="2:18" ht="18" customHeight="1" x14ac:dyDescent="0.2">
      <c r="B178"/>
      <c r="C178"/>
      <c r="Q178"/>
      <c r="R178"/>
    </row>
    <row r="179" spans="2:18" ht="18.75" customHeight="1" x14ac:dyDescent="0.2">
      <c r="B179"/>
      <c r="C179"/>
      <c r="Q179"/>
      <c r="R179"/>
    </row>
    <row r="180" spans="2:18" x14ac:dyDescent="0.2">
      <c r="B180"/>
      <c r="C180"/>
      <c r="Q180"/>
      <c r="R180"/>
    </row>
    <row r="186" spans="2:18" ht="18" customHeight="1" x14ac:dyDescent="0.2"/>
    <row r="187" spans="2:18" ht="18" customHeight="1" x14ac:dyDescent="0.2">
      <c r="B187"/>
      <c r="C187"/>
      <c r="Q187"/>
      <c r="R187"/>
    </row>
    <row r="188" spans="2:18" ht="18.75" customHeight="1" x14ac:dyDescent="0.2">
      <c r="B188"/>
      <c r="C188"/>
      <c r="Q188"/>
      <c r="R188"/>
    </row>
    <row r="189" spans="2:18" x14ac:dyDescent="0.2">
      <c r="B189"/>
      <c r="C189"/>
      <c r="Q189"/>
      <c r="R189"/>
    </row>
  </sheetData>
  <mergeCells count="197">
    <mergeCell ref="A63:A64"/>
    <mergeCell ref="B63:B64"/>
    <mergeCell ref="Q56:Q57"/>
    <mergeCell ref="P49:P50"/>
    <mergeCell ref="L53:O53"/>
    <mergeCell ref="D54:G54"/>
    <mergeCell ref="H54:K54"/>
    <mergeCell ref="D52:G52"/>
    <mergeCell ref="A47:A48"/>
    <mergeCell ref="B47:B48"/>
    <mergeCell ref="Q63:Q64"/>
    <mergeCell ref="A43:A44"/>
    <mergeCell ref="B43:B44"/>
    <mergeCell ref="D55:G55"/>
    <mergeCell ref="A45:A46"/>
    <mergeCell ref="H55:K55"/>
    <mergeCell ref="L55:O55"/>
    <mergeCell ref="Q59:Q60"/>
    <mergeCell ref="Q45:Q46"/>
    <mergeCell ref="Q47:Q48"/>
    <mergeCell ref="H42:K42"/>
    <mergeCell ref="L42:O42"/>
    <mergeCell ref="P40:P41"/>
    <mergeCell ref="Q40:Q41"/>
    <mergeCell ref="L54:O54"/>
    <mergeCell ref="Q43:Q44"/>
    <mergeCell ref="D53:G53"/>
    <mergeCell ref="P63:P64"/>
    <mergeCell ref="D58:G58"/>
    <mergeCell ref="H58:K58"/>
    <mergeCell ref="L58:O58"/>
    <mergeCell ref="P43:P44"/>
    <mergeCell ref="A12:A13"/>
    <mergeCell ref="B12:B13"/>
    <mergeCell ref="P12:P13"/>
    <mergeCell ref="H21:K21"/>
    <mergeCell ref="L22:O22"/>
    <mergeCell ref="D23:G23"/>
    <mergeCell ref="H23:K23"/>
    <mergeCell ref="D24:G24"/>
    <mergeCell ref="H24:K24"/>
    <mergeCell ref="L24:O24"/>
    <mergeCell ref="L20:O20"/>
    <mergeCell ref="D21:G21"/>
    <mergeCell ref="H20:K20"/>
    <mergeCell ref="D15:G15"/>
    <mergeCell ref="H15:K15"/>
    <mergeCell ref="L15:O15"/>
    <mergeCell ref="H17:K17"/>
    <mergeCell ref="L17:O17"/>
    <mergeCell ref="D18:G18"/>
    <mergeCell ref="H18:K18"/>
    <mergeCell ref="L18:O18"/>
    <mergeCell ref="B28:B29"/>
    <mergeCell ref="D30:G30"/>
    <mergeCell ref="H25:K25"/>
    <mergeCell ref="L25:O25"/>
    <mergeCell ref="B49:B50"/>
    <mergeCell ref="B38:B39"/>
    <mergeCell ref="H30:K30"/>
    <mergeCell ref="A61:A62"/>
    <mergeCell ref="A59:A60"/>
    <mergeCell ref="B59:B60"/>
    <mergeCell ref="A56:A57"/>
    <mergeCell ref="B56:B57"/>
    <mergeCell ref="A49:A50"/>
    <mergeCell ref="D26:G26"/>
    <mergeCell ref="A34:A35"/>
    <mergeCell ref="B34:B35"/>
    <mergeCell ref="A28:A29"/>
    <mergeCell ref="D36:G36"/>
    <mergeCell ref="H36:K36"/>
    <mergeCell ref="B61:B62"/>
    <mergeCell ref="A38:A39"/>
    <mergeCell ref="B45:B46"/>
    <mergeCell ref="B40:B41"/>
    <mergeCell ref="D42:G42"/>
    <mergeCell ref="Q2:Q3"/>
    <mergeCell ref="Q7:Q8"/>
    <mergeCell ref="D6:G6"/>
    <mergeCell ref="H6:K6"/>
    <mergeCell ref="L6:O6"/>
    <mergeCell ref="P7:P8"/>
    <mergeCell ref="P61:P62"/>
    <mergeCell ref="D20:G20"/>
    <mergeCell ref="L31:O31"/>
    <mergeCell ref="L21:O21"/>
    <mergeCell ref="P59:P60"/>
    <mergeCell ref="H53:K53"/>
    <mergeCell ref="D16:G16"/>
    <mergeCell ref="H16:K16"/>
    <mergeCell ref="L16:O16"/>
    <mergeCell ref="D17:G17"/>
    <mergeCell ref="D32:G32"/>
    <mergeCell ref="H32:K32"/>
    <mergeCell ref="L32:O32"/>
    <mergeCell ref="L36:O36"/>
    <mergeCell ref="D33:G33"/>
    <mergeCell ref="H33:K33"/>
    <mergeCell ref="Q12:Q13"/>
    <mergeCell ref="P45:P46"/>
    <mergeCell ref="H69:K69"/>
    <mergeCell ref="A2:A3"/>
    <mergeCell ref="D2:G2"/>
    <mergeCell ref="H2:K2"/>
    <mergeCell ref="L2:O2"/>
    <mergeCell ref="A7:A8"/>
    <mergeCell ref="B7:B8"/>
    <mergeCell ref="D5:G5"/>
    <mergeCell ref="H5:K5"/>
    <mergeCell ref="L5:O5"/>
    <mergeCell ref="B2:B3"/>
    <mergeCell ref="C2:C3"/>
    <mergeCell ref="L30:O30"/>
    <mergeCell ref="D9:G9"/>
    <mergeCell ref="D25:G25"/>
    <mergeCell ref="D27:G27"/>
    <mergeCell ref="H27:K27"/>
    <mergeCell ref="L27:O27"/>
    <mergeCell ref="D68:G68"/>
    <mergeCell ref="H68:K68"/>
    <mergeCell ref="L68:O68"/>
    <mergeCell ref="H67:K67"/>
    <mergeCell ref="L67:O67"/>
    <mergeCell ref="A40:A41"/>
    <mergeCell ref="Q10:Q11"/>
    <mergeCell ref="D70:G70"/>
    <mergeCell ref="H70:K70"/>
    <mergeCell ref="L70:O70"/>
    <mergeCell ref="D66:G66"/>
    <mergeCell ref="H66:K66"/>
    <mergeCell ref="L66:O66"/>
    <mergeCell ref="L69:O69"/>
    <mergeCell ref="P56:P57"/>
    <mergeCell ref="H52:K52"/>
    <mergeCell ref="L52:O52"/>
    <mergeCell ref="L33:O33"/>
    <mergeCell ref="P47:P48"/>
    <mergeCell ref="H19:K19"/>
    <mergeCell ref="L19:O19"/>
    <mergeCell ref="D22:G22"/>
    <mergeCell ref="H22:K22"/>
    <mergeCell ref="H26:K26"/>
    <mergeCell ref="L26:O26"/>
    <mergeCell ref="P28:P29"/>
    <mergeCell ref="L23:O23"/>
    <mergeCell ref="D31:G31"/>
    <mergeCell ref="H31:K31"/>
    <mergeCell ref="D67:G67"/>
    <mergeCell ref="D73:G73"/>
    <mergeCell ref="H73:K73"/>
    <mergeCell ref="L73:O73"/>
    <mergeCell ref="Q34:Q35"/>
    <mergeCell ref="D37:G37"/>
    <mergeCell ref="H37:K37"/>
    <mergeCell ref="L37:O37"/>
    <mergeCell ref="Q49:Q50"/>
    <mergeCell ref="P38:P39"/>
    <mergeCell ref="Q38:Q39"/>
    <mergeCell ref="P34:P35"/>
    <mergeCell ref="A65:R65"/>
    <mergeCell ref="D72:G72"/>
    <mergeCell ref="H72:K72"/>
    <mergeCell ref="L72:O72"/>
    <mergeCell ref="Q61:Q62"/>
    <mergeCell ref="D71:G71"/>
    <mergeCell ref="H71:K71"/>
    <mergeCell ref="L71:O71"/>
    <mergeCell ref="D69:G69"/>
    <mergeCell ref="R45:R46"/>
    <mergeCell ref="R47:R48"/>
    <mergeCell ref="R49:R50"/>
    <mergeCell ref="R56:R57"/>
    <mergeCell ref="R59:R60"/>
    <mergeCell ref="R61:R62"/>
    <mergeCell ref="R63:R64"/>
    <mergeCell ref="A1:R1"/>
    <mergeCell ref="A4:R4"/>
    <mergeCell ref="A14:R14"/>
    <mergeCell ref="A51:R51"/>
    <mergeCell ref="R2:R3"/>
    <mergeCell ref="R7:R8"/>
    <mergeCell ref="R10:R11"/>
    <mergeCell ref="R12:R13"/>
    <mergeCell ref="R28:R29"/>
    <mergeCell ref="R34:R35"/>
    <mergeCell ref="R38:R39"/>
    <mergeCell ref="R40:R41"/>
    <mergeCell ref="R43:R44"/>
    <mergeCell ref="P2:P3"/>
    <mergeCell ref="P10:P11"/>
    <mergeCell ref="Q28:Q29"/>
    <mergeCell ref="H9:K9"/>
    <mergeCell ref="L9:O9"/>
    <mergeCell ref="A10:A11"/>
    <mergeCell ref="B10:B11"/>
    <mergeCell ref="D19:G19"/>
  </mergeCells>
  <pageMargins left="0.7" right="0.7" top="0.75" bottom="0.75" header="0.3" footer="0.3"/>
  <pageSetup paperSize="9" scale="2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6</vt:i4>
      </vt:variant>
    </vt:vector>
  </HeadingPairs>
  <TitlesOfParts>
    <vt:vector size="6" baseType="lpstr">
      <vt:lpstr>مصانع الأعلاف</vt:lpstr>
      <vt:lpstr>مستودعات ومراكز توزيع الأعلاف</vt:lpstr>
      <vt:lpstr>مستوردو الأعلاف</vt:lpstr>
      <vt:lpstr>المختبرات الخاصة لتحليل الأعلاف</vt:lpstr>
      <vt:lpstr>المكاتب الاستشارية</vt:lpstr>
      <vt:lpstr>منافذ بيع الأعلاف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Enforcement Department</dc:creator>
  <cp:lastModifiedBy>Hussain AlTamimi</cp:lastModifiedBy>
  <cp:lastPrinted>2023-11-28T11:54:04Z</cp:lastPrinted>
  <dcterms:created xsi:type="dcterms:W3CDTF">2023-05-20T13:56:50Z</dcterms:created>
  <dcterms:modified xsi:type="dcterms:W3CDTF">2026-05-21T06:17:02Z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{"SFDA Production Policy Server (8c03fa3dfc99a77338dbfc773d179b293ec1c758)":{"ClassificationDisplayName":"Restricted - مقيد","ClassificationMode":"ClassificationMode_UserDriven","LabelId":"3","Version":"1"}}</vt:lpwstr>
  </property>
  <property fmtid="{D5CDD505-2E9C-101B-9397-08002B2CF9AE}" pid="3" name="SecloreClassificationDisplayName_8c03fa3dfc99a77338dbfc773d179b293ec1c758">
    <vt:lpwstr>Restricted - مقيد</vt:lpwstr>
  </property>
  <property fmtid="{D5CDD505-2E9C-101B-9397-08002B2CF9AE}" pid="4" name="SecloreClassificationFooterTextValue">
    <vt:lpwstr>Restricted - مقيد</vt:lpwstr>
  </property>
  <property fmtid="{D5CDD505-2E9C-101B-9397-08002B2CF9AE}" pid="5" name="SecloreClassificationFooterColorHex">
    <vt:lpwstr>#f0c231</vt:lpwstr>
  </property>
  <property fmtid="{D5CDD505-2E9C-101B-9397-08002B2CF9AE}" pid="6" name="SecloreClassificationFooterFontSize">
    <vt:lpwstr>12</vt:lpwstr>
  </property>
  <property fmtid="{D5CDD505-2E9C-101B-9397-08002B2CF9AE}" pid="7" name="SecloreClassificationFooterAlignment">
    <vt:lpwstr>Center</vt:lpwstr>
  </property>
</Properties>
</file>