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showInkAnnotation="0"/>
  <mc:AlternateContent xmlns:mc="http://schemas.openxmlformats.org/markup-compatibility/2006">
    <mc:Choice Requires="x15">
      <x15ac:absPath xmlns:x15ac="http://schemas.microsoft.com/office/spreadsheetml/2010/11/ac" url="C:\Users\akshebeky\Desktop\"/>
    </mc:Choice>
  </mc:AlternateContent>
  <xr:revisionPtr revIDLastSave="0" documentId="8_{1C555C1B-403C-4A7A-96DC-97D5B106C9C7}" xr6:coauthVersionLast="36" xr6:coauthVersionMax="36" xr10:uidLastSave="{00000000-0000-0000-0000-000000000000}"/>
  <bookViews>
    <workbookView xWindow="-120" yWindow="-120" windowWidth="29040" windowHeight="15720" activeTab="4" xr2:uid="{00000000-000D-0000-FFFF-FFFF00000000}"/>
  </bookViews>
  <sheets>
    <sheet name="مصانع الأغذية" sheetId="5" r:id="rId1"/>
    <sheet name="مستودعات ومراكز توزيع الأغذية" sheetId="11" r:id="rId2"/>
    <sheet name="مستوردو الأغذية" sheetId="7" r:id="rId3"/>
    <sheet name="المختبرات الخاصة لتحليل الغذاء" sheetId="8" r:id="rId4"/>
    <sheet name="المكاتب الاستشارية" sheetId="9" r:id="rId5"/>
  </sheets>
  <definedNames>
    <definedName name="_xlnm._FilterDatabase" localSheetId="3" hidden="1">'المختبرات الخاصة لتحليل الغذاء'!$A$2:$S$3</definedName>
    <definedName name="_xlnm._FilterDatabase" localSheetId="4" hidden="1">'المكاتب الاستشارية'!$A$2:$Q$3</definedName>
    <definedName name="_xlnm._FilterDatabase" localSheetId="1" hidden="1">'مستودعات ومراكز توزيع الأغذية'!$A$2:$P$108</definedName>
    <definedName name="_xlnm._FilterDatabase" localSheetId="2" hidden="1">'مستوردو الأغذية'!$A$2:$Q$75</definedName>
    <definedName name="_xlnm._FilterDatabase" localSheetId="0" hidden="1">'مصانع الأغذية'!$A$2:$R$125</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21" i="9" l="1"/>
  <c r="H21" i="9"/>
  <c r="G21" i="9"/>
  <c r="F21" i="9"/>
  <c r="E21" i="9"/>
  <c r="D20" i="9"/>
  <c r="L19" i="9"/>
  <c r="L20" i="9" s="1"/>
  <c r="K19" i="9"/>
  <c r="K20" i="9" s="1"/>
  <c r="H19" i="9"/>
  <c r="H20" i="9" s="1"/>
  <c r="G19" i="9"/>
  <c r="G20" i="9" s="1"/>
  <c r="F19" i="9"/>
  <c r="F20" i="9" s="1"/>
  <c r="E19" i="9"/>
  <c r="E20" i="9" s="1"/>
  <c r="D18" i="9"/>
  <c r="L17" i="9"/>
  <c r="O17" i="9" s="1"/>
  <c r="O18" i="9" s="1"/>
  <c r="H17" i="9"/>
  <c r="H18" i="9" s="1"/>
  <c r="G17" i="9"/>
  <c r="G18" i="9" s="1"/>
  <c r="F17" i="9"/>
  <c r="F18" i="9" s="1"/>
  <c r="E17" i="9"/>
  <c r="E18" i="9" s="1"/>
  <c r="L16" i="9"/>
  <c r="H16" i="9"/>
  <c r="G16" i="9"/>
  <c r="F16" i="9"/>
  <c r="E16" i="9"/>
  <c r="L15" i="9"/>
  <c r="H15" i="9"/>
  <c r="G15" i="9"/>
  <c r="F15" i="9"/>
  <c r="E15" i="9"/>
  <c r="L14" i="9"/>
  <c r="H14" i="9"/>
  <c r="G14" i="9"/>
  <c r="F14" i="9"/>
  <c r="E14" i="9"/>
  <c r="L13" i="9"/>
  <c r="H13" i="9"/>
  <c r="L12" i="9"/>
  <c r="H12" i="9"/>
  <c r="D10" i="9"/>
  <c r="L9" i="9"/>
  <c r="L10" i="9" s="1"/>
  <c r="H9" i="9"/>
  <c r="I9" i="9" s="1"/>
  <c r="I10" i="9" s="1"/>
  <c r="G9" i="9"/>
  <c r="G10" i="9" s="1"/>
  <c r="F9" i="9"/>
  <c r="F10" i="9" s="1"/>
  <c r="E9" i="9"/>
  <c r="E10" i="9" s="1"/>
  <c r="F8" i="9"/>
  <c r="D8" i="9"/>
  <c r="L7" i="9"/>
  <c r="L8" i="9" s="1"/>
  <c r="H7" i="9"/>
  <c r="I7" i="9" s="1"/>
  <c r="I8" i="9" s="1"/>
  <c r="G7" i="9"/>
  <c r="G8" i="9" s="1"/>
  <c r="F7" i="9"/>
  <c r="E7" i="9"/>
  <c r="E8" i="9" s="1"/>
  <c r="L6" i="9"/>
  <c r="H6" i="9"/>
  <c r="L5" i="9"/>
  <c r="H5" i="9"/>
  <c r="L52" i="8"/>
  <c r="H52" i="8"/>
  <c r="G52" i="8"/>
  <c r="F52" i="8"/>
  <c r="E52" i="8"/>
  <c r="D51" i="8"/>
  <c r="L50" i="8"/>
  <c r="L51" i="8" s="1"/>
  <c r="H50" i="8"/>
  <c r="H51" i="8" s="1"/>
  <c r="G50" i="8"/>
  <c r="G51" i="8" s="1"/>
  <c r="F50" i="8"/>
  <c r="F51" i="8" s="1"/>
  <c r="E50" i="8"/>
  <c r="E51" i="8" s="1"/>
  <c r="L49" i="8"/>
  <c r="H49" i="8"/>
  <c r="G49" i="8"/>
  <c r="F49" i="8"/>
  <c r="E49" i="8"/>
  <c r="L48" i="8"/>
  <c r="H48" i="8"/>
  <c r="G48" i="8"/>
  <c r="F48" i="8"/>
  <c r="E48" i="8"/>
  <c r="L47" i="8"/>
  <c r="H47" i="8"/>
  <c r="G47" i="8"/>
  <c r="F47" i="8"/>
  <c r="E47" i="8"/>
  <c r="L46" i="8"/>
  <c r="H46" i="8"/>
  <c r="G46" i="8"/>
  <c r="F46" i="8"/>
  <c r="E46" i="8"/>
  <c r="L45" i="8"/>
  <c r="H45" i="8"/>
  <c r="L44" i="8"/>
  <c r="H44" i="8"/>
  <c r="D42" i="8"/>
  <c r="L41" i="8"/>
  <c r="O41" i="8" s="1"/>
  <c r="O42" i="8" s="1"/>
  <c r="I41" i="8"/>
  <c r="I42" i="8" s="1"/>
  <c r="H41" i="8"/>
  <c r="H42" i="8" s="1"/>
  <c r="G41" i="8"/>
  <c r="G42" i="8" s="1"/>
  <c r="F41" i="8"/>
  <c r="F42" i="8" s="1"/>
  <c r="E41" i="8"/>
  <c r="E42" i="8" s="1"/>
  <c r="D40" i="8"/>
  <c r="L39" i="8"/>
  <c r="N39" i="8" s="1"/>
  <c r="N40" i="8" s="1"/>
  <c r="H39" i="8"/>
  <c r="H40" i="8" s="1"/>
  <c r="G39" i="8"/>
  <c r="G40" i="8" s="1"/>
  <c r="F39" i="8"/>
  <c r="F40" i="8" s="1"/>
  <c r="E39" i="8"/>
  <c r="E40" i="8" s="1"/>
  <c r="D38" i="8"/>
  <c r="L37" i="8"/>
  <c r="M37" i="8" s="1"/>
  <c r="M38" i="8" s="1"/>
  <c r="H37" i="8"/>
  <c r="K37" i="8" s="1"/>
  <c r="K38" i="8" s="1"/>
  <c r="G37" i="8"/>
  <c r="G38" i="8" s="1"/>
  <c r="F37" i="8"/>
  <c r="F38" i="8" s="1"/>
  <c r="E37" i="8"/>
  <c r="E38" i="8" s="1"/>
  <c r="D36" i="8"/>
  <c r="L35" i="8"/>
  <c r="L36" i="8" s="1"/>
  <c r="H35" i="8"/>
  <c r="H36" i="8" s="1"/>
  <c r="G35" i="8"/>
  <c r="G36" i="8" s="1"/>
  <c r="F35" i="8"/>
  <c r="F36" i="8" s="1"/>
  <c r="E35" i="8"/>
  <c r="E36" i="8" s="1"/>
  <c r="L34" i="8"/>
  <c r="H34" i="8"/>
  <c r="L33" i="8"/>
  <c r="H33" i="8"/>
  <c r="G33" i="8"/>
  <c r="F33" i="8"/>
  <c r="E33" i="8"/>
  <c r="L32" i="8"/>
  <c r="H32" i="8"/>
  <c r="G32" i="8"/>
  <c r="F32" i="8"/>
  <c r="E32" i="8"/>
  <c r="L31" i="8"/>
  <c r="H31" i="8"/>
  <c r="G31" i="8"/>
  <c r="F31" i="8"/>
  <c r="E31" i="8"/>
  <c r="L30" i="8"/>
  <c r="H30" i="8"/>
  <c r="L29" i="8"/>
  <c r="D29" i="8"/>
  <c r="L28" i="8"/>
  <c r="N28" i="8" s="1"/>
  <c r="N29" i="8" s="1"/>
  <c r="H28" i="8"/>
  <c r="H29" i="8" s="1"/>
  <c r="G28" i="8"/>
  <c r="G29" i="8" s="1"/>
  <c r="F28" i="8"/>
  <c r="F29" i="8" s="1"/>
  <c r="E28" i="8"/>
  <c r="E29" i="8" s="1"/>
  <c r="L27" i="8"/>
  <c r="H27" i="8"/>
  <c r="L26" i="8"/>
  <c r="H26" i="8"/>
  <c r="L25" i="8"/>
  <c r="H25" i="8"/>
  <c r="D24" i="8"/>
  <c r="L23" i="8"/>
  <c r="O23" i="8" s="1"/>
  <c r="O24" i="8" s="1"/>
  <c r="H23" i="8"/>
  <c r="K23" i="8" s="1"/>
  <c r="K24" i="8" s="1"/>
  <c r="G23" i="8"/>
  <c r="G24" i="8" s="1"/>
  <c r="F23" i="8"/>
  <c r="F24" i="8" s="1"/>
  <c r="E23" i="8"/>
  <c r="E24" i="8" s="1"/>
  <c r="L22" i="8"/>
  <c r="H22" i="8"/>
  <c r="D21" i="8"/>
  <c r="L20" i="8"/>
  <c r="L21" i="8" s="1"/>
  <c r="K20" i="8"/>
  <c r="K21" i="8" s="1"/>
  <c r="H20" i="8"/>
  <c r="H21" i="8" s="1"/>
  <c r="G20" i="8"/>
  <c r="G21" i="8" s="1"/>
  <c r="F20" i="8"/>
  <c r="F21" i="8" s="1"/>
  <c r="E20" i="8"/>
  <c r="E21" i="8" s="1"/>
  <c r="L19" i="8"/>
  <c r="H19" i="8"/>
  <c r="D18" i="8"/>
  <c r="L17" i="8"/>
  <c r="M17" i="8" s="1"/>
  <c r="M18" i="8" s="1"/>
  <c r="H17" i="8"/>
  <c r="K17" i="8" s="1"/>
  <c r="K18" i="8" s="1"/>
  <c r="G17" i="8"/>
  <c r="G18" i="8" s="1"/>
  <c r="F17" i="8"/>
  <c r="F18" i="8" s="1"/>
  <c r="E17" i="8"/>
  <c r="E18" i="8" s="1"/>
  <c r="D16" i="8"/>
  <c r="N15" i="8"/>
  <c r="N16" i="8" s="1"/>
  <c r="L15" i="8"/>
  <c r="L16" i="8" s="1"/>
  <c r="H15" i="8"/>
  <c r="H16" i="8" s="1"/>
  <c r="G15" i="8"/>
  <c r="G16" i="8" s="1"/>
  <c r="F15" i="8"/>
  <c r="F16" i="8" s="1"/>
  <c r="E15" i="8"/>
  <c r="E16" i="8" s="1"/>
  <c r="L12" i="8"/>
  <c r="H12" i="8"/>
  <c r="D10" i="8"/>
  <c r="L9" i="8"/>
  <c r="M9" i="8" s="1"/>
  <c r="M10" i="8" s="1"/>
  <c r="H9" i="8"/>
  <c r="K9" i="8" s="1"/>
  <c r="K10" i="8" s="1"/>
  <c r="G9" i="8"/>
  <c r="G10" i="8" s="1"/>
  <c r="F9" i="8"/>
  <c r="F10" i="8" s="1"/>
  <c r="E9" i="8"/>
  <c r="E10" i="8" s="1"/>
  <c r="D8" i="8"/>
  <c r="L7" i="8"/>
  <c r="L8" i="8" s="1"/>
  <c r="H7" i="8"/>
  <c r="H8" i="8" s="1"/>
  <c r="G7" i="8"/>
  <c r="G8" i="8" s="1"/>
  <c r="F7" i="8"/>
  <c r="F8" i="8" s="1"/>
  <c r="E7" i="8"/>
  <c r="E8" i="8" s="1"/>
  <c r="L6" i="8"/>
  <c r="H6" i="8"/>
  <c r="L5" i="8"/>
  <c r="H5" i="8"/>
  <c r="H10" i="8" l="1"/>
  <c r="J9" i="8"/>
  <c r="J10" i="8" s="1"/>
  <c r="K15" i="8"/>
  <c r="K16" i="8" s="1"/>
  <c r="N35" i="8"/>
  <c r="N36" i="8" s="1"/>
  <c r="I15" i="8"/>
  <c r="I16" i="8" s="1"/>
  <c r="H18" i="8"/>
  <c r="O35" i="8"/>
  <c r="O36" i="8" s="1"/>
  <c r="M7" i="8"/>
  <c r="M8" i="8" s="1"/>
  <c r="O15" i="8"/>
  <c r="O16" i="8" s="1"/>
  <c r="M20" i="8"/>
  <c r="M21" i="8" s="1"/>
  <c r="K7" i="8"/>
  <c r="K8" i="8" s="1"/>
  <c r="N23" i="8"/>
  <c r="N24" i="8" s="1"/>
  <c r="H38" i="8"/>
  <c r="J7" i="9"/>
  <c r="J8" i="9" s="1"/>
  <c r="K9" i="9"/>
  <c r="K10" i="9" s="1"/>
  <c r="O17" i="8"/>
  <c r="O18" i="8" s="1"/>
  <c r="M23" i="8"/>
  <c r="M24" i="8" s="1"/>
  <c r="K7" i="9"/>
  <c r="K8" i="9" s="1"/>
  <c r="J19" i="9"/>
  <c r="J20" i="9" s="1"/>
  <c r="I7" i="8"/>
  <c r="I8" i="8" s="1"/>
  <c r="J41" i="8"/>
  <c r="J42" i="8" s="1"/>
  <c r="J50" i="8"/>
  <c r="J51" i="8" s="1"/>
  <c r="O7" i="9"/>
  <c r="O8" i="9" s="1"/>
  <c r="I17" i="9"/>
  <c r="I18" i="9" s="1"/>
  <c r="N7" i="8"/>
  <c r="N8" i="8" s="1"/>
  <c r="L24" i="8"/>
  <c r="O7" i="8"/>
  <c r="O8" i="8" s="1"/>
  <c r="M15" i="8"/>
  <c r="M16" i="8" s="1"/>
  <c r="J17" i="8"/>
  <c r="J18" i="8" s="1"/>
  <c r="I20" i="8"/>
  <c r="I21" i="8" s="1"/>
  <c r="M28" i="8"/>
  <c r="M29" i="8" s="1"/>
  <c r="K41" i="8"/>
  <c r="K42" i="8" s="1"/>
  <c r="K50" i="8"/>
  <c r="K51" i="8" s="1"/>
  <c r="J17" i="9"/>
  <c r="J18" i="9" s="1"/>
  <c r="O19" i="9"/>
  <c r="O20" i="9" s="1"/>
  <c r="M39" i="8"/>
  <c r="M40" i="8" s="1"/>
  <c r="N41" i="8"/>
  <c r="N42" i="8" s="1"/>
  <c r="M50" i="8"/>
  <c r="M51" i="8" s="1"/>
  <c r="H8" i="9"/>
  <c r="N17" i="9"/>
  <c r="N18" i="9" s="1"/>
  <c r="O50" i="8"/>
  <c r="O51" i="8" s="1"/>
  <c r="I35" i="8"/>
  <c r="I36" i="8" s="1"/>
  <c r="N20" i="8"/>
  <c r="N21" i="8" s="1"/>
  <c r="K35" i="8"/>
  <c r="K36" i="8" s="1"/>
  <c r="J37" i="8"/>
  <c r="J38" i="8" s="1"/>
  <c r="O20" i="8"/>
  <c r="O21" i="8" s="1"/>
  <c r="J23" i="8"/>
  <c r="J24" i="8" s="1"/>
  <c r="L40" i="8"/>
  <c r="J9" i="9"/>
  <c r="J10" i="9" s="1"/>
  <c r="L18" i="9"/>
  <c r="I19" i="9"/>
  <c r="I20" i="9" s="1"/>
  <c r="H10" i="9"/>
  <c r="M9" i="9"/>
  <c r="M10" i="9" s="1"/>
  <c r="K17" i="9"/>
  <c r="K18" i="9" s="1"/>
  <c r="M7" i="9"/>
  <c r="M8" i="9" s="1"/>
  <c r="N9" i="9"/>
  <c r="N10" i="9" s="1"/>
  <c r="M19" i="9"/>
  <c r="M20" i="9" s="1"/>
  <c r="N7" i="9"/>
  <c r="N8" i="9" s="1"/>
  <c r="O9" i="9"/>
  <c r="O10" i="9" s="1"/>
  <c r="M17" i="9"/>
  <c r="M18" i="9" s="1"/>
  <c r="N19" i="9"/>
  <c r="N20" i="9" s="1"/>
  <c r="N9" i="8"/>
  <c r="N10" i="8" s="1"/>
  <c r="N17" i="8"/>
  <c r="N18" i="8" s="1"/>
  <c r="H24" i="8"/>
  <c r="O28" i="8"/>
  <c r="O29" i="8" s="1"/>
  <c r="M35" i="8"/>
  <c r="M36" i="8" s="1"/>
  <c r="N37" i="8"/>
  <c r="N38" i="8" s="1"/>
  <c r="O39" i="8"/>
  <c r="O40" i="8" s="1"/>
  <c r="L42" i="8"/>
  <c r="I50" i="8"/>
  <c r="I51" i="8" s="1"/>
  <c r="L18" i="8"/>
  <c r="I28" i="8"/>
  <c r="I29" i="8" s="1"/>
  <c r="L38" i="8"/>
  <c r="I39" i="8"/>
  <c r="I40" i="8" s="1"/>
  <c r="O9" i="8"/>
  <c r="O10" i="8" s="1"/>
  <c r="O37" i="8"/>
  <c r="O38" i="8" s="1"/>
  <c r="L10" i="8"/>
  <c r="I9" i="8"/>
  <c r="I10" i="8" s="1"/>
  <c r="I17" i="8"/>
  <c r="I18" i="8" s="1"/>
  <c r="J28" i="8"/>
  <c r="J29" i="8" s="1"/>
  <c r="I37" i="8"/>
  <c r="I38" i="8" s="1"/>
  <c r="J39" i="8"/>
  <c r="J40" i="8" s="1"/>
  <c r="K39" i="8"/>
  <c r="K40" i="8" s="1"/>
  <c r="K28" i="8"/>
  <c r="K29" i="8" s="1"/>
  <c r="J7" i="8"/>
  <c r="J8" i="8" s="1"/>
  <c r="J15" i="8"/>
  <c r="J16" i="8" s="1"/>
  <c r="J20" i="8"/>
  <c r="J21" i="8" s="1"/>
  <c r="I23" i="8"/>
  <c r="I24" i="8" s="1"/>
  <c r="J35" i="8"/>
  <c r="J36" i="8" s="1"/>
  <c r="M41" i="8"/>
  <c r="M42" i="8" s="1"/>
  <c r="N50" i="8"/>
  <c r="N51" i="8" s="1"/>
  <c r="L77" i="7" l="1"/>
  <c r="H77" i="7"/>
  <c r="G77" i="7"/>
  <c r="F77" i="7"/>
  <c r="E77" i="7"/>
  <c r="L76" i="7"/>
  <c r="H76" i="7"/>
  <c r="G76" i="7"/>
  <c r="F76" i="7"/>
  <c r="E76" i="7"/>
  <c r="L75" i="7"/>
  <c r="H75" i="7"/>
  <c r="G75" i="7"/>
  <c r="F75" i="7"/>
  <c r="E75" i="7"/>
  <c r="L74" i="7"/>
  <c r="H74" i="7"/>
  <c r="G74" i="7"/>
  <c r="F74" i="7"/>
  <c r="E74" i="7"/>
  <c r="L73" i="7"/>
  <c r="H73" i="7"/>
  <c r="G73" i="7"/>
  <c r="F73" i="7"/>
  <c r="E73" i="7"/>
  <c r="L72" i="7"/>
  <c r="H72" i="7"/>
  <c r="D70" i="7"/>
  <c r="L69" i="7"/>
  <c r="O69" i="7" s="1"/>
  <c r="O70" i="7" s="1"/>
  <c r="H69" i="7"/>
  <c r="K69" i="7" s="1"/>
  <c r="K70" i="7" s="1"/>
  <c r="G69" i="7"/>
  <c r="G70" i="7" s="1"/>
  <c r="F69" i="7"/>
  <c r="F70" i="7" s="1"/>
  <c r="E69" i="7"/>
  <c r="E70" i="7" s="1"/>
  <c r="L68" i="7"/>
  <c r="D68" i="7"/>
  <c r="L67" i="7"/>
  <c r="O67" i="7" s="1"/>
  <c r="O68" i="7" s="1"/>
  <c r="H67" i="7"/>
  <c r="K67" i="7" s="1"/>
  <c r="K68" i="7" s="1"/>
  <c r="G67" i="7"/>
  <c r="G68" i="7" s="1"/>
  <c r="F67" i="7"/>
  <c r="F68" i="7" s="1"/>
  <c r="E67" i="7"/>
  <c r="E68" i="7" s="1"/>
  <c r="D66" i="7"/>
  <c r="L65" i="7"/>
  <c r="O65" i="7" s="1"/>
  <c r="O66" i="7" s="1"/>
  <c r="H65" i="7"/>
  <c r="J65" i="7" s="1"/>
  <c r="J66" i="7" s="1"/>
  <c r="G65" i="7"/>
  <c r="G66" i="7" s="1"/>
  <c r="F65" i="7"/>
  <c r="F66" i="7" s="1"/>
  <c r="E65" i="7"/>
  <c r="E66" i="7" s="1"/>
  <c r="L64" i="7"/>
  <c r="H64" i="7"/>
  <c r="L63" i="7"/>
  <c r="H63" i="7"/>
  <c r="G63" i="7"/>
  <c r="F63" i="7"/>
  <c r="E63" i="7"/>
  <c r="L62" i="7"/>
  <c r="H62" i="7"/>
  <c r="D61" i="7"/>
  <c r="L60" i="7"/>
  <c r="L61" i="7" s="1"/>
  <c r="H60" i="7"/>
  <c r="K60" i="7" s="1"/>
  <c r="K61" i="7" s="1"/>
  <c r="G60" i="7"/>
  <c r="G61" i="7" s="1"/>
  <c r="F60" i="7"/>
  <c r="F61" i="7" s="1"/>
  <c r="E60" i="7"/>
  <c r="E61" i="7" s="1"/>
  <c r="L59" i="7"/>
  <c r="H59" i="7"/>
  <c r="D58" i="7"/>
  <c r="L57" i="7"/>
  <c r="M57" i="7" s="1"/>
  <c r="M58" i="7" s="1"/>
  <c r="H57" i="7"/>
  <c r="K57" i="7" s="1"/>
  <c r="K58" i="7" s="1"/>
  <c r="G57" i="7"/>
  <c r="G58" i="7" s="1"/>
  <c r="F57" i="7"/>
  <c r="F58" i="7" s="1"/>
  <c r="E57" i="7"/>
  <c r="E58" i="7" s="1"/>
  <c r="L56" i="7"/>
  <c r="H56" i="7"/>
  <c r="G56" i="7"/>
  <c r="F56" i="7"/>
  <c r="E56" i="7"/>
  <c r="L55" i="7"/>
  <c r="H55" i="7"/>
  <c r="G55" i="7"/>
  <c r="F55" i="7"/>
  <c r="E55" i="7"/>
  <c r="L54" i="7"/>
  <c r="H54" i="7"/>
  <c r="G54" i="7"/>
  <c r="F54" i="7"/>
  <c r="E54" i="7"/>
  <c r="L53" i="7"/>
  <c r="H53" i="7"/>
  <c r="G53" i="7"/>
  <c r="F53" i="7"/>
  <c r="E53" i="7"/>
  <c r="J52" i="7"/>
  <c r="D52" i="7"/>
  <c r="O51" i="7"/>
  <c r="O52" i="7" s="1"/>
  <c r="L51" i="7"/>
  <c r="N51" i="7" s="1"/>
  <c r="N52" i="7" s="1"/>
  <c r="K51" i="7"/>
  <c r="K52" i="7" s="1"/>
  <c r="J51" i="7"/>
  <c r="I51" i="7"/>
  <c r="I52" i="7" s="1"/>
  <c r="H51" i="7"/>
  <c r="H52" i="7" s="1"/>
  <c r="G51" i="7"/>
  <c r="G52" i="7" s="1"/>
  <c r="F51" i="7"/>
  <c r="F52" i="7" s="1"/>
  <c r="E51" i="7"/>
  <c r="E52" i="7" s="1"/>
  <c r="L50" i="7"/>
  <c r="H50" i="7"/>
  <c r="G50" i="7"/>
  <c r="F50" i="7"/>
  <c r="E50" i="7"/>
  <c r="L49" i="7"/>
  <c r="H49" i="7"/>
  <c r="G49" i="7"/>
  <c r="F49" i="7"/>
  <c r="E49" i="7"/>
  <c r="L48" i="7"/>
  <c r="H48" i="7"/>
  <c r="G48" i="7"/>
  <c r="F48" i="7"/>
  <c r="E48" i="7"/>
  <c r="L47" i="7"/>
  <c r="H47" i="7"/>
  <c r="L45" i="7"/>
  <c r="H45" i="7"/>
  <c r="G45" i="7"/>
  <c r="F45" i="7"/>
  <c r="E45" i="7"/>
  <c r="L44" i="7"/>
  <c r="H44" i="7"/>
  <c r="G44" i="7"/>
  <c r="F44" i="7"/>
  <c r="E44" i="7"/>
  <c r="D43" i="7"/>
  <c r="L42" i="7"/>
  <c r="O42" i="7" s="1"/>
  <c r="O43" i="7" s="1"/>
  <c r="K42" i="7"/>
  <c r="K43" i="7" s="1"/>
  <c r="H42" i="7"/>
  <c r="J42" i="7" s="1"/>
  <c r="J43" i="7" s="1"/>
  <c r="G42" i="7"/>
  <c r="G43" i="7" s="1"/>
  <c r="F42" i="7"/>
  <c r="F43" i="7" s="1"/>
  <c r="E42" i="7"/>
  <c r="E43" i="7" s="1"/>
  <c r="L41" i="7"/>
  <c r="H41" i="7"/>
  <c r="G41" i="7"/>
  <c r="F41" i="7"/>
  <c r="E41" i="7"/>
  <c r="L40" i="7"/>
  <c r="H40" i="7"/>
  <c r="G40" i="7"/>
  <c r="F40" i="7"/>
  <c r="E40" i="7"/>
  <c r="L39" i="7"/>
  <c r="H39" i="7"/>
  <c r="G39" i="7"/>
  <c r="F39" i="7"/>
  <c r="E39" i="7"/>
  <c r="D38" i="7"/>
  <c r="L37" i="7"/>
  <c r="L38" i="7" s="1"/>
  <c r="H37" i="7"/>
  <c r="K37" i="7" s="1"/>
  <c r="K38" i="7" s="1"/>
  <c r="G37" i="7"/>
  <c r="G38" i="7" s="1"/>
  <c r="F37" i="7"/>
  <c r="F38" i="7" s="1"/>
  <c r="E37" i="7"/>
  <c r="E38" i="7" s="1"/>
  <c r="L36" i="7"/>
  <c r="H36" i="7"/>
  <c r="G36" i="7"/>
  <c r="F36" i="7"/>
  <c r="E36" i="7"/>
  <c r="L35" i="7"/>
  <c r="H35" i="7"/>
  <c r="L34" i="7"/>
  <c r="H34" i="7"/>
  <c r="L33" i="7"/>
  <c r="H33" i="7"/>
  <c r="L32" i="7"/>
  <c r="H32" i="7"/>
  <c r="D31" i="7"/>
  <c r="O30" i="7"/>
  <c r="O31" i="7" s="1"/>
  <c r="M30" i="7"/>
  <c r="M31" i="7" s="1"/>
  <c r="L30" i="7"/>
  <c r="L31" i="7" s="1"/>
  <c r="H30" i="7"/>
  <c r="K30" i="7" s="1"/>
  <c r="K31" i="7" s="1"/>
  <c r="G30" i="7"/>
  <c r="G31" i="7" s="1"/>
  <c r="F30" i="7"/>
  <c r="F31" i="7" s="1"/>
  <c r="E30" i="7"/>
  <c r="E31" i="7" s="1"/>
  <c r="L29" i="7"/>
  <c r="H29" i="7"/>
  <c r="G29" i="7"/>
  <c r="F29" i="7"/>
  <c r="E29" i="7"/>
  <c r="L28" i="7"/>
  <c r="H28" i="7"/>
  <c r="L27" i="7"/>
  <c r="H27" i="7"/>
  <c r="G27" i="7"/>
  <c r="F27" i="7"/>
  <c r="E27" i="7"/>
  <c r="L26" i="7"/>
  <c r="H26" i="7"/>
  <c r="L25" i="7"/>
  <c r="H25" i="7"/>
  <c r="G25" i="7"/>
  <c r="F25" i="7"/>
  <c r="E25" i="7"/>
  <c r="L24" i="7"/>
  <c r="H24" i="7"/>
  <c r="L23" i="7"/>
  <c r="H23" i="7"/>
  <c r="L22" i="7"/>
  <c r="H22" i="7"/>
  <c r="G22" i="7"/>
  <c r="F22" i="7"/>
  <c r="E22" i="7"/>
  <c r="L21" i="7"/>
  <c r="H21" i="7"/>
  <c r="G21" i="7"/>
  <c r="F21" i="7"/>
  <c r="E21" i="7"/>
  <c r="L20" i="7"/>
  <c r="H20" i="7"/>
  <c r="G20" i="7"/>
  <c r="F20" i="7"/>
  <c r="E20" i="7"/>
  <c r="L19" i="7"/>
  <c r="H19" i="7"/>
  <c r="G19" i="7"/>
  <c r="F19" i="7"/>
  <c r="E19" i="7"/>
  <c r="L18" i="7"/>
  <c r="H18" i="7"/>
  <c r="G18" i="7"/>
  <c r="F18" i="7"/>
  <c r="E18" i="7"/>
  <c r="L17" i="7"/>
  <c r="H17" i="7"/>
  <c r="D15" i="7"/>
  <c r="N14" i="7"/>
  <c r="N15" i="7" s="1"/>
  <c r="L14" i="7"/>
  <c r="M14" i="7" s="1"/>
  <c r="M15" i="7" s="1"/>
  <c r="H14" i="7"/>
  <c r="K14" i="7" s="1"/>
  <c r="K15" i="7" s="1"/>
  <c r="G14" i="7"/>
  <c r="G15" i="7" s="1"/>
  <c r="F14" i="7"/>
  <c r="F15" i="7" s="1"/>
  <c r="E14" i="7"/>
  <c r="E15" i="7" s="1"/>
  <c r="D13" i="7"/>
  <c r="L12" i="7"/>
  <c r="L13" i="7" s="1"/>
  <c r="H12" i="7"/>
  <c r="K12" i="7" s="1"/>
  <c r="K13" i="7" s="1"/>
  <c r="G12" i="7"/>
  <c r="G13" i="7" s="1"/>
  <c r="F12" i="7"/>
  <c r="F13" i="7" s="1"/>
  <c r="E12" i="7"/>
  <c r="E13" i="7" s="1"/>
  <c r="D11" i="7"/>
  <c r="L10" i="7"/>
  <c r="L11" i="7" s="1"/>
  <c r="H10" i="7"/>
  <c r="K10" i="7" s="1"/>
  <c r="K11" i="7" s="1"/>
  <c r="G10" i="7"/>
  <c r="G11" i="7" s="1"/>
  <c r="F10" i="7"/>
  <c r="F11" i="7" s="1"/>
  <c r="E10" i="7"/>
  <c r="E11" i="7" s="1"/>
  <c r="D9" i="7"/>
  <c r="L8" i="7"/>
  <c r="L9" i="7" s="1"/>
  <c r="K8" i="7"/>
  <c r="K9" i="7" s="1"/>
  <c r="H8" i="7"/>
  <c r="J8" i="7" s="1"/>
  <c r="J9" i="7" s="1"/>
  <c r="G8" i="7"/>
  <c r="G9" i="7" s="1"/>
  <c r="F8" i="7"/>
  <c r="F9" i="7" s="1"/>
  <c r="E8" i="7"/>
  <c r="E9" i="7" s="1"/>
  <c r="L7" i="7"/>
  <c r="H7" i="7"/>
  <c r="L6" i="7"/>
  <c r="H6" i="7"/>
  <c r="L5" i="7"/>
  <c r="H5" i="7"/>
  <c r="L109" i="11"/>
  <c r="H109" i="11"/>
  <c r="G109" i="11"/>
  <c r="F109" i="11"/>
  <c r="E109" i="11"/>
  <c r="L108" i="11"/>
  <c r="H108" i="11"/>
  <c r="G108" i="11"/>
  <c r="F108" i="11"/>
  <c r="E108" i="11"/>
  <c r="L107" i="11"/>
  <c r="H107" i="11"/>
  <c r="L106" i="11"/>
  <c r="H106" i="11"/>
  <c r="G106" i="11"/>
  <c r="F106" i="11"/>
  <c r="E106" i="11"/>
  <c r="L105" i="11"/>
  <c r="H105" i="11"/>
  <c r="G105" i="11"/>
  <c r="F105" i="11"/>
  <c r="E105" i="11"/>
  <c r="L104" i="11"/>
  <c r="H104" i="11"/>
  <c r="L103" i="11"/>
  <c r="H103" i="11"/>
  <c r="L102" i="11"/>
  <c r="H102" i="11"/>
  <c r="D100" i="11"/>
  <c r="L99" i="11"/>
  <c r="O99" i="11" s="1"/>
  <c r="O100" i="11" s="1"/>
  <c r="H99" i="11"/>
  <c r="H100" i="11" s="1"/>
  <c r="G99" i="11"/>
  <c r="G100" i="11" s="1"/>
  <c r="F99" i="11"/>
  <c r="F100" i="11" s="1"/>
  <c r="E99" i="11"/>
  <c r="E100" i="11" s="1"/>
  <c r="D98" i="11"/>
  <c r="L97" i="11"/>
  <c r="O97" i="11" s="1"/>
  <c r="O98" i="11" s="1"/>
  <c r="H97" i="11"/>
  <c r="K97" i="11" s="1"/>
  <c r="K98" i="11" s="1"/>
  <c r="G97" i="11"/>
  <c r="G98" i="11" s="1"/>
  <c r="F97" i="11"/>
  <c r="F98" i="11" s="1"/>
  <c r="E97" i="11"/>
  <c r="E98" i="11" s="1"/>
  <c r="D96" i="11"/>
  <c r="L95" i="11"/>
  <c r="L96" i="11" s="1"/>
  <c r="H95" i="11"/>
  <c r="K95" i="11" s="1"/>
  <c r="K96" i="11" s="1"/>
  <c r="G95" i="11"/>
  <c r="G96" i="11" s="1"/>
  <c r="F95" i="11"/>
  <c r="F96" i="11" s="1"/>
  <c r="E95" i="11"/>
  <c r="E96" i="11" s="1"/>
  <c r="D94" i="11"/>
  <c r="L93" i="11"/>
  <c r="O93" i="11" s="1"/>
  <c r="O94" i="11" s="1"/>
  <c r="H93" i="11"/>
  <c r="J93" i="11" s="1"/>
  <c r="J94" i="11" s="1"/>
  <c r="G93" i="11"/>
  <c r="G94" i="11" s="1"/>
  <c r="F93" i="11"/>
  <c r="F94" i="11" s="1"/>
  <c r="E93" i="11"/>
  <c r="E94" i="11" s="1"/>
  <c r="L92" i="11"/>
  <c r="H92" i="11"/>
  <c r="G92" i="11"/>
  <c r="F92" i="11"/>
  <c r="E92" i="11"/>
  <c r="D91" i="11"/>
  <c r="L90" i="11"/>
  <c r="N90" i="11" s="1"/>
  <c r="N91" i="11" s="1"/>
  <c r="H90" i="11"/>
  <c r="H91" i="11" s="1"/>
  <c r="G90" i="11"/>
  <c r="G91" i="11" s="1"/>
  <c r="F90" i="11"/>
  <c r="F91" i="11" s="1"/>
  <c r="E90" i="11"/>
  <c r="E91" i="11" s="1"/>
  <c r="L89" i="11"/>
  <c r="H89" i="11"/>
  <c r="G89" i="11"/>
  <c r="F89" i="11"/>
  <c r="E89" i="11"/>
  <c r="L88" i="11"/>
  <c r="H88" i="11"/>
  <c r="G88" i="11"/>
  <c r="F88" i="11"/>
  <c r="E88" i="11"/>
  <c r="L87" i="11"/>
  <c r="H87" i="11"/>
  <c r="D86" i="11"/>
  <c r="L85" i="11"/>
  <c r="O85" i="11" s="1"/>
  <c r="O86" i="11" s="1"/>
  <c r="H85" i="11"/>
  <c r="I85" i="11" s="1"/>
  <c r="I86" i="11" s="1"/>
  <c r="G85" i="11"/>
  <c r="G86" i="11" s="1"/>
  <c r="F85" i="11"/>
  <c r="F86" i="11" s="1"/>
  <c r="E85" i="11"/>
  <c r="E86" i="11" s="1"/>
  <c r="L84" i="11"/>
  <c r="H84" i="11"/>
  <c r="L83" i="11"/>
  <c r="H83" i="11"/>
  <c r="L82" i="11"/>
  <c r="H82" i="11"/>
  <c r="L81" i="11"/>
  <c r="H81" i="11"/>
  <c r="L80" i="11"/>
  <c r="H80" i="11"/>
  <c r="L79" i="11"/>
  <c r="H79" i="11"/>
  <c r="L78" i="11"/>
  <c r="H78" i="11"/>
  <c r="L76" i="11"/>
  <c r="H76" i="11"/>
  <c r="D75" i="11"/>
  <c r="L74" i="11"/>
  <c r="L75" i="11" s="1"/>
  <c r="H74" i="11"/>
  <c r="J74" i="11" s="1"/>
  <c r="J75" i="11" s="1"/>
  <c r="G74" i="11"/>
  <c r="G75" i="11" s="1"/>
  <c r="F74" i="11"/>
  <c r="F75" i="11" s="1"/>
  <c r="E74" i="11"/>
  <c r="E75" i="11" s="1"/>
  <c r="D73" i="11"/>
  <c r="L72" i="11"/>
  <c r="O72" i="11" s="1"/>
  <c r="O73" i="11" s="1"/>
  <c r="H72" i="11"/>
  <c r="I72" i="11" s="1"/>
  <c r="I73" i="11" s="1"/>
  <c r="G72" i="11"/>
  <c r="G73" i="11" s="1"/>
  <c r="F72" i="11"/>
  <c r="F73" i="11" s="1"/>
  <c r="E72" i="11"/>
  <c r="E73" i="11" s="1"/>
  <c r="D71" i="11"/>
  <c r="L70" i="11"/>
  <c r="N70" i="11" s="1"/>
  <c r="N71" i="11" s="1"/>
  <c r="H70" i="11"/>
  <c r="H71" i="11" s="1"/>
  <c r="G70" i="11"/>
  <c r="G71" i="11" s="1"/>
  <c r="F70" i="11"/>
  <c r="F71" i="11" s="1"/>
  <c r="E70" i="11"/>
  <c r="E71" i="11" s="1"/>
  <c r="L69" i="11"/>
  <c r="H69" i="11"/>
  <c r="K68" i="11"/>
  <c r="D68" i="11"/>
  <c r="L67" i="11"/>
  <c r="O67" i="11" s="1"/>
  <c r="O68" i="11" s="1"/>
  <c r="K67" i="11"/>
  <c r="H67" i="11"/>
  <c r="I67" i="11" s="1"/>
  <c r="I68" i="11" s="1"/>
  <c r="G67" i="11"/>
  <c r="G68" i="11" s="1"/>
  <c r="F67" i="11"/>
  <c r="F68" i="11" s="1"/>
  <c r="E67" i="11"/>
  <c r="E68" i="11" s="1"/>
  <c r="D66" i="11"/>
  <c r="L65" i="11"/>
  <c r="N65" i="11" s="1"/>
  <c r="N66" i="11" s="1"/>
  <c r="H65" i="11"/>
  <c r="H66" i="11" s="1"/>
  <c r="G65" i="11"/>
  <c r="G66" i="11" s="1"/>
  <c r="F65" i="11"/>
  <c r="F66" i="11" s="1"/>
  <c r="E65" i="11"/>
  <c r="E66" i="11" s="1"/>
  <c r="D64" i="11"/>
  <c r="L63" i="11"/>
  <c r="O63" i="11" s="1"/>
  <c r="O64" i="11" s="1"/>
  <c r="H63" i="11"/>
  <c r="I63" i="11" s="1"/>
  <c r="I64" i="11" s="1"/>
  <c r="G63" i="11"/>
  <c r="G64" i="11" s="1"/>
  <c r="F63" i="11"/>
  <c r="F64" i="11" s="1"/>
  <c r="E63" i="11"/>
  <c r="E64" i="11" s="1"/>
  <c r="L62" i="11"/>
  <c r="H62" i="11"/>
  <c r="D61" i="11"/>
  <c r="L60" i="11"/>
  <c r="N60" i="11" s="1"/>
  <c r="N61" i="11" s="1"/>
  <c r="H60" i="11"/>
  <c r="H61" i="11" s="1"/>
  <c r="G60" i="11"/>
  <c r="G61" i="11" s="1"/>
  <c r="F60" i="11"/>
  <c r="F61" i="11" s="1"/>
  <c r="E60" i="11"/>
  <c r="E61" i="11" s="1"/>
  <c r="D59" i="11"/>
  <c r="L58" i="11"/>
  <c r="O58" i="11" s="1"/>
  <c r="O59" i="11" s="1"/>
  <c r="H58" i="11"/>
  <c r="I58" i="11" s="1"/>
  <c r="I59" i="11" s="1"/>
  <c r="G58" i="11"/>
  <c r="G59" i="11" s="1"/>
  <c r="F58" i="11"/>
  <c r="F59" i="11" s="1"/>
  <c r="E58" i="11"/>
  <c r="E59" i="11" s="1"/>
  <c r="L57" i="11"/>
  <c r="H57" i="11"/>
  <c r="G57" i="11"/>
  <c r="F57" i="11"/>
  <c r="E57" i="11"/>
  <c r="L56" i="11"/>
  <c r="H56" i="11"/>
  <c r="G56" i="11"/>
  <c r="F56" i="11"/>
  <c r="E56" i="11"/>
  <c r="L55" i="11"/>
  <c r="H55" i="11"/>
  <c r="G55" i="11"/>
  <c r="F55" i="11"/>
  <c r="E55" i="11"/>
  <c r="L54" i="11"/>
  <c r="H54" i="11"/>
  <c r="G54" i="11"/>
  <c r="F54" i="11"/>
  <c r="E54" i="11"/>
  <c r="D53" i="11"/>
  <c r="L52" i="11"/>
  <c r="N52" i="11" s="1"/>
  <c r="N53" i="11" s="1"/>
  <c r="H52" i="11"/>
  <c r="K52" i="11" s="1"/>
  <c r="K53" i="11" s="1"/>
  <c r="G52" i="11"/>
  <c r="G53" i="11" s="1"/>
  <c r="F52" i="11"/>
  <c r="F53" i="11" s="1"/>
  <c r="E52" i="11"/>
  <c r="E53" i="11" s="1"/>
  <c r="L51" i="11"/>
  <c r="H51" i="11"/>
  <c r="L50" i="11"/>
  <c r="H50" i="11"/>
  <c r="L49" i="11"/>
  <c r="H49" i="11"/>
  <c r="L48" i="11"/>
  <c r="H48" i="11"/>
  <c r="L46" i="11"/>
  <c r="H46" i="11"/>
  <c r="G46" i="11"/>
  <c r="F46" i="11"/>
  <c r="E46" i="11"/>
  <c r="L45" i="11"/>
  <c r="H45" i="11"/>
  <c r="G45" i="11"/>
  <c r="F45" i="11"/>
  <c r="E45" i="11"/>
  <c r="D44" i="11"/>
  <c r="L43" i="11"/>
  <c r="O43" i="11" s="1"/>
  <c r="O44" i="11" s="1"/>
  <c r="H43" i="11"/>
  <c r="K43" i="11" s="1"/>
  <c r="K44" i="11" s="1"/>
  <c r="G43" i="11"/>
  <c r="G44" i="11" s="1"/>
  <c r="F43" i="11"/>
  <c r="F44" i="11" s="1"/>
  <c r="E43" i="11"/>
  <c r="E44" i="11" s="1"/>
  <c r="L42" i="11"/>
  <c r="H42" i="11"/>
  <c r="L41" i="11"/>
  <c r="H41" i="11"/>
  <c r="L40" i="11"/>
  <c r="H40" i="11"/>
  <c r="D39" i="11"/>
  <c r="L38" i="11"/>
  <c r="L39" i="11" s="1"/>
  <c r="H38" i="11"/>
  <c r="K38" i="11" s="1"/>
  <c r="K39" i="11" s="1"/>
  <c r="G38" i="11"/>
  <c r="G39" i="11" s="1"/>
  <c r="F38" i="11"/>
  <c r="F39" i="11" s="1"/>
  <c r="E38" i="11"/>
  <c r="E39" i="11" s="1"/>
  <c r="D37" i="11"/>
  <c r="L36" i="11"/>
  <c r="L37" i="11" s="1"/>
  <c r="H36" i="11"/>
  <c r="K36" i="11" s="1"/>
  <c r="K37" i="11" s="1"/>
  <c r="G36" i="11"/>
  <c r="G37" i="11" s="1"/>
  <c r="F36" i="11"/>
  <c r="F37" i="11" s="1"/>
  <c r="E36" i="11"/>
  <c r="E37" i="11" s="1"/>
  <c r="L35" i="11"/>
  <c r="H35" i="11"/>
  <c r="L34" i="11"/>
  <c r="H34" i="11"/>
  <c r="L33" i="11"/>
  <c r="H33" i="11"/>
  <c r="L31" i="11"/>
  <c r="H31" i="11"/>
  <c r="L30" i="11"/>
  <c r="H30" i="11"/>
  <c r="D29" i="11"/>
  <c r="O28" i="11"/>
  <c r="O29" i="11" s="1"/>
  <c r="L28" i="11"/>
  <c r="N28" i="11" s="1"/>
  <c r="N29" i="11" s="1"/>
  <c r="J28" i="11"/>
  <c r="J29" i="11" s="1"/>
  <c r="H28" i="11"/>
  <c r="H29" i="11" s="1"/>
  <c r="G28" i="11"/>
  <c r="G29" i="11" s="1"/>
  <c r="F28" i="11"/>
  <c r="F29" i="11" s="1"/>
  <c r="E28" i="11"/>
  <c r="E29" i="11" s="1"/>
  <c r="L27" i="11"/>
  <c r="H27" i="11"/>
  <c r="L26" i="11"/>
  <c r="H26" i="11"/>
  <c r="L25" i="11"/>
  <c r="H25" i="11"/>
  <c r="L24" i="11"/>
  <c r="H24" i="11"/>
  <c r="L23" i="11"/>
  <c r="H23" i="11"/>
  <c r="L22" i="11"/>
  <c r="H22" i="11"/>
  <c r="L21" i="11"/>
  <c r="H21" i="11"/>
  <c r="L20" i="11"/>
  <c r="H20" i="11"/>
  <c r="L19" i="11"/>
  <c r="H19" i="11"/>
  <c r="L18" i="11"/>
  <c r="H18" i="11"/>
  <c r="D16" i="11"/>
  <c r="L15" i="11"/>
  <c r="O15" i="11" s="1"/>
  <c r="O16" i="11" s="1"/>
  <c r="J15" i="11"/>
  <c r="J16" i="11" s="1"/>
  <c r="H15" i="11"/>
  <c r="K15" i="11" s="1"/>
  <c r="K16" i="11" s="1"/>
  <c r="G15" i="11"/>
  <c r="G16" i="11" s="1"/>
  <c r="F15" i="11"/>
  <c r="F16" i="11" s="1"/>
  <c r="E15" i="11"/>
  <c r="E16" i="11" s="1"/>
  <c r="D14" i="11"/>
  <c r="O13" i="11"/>
  <c r="O14" i="11" s="1"/>
  <c r="L13" i="11"/>
  <c r="N13" i="11" s="1"/>
  <c r="N14" i="11" s="1"/>
  <c r="I13" i="11"/>
  <c r="I14" i="11" s="1"/>
  <c r="H13" i="11"/>
  <c r="K13" i="11" s="1"/>
  <c r="K14" i="11" s="1"/>
  <c r="G13" i="11"/>
  <c r="G14" i="11" s="1"/>
  <c r="F13" i="11"/>
  <c r="F14" i="11" s="1"/>
  <c r="E13" i="11"/>
  <c r="E14" i="11" s="1"/>
  <c r="L12" i="11"/>
  <c r="H12" i="11"/>
  <c r="L11" i="11"/>
  <c r="H11" i="11"/>
  <c r="L10" i="11"/>
  <c r="H10" i="11"/>
  <c r="D9" i="11"/>
  <c r="L8" i="11"/>
  <c r="O8" i="11" s="1"/>
  <c r="O9" i="11" s="1"/>
  <c r="H8" i="11"/>
  <c r="H9" i="11" s="1"/>
  <c r="G8" i="11"/>
  <c r="G9" i="11" s="1"/>
  <c r="F8" i="11"/>
  <c r="F9" i="11" s="1"/>
  <c r="E8" i="11"/>
  <c r="E9" i="11" s="1"/>
  <c r="L7" i="11"/>
  <c r="H7" i="11"/>
  <c r="L6" i="11"/>
  <c r="H6" i="11"/>
  <c r="L5" i="11"/>
  <c r="H5" i="11"/>
  <c r="L125" i="5"/>
  <c r="H125" i="5"/>
  <c r="G125" i="5"/>
  <c r="F125" i="5"/>
  <c r="E125" i="5"/>
  <c r="L124" i="5"/>
  <c r="H124" i="5"/>
  <c r="G124" i="5"/>
  <c r="F124" i="5"/>
  <c r="E124" i="5"/>
  <c r="L123" i="5"/>
  <c r="H123" i="5"/>
  <c r="L122" i="5"/>
  <c r="H122" i="5"/>
  <c r="G122" i="5"/>
  <c r="F122" i="5"/>
  <c r="E122" i="5"/>
  <c r="L121" i="5"/>
  <c r="H121" i="5"/>
  <c r="G121" i="5"/>
  <c r="F121" i="5"/>
  <c r="E121" i="5"/>
  <c r="L120" i="5"/>
  <c r="H120" i="5"/>
  <c r="G120" i="5"/>
  <c r="F120" i="5"/>
  <c r="E120" i="5"/>
  <c r="L119" i="5"/>
  <c r="H119" i="5"/>
  <c r="L118" i="5"/>
  <c r="H118" i="5"/>
  <c r="D116" i="5"/>
  <c r="L115" i="5"/>
  <c r="M115" i="5" s="1"/>
  <c r="M116" i="5" s="1"/>
  <c r="H115" i="5"/>
  <c r="K115" i="5" s="1"/>
  <c r="K116" i="5" s="1"/>
  <c r="G115" i="5"/>
  <c r="G116" i="5" s="1"/>
  <c r="F115" i="5"/>
  <c r="F116" i="5" s="1"/>
  <c r="E115" i="5"/>
  <c r="E116" i="5" s="1"/>
  <c r="D114" i="5"/>
  <c r="L113" i="5"/>
  <c r="O113" i="5" s="1"/>
  <c r="O114" i="5" s="1"/>
  <c r="H113" i="5"/>
  <c r="H114" i="5" s="1"/>
  <c r="G113" i="5"/>
  <c r="G114" i="5" s="1"/>
  <c r="F113" i="5"/>
  <c r="F114" i="5" s="1"/>
  <c r="E113" i="5"/>
  <c r="E114" i="5" s="1"/>
  <c r="D112" i="5"/>
  <c r="O111" i="5"/>
  <c r="O112" i="5" s="1"/>
  <c r="L111" i="5"/>
  <c r="N111" i="5" s="1"/>
  <c r="N112" i="5" s="1"/>
  <c r="H111" i="5"/>
  <c r="J111" i="5" s="1"/>
  <c r="J112" i="5" s="1"/>
  <c r="G111" i="5"/>
  <c r="G112" i="5" s="1"/>
  <c r="F111" i="5"/>
  <c r="F112" i="5" s="1"/>
  <c r="E111" i="5"/>
  <c r="E112" i="5" s="1"/>
  <c r="D110" i="5"/>
  <c r="L109" i="5"/>
  <c r="L110" i="5" s="1"/>
  <c r="H109" i="5"/>
  <c r="I109" i="5" s="1"/>
  <c r="I110" i="5" s="1"/>
  <c r="G109" i="5"/>
  <c r="G110" i="5" s="1"/>
  <c r="F109" i="5"/>
  <c r="F110" i="5" s="1"/>
  <c r="E109" i="5"/>
  <c r="E110" i="5" s="1"/>
  <c r="L108" i="5"/>
  <c r="H108" i="5"/>
  <c r="G108" i="5"/>
  <c r="F108" i="5"/>
  <c r="E108" i="5"/>
  <c r="D107" i="5"/>
  <c r="L106" i="5"/>
  <c r="M106" i="5" s="1"/>
  <c r="M107" i="5" s="1"/>
  <c r="H106" i="5"/>
  <c r="K106" i="5" s="1"/>
  <c r="K107" i="5" s="1"/>
  <c r="G106" i="5"/>
  <c r="G107" i="5" s="1"/>
  <c r="F106" i="5"/>
  <c r="F107" i="5" s="1"/>
  <c r="E106" i="5"/>
  <c r="E107" i="5" s="1"/>
  <c r="L105" i="5"/>
  <c r="H105" i="5"/>
  <c r="G105" i="5"/>
  <c r="F105" i="5"/>
  <c r="E105" i="5"/>
  <c r="L104" i="5"/>
  <c r="H104" i="5"/>
  <c r="G104" i="5"/>
  <c r="F104" i="5"/>
  <c r="E104" i="5"/>
  <c r="L103" i="5"/>
  <c r="H103" i="5"/>
  <c r="D102" i="5"/>
  <c r="L101" i="5"/>
  <c r="L102" i="5" s="1"/>
  <c r="H101" i="5"/>
  <c r="J101" i="5" s="1"/>
  <c r="J102" i="5" s="1"/>
  <c r="G101" i="5"/>
  <c r="G102" i="5" s="1"/>
  <c r="F101" i="5"/>
  <c r="F102" i="5" s="1"/>
  <c r="E101" i="5"/>
  <c r="E102" i="5" s="1"/>
  <c r="L100" i="5"/>
  <c r="H100" i="5"/>
  <c r="L99" i="5"/>
  <c r="H99" i="5"/>
  <c r="G99" i="5"/>
  <c r="F99" i="5"/>
  <c r="E99" i="5"/>
  <c r="L98" i="5"/>
  <c r="H98" i="5"/>
  <c r="L97" i="5"/>
  <c r="H97" i="5"/>
  <c r="G97" i="5"/>
  <c r="F97" i="5"/>
  <c r="E97" i="5"/>
  <c r="L96" i="5"/>
  <c r="H96" i="5"/>
  <c r="G96" i="5"/>
  <c r="F96" i="5"/>
  <c r="E96" i="5"/>
  <c r="L95" i="5"/>
  <c r="H95" i="5"/>
  <c r="G95" i="5"/>
  <c r="F95" i="5"/>
  <c r="E95" i="5"/>
  <c r="L94" i="5"/>
  <c r="H94" i="5"/>
  <c r="L93" i="5"/>
  <c r="H93" i="5"/>
  <c r="D91" i="5"/>
  <c r="L90" i="5"/>
  <c r="O90" i="5" s="1"/>
  <c r="O91" i="5" s="1"/>
  <c r="H90" i="5"/>
  <c r="G90" i="5"/>
  <c r="G91" i="5" s="1"/>
  <c r="F90" i="5"/>
  <c r="F91" i="5" s="1"/>
  <c r="E90" i="5"/>
  <c r="E91" i="5" s="1"/>
  <c r="D89" i="5"/>
  <c r="L88" i="5"/>
  <c r="N88" i="5" s="1"/>
  <c r="N89" i="5" s="1"/>
  <c r="J88" i="5"/>
  <c r="J89" i="5" s="1"/>
  <c r="H88" i="5"/>
  <c r="H89" i="5" s="1"/>
  <c r="G88" i="5"/>
  <c r="G89" i="5" s="1"/>
  <c r="F88" i="5"/>
  <c r="F89" i="5" s="1"/>
  <c r="E88" i="5"/>
  <c r="E89" i="5" s="1"/>
  <c r="D87" i="5"/>
  <c r="L86" i="5"/>
  <c r="L87" i="5" s="1"/>
  <c r="H86" i="5"/>
  <c r="K86" i="5" s="1"/>
  <c r="K87" i="5" s="1"/>
  <c r="G86" i="5"/>
  <c r="G87" i="5" s="1"/>
  <c r="F86" i="5"/>
  <c r="F87" i="5" s="1"/>
  <c r="E86" i="5"/>
  <c r="E87" i="5" s="1"/>
  <c r="L85" i="5"/>
  <c r="H85" i="5"/>
  <c r="D84" i="5"/>
  <c r="L83" i="5"/>
  <c r="N83" i="5" s="1"/>
  <c r="N84" i="5" s="1"/>
  <c r="H83" i="5"/>
  <c r="H84" i="5" s="1"/>
  <c r="G83" i="5"/>
  <c r="G84" i="5" s="1"/>
  <c r="F83" i="5"/>
  <c r="F84" i="5" s="1"/>
  <c r="E83" i="5"/>
  <c r="E84" i="5" s="1"/>
  <c r="D82" i="5"/>
  <c r="L81" i="5"/>
  <c r="H81" i="5"/>
  <c r="G81" i="5"/>
  <c r="G82" i="5" s="1"/>
  <c r="F81" i="5"/>
  <c r="F82" i="5" s="1"/>
  <c r="E81" i="5"/>
  <c r="E82" i="5" s="1"/>
  <c r="D80" i="5"/>
  <c r="L79" i="5"/>
  <c r="L80" i="5" s="1"/>
  <c r="H79" i="5"/>
  <c r="J79" i="5" s="1"/>
  <c r="J80" i="5" s="1"/>
  <c r="G79" i="5"/>
  <c r="G80" i="5" s="1"/>
  <c r="F79" i="5"/>
  <c r="F80" i="5" s="1"/>
  <c r="E79" i="5"/>
  <c r="E80" i="5" s="1"/>
  <c r="L78" i="5"/>
  <c r="H78" i="5"/>
  <c r="D77" i="5"/>
  <c r="L76" i="5"/>
  <c r="N76" i="5" s="1"/>
  <c r="N77" i="5" s="1"/>
  <c r="H76" i="5"/>
  <c r="H77" i="5" s="1"/>
  <c r="G76" i="5"/>
  <c r="G77" i="5" s="1"/>
  <c r="F76" i="5"/>
  <c r="F77" i="5" s="1"/>
  <c r="E76" i="5"/>
  <c r="E77" i="5" s="1"/>
  <c r="D75" i="5"/>
  <c r="L74" i="5"/>
  <c r="L75" i="5" s="1"/>
  <c r="H74" i="5"/>
  <c r="J74" i="5" s="1"/>
  <c r="J75" i="5" s="1"/>
  <c r="G74" i="5"/>
  <c r="G75" i="5" s="1"/>
  <c r="F74" i="5"/>
  <c r="F75" i="5" s="1"/>
  <c r="E74" i="5"/>
  <c r="E75" i="5" s="1"/>
  <c r="L73" i="5"/>
  <c r="H73" i="5"/>
  <c r="G73" i="5"/>
  <c r="F73" i="5"/>
  <c r="E73" i="5"/>
  <c r="L72" i="5"/>
  <c r="H72" i="5"/>
  <c r="G72" i="5"/>
  <c r="F72" i="5"/>
  <c r="E72" i="5"/>
  <c r="L71" i="5"/>
  <c r="H71" i="5"/>
  <c r="G71" i="5"/>
  <c r="F71" i="5"/>
  <c r="E71" i="5"/>
  <c r="L70" i="5"/>
  <c r="H70" i="5"/>
  <c r="G70" i="5"/>
  <c r="F70" i="5"/>
  <c r="E70" i="5"/>
  <c r="D69" i="5"/>
  <c r="L68" i="5"/>
  <c r="L69" i="5" s="1"/>
  <c r="H68" i="5"/>
  <c r="H69" i="5" s="1"/>
  <c r="G68" i="5"/>
  <c r="G69" i="5" s="1"/>
  <c r="F68" i="5"/>
  <c r="F69" i="5" s="1"/>
  <c r="E68" i="5"/>
  <c r="E69" i="5" s="1"/>
  <c r="L67" i="5"/>
  <c r="H67" i="5"/>
  <c r="G67" i="5"/>
  <c r="F67" i="5"/>
  <c r="E67" i="5"/>
  <c r="L66" i="5"/>
  <c r="H66" i="5"/>
  <c r="G66" i="5"/>
  <c r="F66" i="5"/>
  <c r="E66" i="5"/>
  <c r="L62" i="5"/>
  <c r="H62" i="5"/>
  <c r="G62" i="5"/>
  <c r="F62" i="5"/>
  <c r="E62" i="5"/>
  <c r="L61" i="5"/>
  <c r="H61" i="5"/>
  <c r="G61" i="5"/>
  <c r="F61" i="5"/>
  <c r="E61" i="5"/>
  <c r="D60" i="5"/>
  <c r="L59" i="5"/>
  <c r="L60" i="5" s="1"/>
  <c r="H59" i="5"/>
  <c r="H60" i="5" s="1"/>
  <c r="G59" i="5"/>
  <c r="G60" i="5" s="1"/>
  <c r="F59" i="5"/>
  <c r="F60" i="5" s="1"/>
  <c r="E59" i="5"/>
  <c r="E60" i="5" s="1"/>
  <c r="O58" i="5"/>
  <c r="N58" i="5"/>
  <c r="M58" i="5"/>
  <c r="K58" i="5"/>
  <c r="J58" i="5"/>
  <c r="I58" i="5"/>
  <c r="G58" i="5"/>
  <c r="F58" i="5"/>
  <c r="E58" i="5"/>
  <c r="O57" i="5"/>
  <c r="N57" i="5"/>
  <c r="M57" i="5"/>
  <c r="K57" i="5"/>
  <c r="J57" i="5"/>
  <c r="I57" i="5"/>
  <c r="G57" i="5"/>
  <c r="F57" i="5"/>
  <c r="E57" i="5"/>
  <c r="O56" i="5"/>
  <c r="N56" i="5"/>
  <c r="M56" i="5"/>
  <c r="H56" i="5"/>
  <c r="J56" i="5" s="1"/>
  <c r="G56" i="5"/>
  <c r="F56" i="5"/>
  <c r="E56" i="5"/>
  <c r="D55" i="5"/>
  <c r="L54" i="5"/>
  <c r="L55" i="5" s="1"/>
  <c r="H54" i="5"/>
  <c r="I54" i="5" s="1"/>
  <c r="I55" i="5" s="1"/>
  <c r="G54" i="5"/>
  <c r="G55" i="5" s="1"/>
  <c r="F54" i="5"/>
  <c r="F55" i="5" s="1"/>
  <c r="E54" i="5"/>
  <c r="E55" i="5" s="1"/>
  <c r="D53" i="5"/>
  <c r="L52" i="5"/>
  <c r="N52" i="5" s="1"/>
  <c r="N53" i="5" s="1"/>
  <c r="J52" i="5"/>
  <c r="J53" i="5" s="1"/>
  <c r="H52" i="5"/>
  <c r="H53" i="5" s="1"/>
  <c r="G52" i="5"/>
  <c r="G53" i="5" s="1"/>
  <c r="F52" i="5"/>
  <c r="F53" i="5" s="1"/>
  <c r="E52" i="5"/>
  <c r="E53" i="5" s="1"/>
  <c r="L51" i="5"/>
  <c r="H51" i="5"/>
  <c r="G51" i="5"/>
  <c r="F51" i="5"/>
  <c r="E51" i="5"/>
  <c r="L50" i="5"/>
  <c r="H50" i="5"/>
  <c r="G50" i="5"/>
  <c r="F50" i="5"/>
  <c r="E50" i="5"/>
  <c r="L49" i="5"/>
  <c r="H49" i="5"/>
  <c r="L48" i="5"/>
  <c r="H48" i="5"/>
  <c r="G48" i="5"/>
  <c r="F48" i="5"/>
  <c r="E48" i="5"/>
  <c r="L47" i="5"/>
  <c r="H47" i="5"/>
  <c r="L46" i="5"/>
  <c r="H46" i="5"/>
  <c r="L45" i="5"/>
  <c r="H45" i="5"/>
  <c r="D44" i="5"/>
  <c r="L43" i="5"/>
  <c r="L44" i="5" s="1"/>
  <c r="H43" i="5"/>
  <c r="H44" i="5" s="1"/>
  <c r="G43" i="5"/>
  <c r="G44" i="5" s="1"/>
  <c r="F43" i="5"/>
  <c r="F44" i="5" s="1"/>
  <c r="E43" i="5"/>
  <c r="E44" i="5" s="1"/>
  <c r="L42" i="5"/>
  <c r="H42" i="5"/>
  <c r="G42" i="5"/>
  <c r="F42" i="5"/>
  <c r="E42" i="5"/>
  <c r="L41" i="5"/>
  <c r="H41" i="5"/>
  <c r="G41" i="5"/>
  <c r="F41" i="5"/>
  <c r="E41" i="5"/>
  <c r="L40" i="5"/>
  <c r="H40" i="5"/>
  <c r="L39" i="5"/>
  <c r="H39" i="5"/>
  <c r="L38" i="5"/>
  <c r="H38" i="5"/>
  <c r="G38" i="5"/>
  <c r="F38" i="5"/>
  <c r="E38" i="5"/>
  <c r="L37" i="5"/>
  <c r="H37" i="5"/>
  <c r="G37" i="5"/>
  <c r="F37" i="5"/>
  <c r="E37" i="5"/>
  <c r="L36" i="5"/>
  <c r="H36" i="5"/>
  <c r="G36" i="5"/>
  <c r="F36" i="5"/>
  <c r="E36" i="5"/>
  <c r="L35" i="5"/>
  <c r="H35" i="5"/>
  <c r="G35" i="5"/>
  <c r="F35" i="5"/>
  <c r="E35" i="5"/>
  <c r="L34" i="5"/>
  <c r="H34" i="5"/>
  <c r="G34" i="5"/>
  <c r="F34" i="5"/>
  <c r="E34" i="5"/>
  <c r="L33" i="5"/>
  <c r="H33" i="5"/>
  <c r="D31" i="5"/>
  <c r="L30" i="5"/>
  <c r="L31" i="5" s="1"/>
  <c r="H30" i="5"/>
  <c r="J30" i="5" s="1"/>
  <c r="J31" i="5" s="1"/>
  <c r="G30" i="5"/>
  <c r="G31" i="5" s="1"/>
  <c r="F30" i="5"/>
  <c r="F31" i="5" s="1"/>
  <c r="E30" i="5"/>
  <c r="E31" i="5" s="1"/>
  <c r="D29" i="5"/>
  <c r="L28" i="5"/>
  <c r="L29" i="5" s="1"/>
  <c r="H28" i="5"/>
  <c r="I28" i="5" s="1"/>
  <c r="I29" i="5" s="1"/>
  <c r="G28" i="5"/>
  <c r="G29" i="5" s="1"/>
  <c r="F28" i="5"/>
  <c r="F29" i="5" s="1"/>
  <c r="E28" i="5"/>
  <c r="E29" i="5" s="1"/>
  <c r="L27" i="5"/>
  <c r="H27" i="5"/>
  <c r="G27" i="5"/>
  <c r="F27" i="5"/>
  <c r="E27" i="5"/>
  <c r="L26" i="5"/>
  <c r="H26" i="5"/>
  <c r="L25" i="5"/>
  <c r="H25" i="5"/>
  <c r="G25" i="5"/>
  <c r="F25" i="5"/>
  <c r="E25" i="5"/>
  <c r="L24" i="5"/>
  <c r="H24" i="5"/>
  <c r="D23" i="5"/>
  <c r="L22" i="5"/>
  <c r="L23" i="5" s="1"/>
  <c r="H22" i="5"/>
  <c r="J22" i="5" s="1"/>
  <c r="J23" i="5" s="1"/>
  <c r="G22" i="5"/>
  <c r="G23" i="5" s="1"/>
  <c r="F22" i="5"/>
  <c r="F23" i="5" s="1"/>
  <c r="E22" i="5"/>
  <c r="E23" i="5" s="1"/>
  <c r="D21" i="5"/>
  <c r="L20" i="5"/>
  <c r="L21" i="5" s="1"/>
  <c r="H20" i="5"/>
  <c r="I20" i="5" s="1"/>
  <c r="I21" i="5" s="1"/>
  <c r="G20" i="5"/>
  <c r="G21" i="5" s="1"/>
  <c r="F20" i="5"/>
  <c r="F21" i="5" s="1"/>
  <c r="E20" i="5"/>
  <c r="E21" i="5" s="1"/>
  <c r="L19" i="5"/>
  <c r="H19" i="5"/>
  <c r="D18" i="5"/>
  <c r="L17" i="5"/>
  <c r="M17" i="5" s="1"/>
  <c r="M18" i="5" s="1"/>
  <c r="H17" i="5"/>
  <c r="G17" i="5"/>
  <c r="G18" i="5" s="1"/>
  <c r="F17" i="5"/>
  <c r="F18" i="5" s="1"/>
  <c r="E17" i="5"/>
  <c r="E18" i="5" s="1"/>
  <c r="D15" i="5"/>
  <c r="L14" i="5"/>
  <c r="L15" i="5" s="1"/>
  <c r="H14" i="5"/>
  <c r="H15" i="5" s="1"/>
  <c r="G14" i="5"/>
  <c r="G15" i="5" s="1"/>
  <c r="F14" i="5"/>
  <c r="F15" i="5" s="1"/>
  <c r="E14" i="5"/>
  <c r="E15" i="5" s="1"/>
  <c r="D13" i="5"/>
  <c r="L12" i="5"/>
  <c r="L13" i="5" s="1"/>
  <c r="H12" i="5"/>
  <c r="H13" i="5" s="1"/>
  <c r="G12" i="5"/>
  <c r="G13" i="5" s="1"/>
  <c r="F12" i="5"/>
  <c r="F13" i="5" s="1"/>
  <c r="E12" i="5"/>
  <c r="E13" i="5" s="1"/>
  <c r="L11" i="5"/>
  <c r="H11" i="5"/>
  <c r="L10" i="5"/>
  <c r="H10" i="5"/>
  <c r="L9" i="5"/>
  <c r="H9" i="5"/>
  <c r="D8" i="5"/>
  <c r="L7" i="5"/>
  <c r="L8" i="5" s="1"/>
  <c r="H7" i="5"/>
  <c r="J7" i="5" s="1"/>
  <c r="J8" i="5" s="1"/>
  <c r="G7" i="5"/>
  <c r="G8" i="5" s="1"/>
  <c r="F7" i="5"/>
  <c r="F8" i="5" s="1"/>
  <c r="E7" i="5"/>
  <c r="E8" i="5" s="1"/>
  <c r="L6" i="5"/>
  <c r="H6" i="5"/>
  <c r="L5" i="5"/>
  <c r="H5" i="5"/>
  <c r="N99" i="11" l="1"/>
  <c r="N100" i="11" s="1"/>
  <c r="M38" i="11"/>
  <c r="M39" i="11" s="1"/>
  <c r="K72" i="11"/>
  <c r="K73" i="11" s="1"/>
  <c r="I90" i="11"/>
  <c r="I91" i="11" s="1"/>
  <c r="N43" i="11"/>
  <c r="N44" i="11" s="1"/>
  <c r="H44" i="11"/>
  <c r="N63" i="11"/>
  <c r="N64" i="11" s="1"/>
  <c r="J67" i="11"/>
  <c r="J68" i="11" s="1"/>
  <c r="K74" i="11"/>
  <c r="K75" i="11" s="1"/>
  <c r="I52" i="11"/>
  <c r="I53" i="11" s="1"/>
  <c r="I60" i="11"/>
  <c r="I61" i="11" s="1"/>
  <c r="O65" i="11"/>
  <c r="O66" i="11" s="1"/>
  <c r="O90" i="11"/>
  <c r="O91" i="11" s="1"/>
  <c r="K93" i="11"/>
  <c r="K94" i="11" s="1"/>
  <c r="H58" i="7"/>
  <c r="J60" i="11"/>
  <c r="J61" i="11" s="1"/>
  <c r="O52" i="11"/>
  <c r="O53" i="11" s="1"/>
  <c r="K60" i="11"/>
  <c r="K61" i="11" s="1"/>
  <c r="N85" i="11"/>
  <c r="N86" i="11" s="1"/>
  <c r="M37" i="7"/>
  <c r="M38" i="7" s="1"/>
  <c r="K65" i="7"/>
  <c r="K66" i="7" s="1"/>
  <c r="N37" i="7"/>
  <c r="N38" i="7" s="1"/>
  <c r="N8" i="11"/>
  <c r="N9" i="11" s="1"/>
  <c r="I28" i="11"/>
  <c r="I29" i="11" s="1"/>
  <c r="O60" i="11"/>
  <c r="O61" i="11" s="1"/>
  <c r="J72" i="11"/>
  <c r="J73" i="11" s="1"/>
  <c r="M97" i="11"/>
  <c r="M98" i="11" s="1"/>
  <c r="N30" i="7"/>
  <c r="N31" i="7" s="1"/>
  <c r="O37" i="7"/>
  <c r="O38" i="7" s="1"/>
  <c r="K28" i="11"/>
  <c r="K29" i="11" s="1"/>
  <c r="N58" i="11"/>
  <c r="N59" i="11" s="1"/>
  <c r="I70" i="11"/>
  <c r="I71" i="11" s="1"/>
  <c r="O14" i="7"/>
  <c r="O15" i="7" s="1"/>
  <c r="M69" i="7"/>
  <c r="M70" i="7" s="1"/>
  <c r="J70" i="11"/>
  <c r="J71" i="11" s="1"/>
  <c r="I65" i="11"/>
  <c r="I66" i="11" s="1"/>
  <c r="K70" i="11"/>
  <c r="K71" i="11" s="1"/>
  <c r="M12" i="7"/>
  <c r="M13" i="7" s="1"/>
  <c r="M60" i="7"/>
  <c r="M61" i="7" s="1"/>
  <c r="N38" i="11"/>
  <c r="N39" i="11" s="1"/>
  <c r="J65" i="11"/>
  <c r="J66" i="11" s="1"/>
  <c r="J90" i="11"/>
  <c r="J91" i="11" s="1"/>
  <c r="N12" i="7"/>
  <c r="N13" i="7" s="1"/>
  <c r="N57" i="7"/>
  <c r="N58" i="7" s="1"/>
  <c r="N60" i="7"/>
  <c r="N61" i="7" s="1"/>
  <c r="O38" i="11"/>
  <c r="O39" i="11" s="1"/>
  <c r="K65" i="11"/>
  <c r="K66" i="11" s="1"/>
  <c r="O70" i="11"/>
  <c r="O71" i="11" s="1"/>
  <c r="K90" i="11"/>
  <c r="K91" i="11" s="1"/>
  <c r="O12" i="7"/>
  <c r="O13" i="7" s="1"/>
  <c r="O57" i="7"/>
  <c r="O58" i="7" s="1"/>
  <c r="O60" i="7"/>
  <c r="O61" i="7" s="1"/>
  <c r="I43" i="11"/>
  <c r="I44" i="11" s="1"/>
  <c r="H70" i="7"/>
  <c r="J43" i="11"/>
  <c r="J44" i="11" s="1"/>
  <c r="J85" i="11"/>
  <c r="J86" i="11" s="1"/>
  <c r="I97" i="11"/>
  <c r="I98" i="11" s="1"/>
  <c r="J99" i="11"/>
  <c r="J100" i="11" s="1"/>
  <c r="M8" i="7"/>
  <c r="M9" i="7" s="1"/>
  <c r="N10" i="7"/>
  <c r="N11" i="7" s="1"/>
  <c r="M42" i="7"/>
  <c r="M43" i="7" s="1"/>
  <c r="I69" i="7"/>
  <c r="I70" i="7" s="1"/>
  <c r="K8" i="11"/>
  <c r="K9" i="11" s="1"/>
  <c r="L29" i="11"/>
  <c r="O36" i="11"/>
  <c r="O37" i="11" s="1"/>
  <c r="K58" i="11"/>
  <c r="K59" i="11" s="1"/>
  <c r="L61" i="11"/>
  <c r="K63" i="11"/>
  <c r="K64" i="11" s="1"/>
  <c r="L66" i="11"/>
  <c r="M67" i="11"/>
  <c r="M68" i="11" s="1"/>
  <c r="L71" i="11"/>
  <c r="M72" i="11"/>
  <c r="M73" i="11" s="1"/>
  <c r="N74" i="11"/>
  <c r="N75" i="11" s="1"/>
  <c r="K85" i="11"/>
  <c r="K86" i="11" s="1"/>
  <c r="L91" i="11"/>
  <c r="H94" i="11"/>
  <c r="I95" i="11"/>
  <c r="I96" i="11" s="1"/>
  <c r="J97" i="11"/>
  <c r="J98" i="11" s="1"/>
  <c r="K99" i="11"/>
  <c r="K100" i="11" s="1"/>
  <c r="N8" i="7"/>
  <c r="N9" i="7" s="1"/>
  <c r="O10" i="7"/>
  <c r="O11" i="7" s="1"/>
  <c r="N42" i="7"/>
  <c r="N43" i="7" s="1"/>
  <c r="L52" i="7"/>
  <c r="H66" i="7"/>
  <c r="I67" i="7"/>
  <c r="I68" i="7" s="1"/>
  <c r="J69" i="7"/>
  <c r="J70" i="7" s="1"/>
  <c r="H98" i="11"/>
  <c r="M10" i="7"/>
  <c r="M11" i="7" s="1"/>
  <c r="L43" i="7"/>
  <c r="O88" i="5"/>
  <c r="O89" i="5" s="1"/>
  <c r="J58" i="11"/>
  <c r="J59" i="11" s="1"/>
  <c r="L68" i="11"/>
  <c r="L73" i="11"/>
  <c r="H68" i="7"/>
  <c r="L9" i="11"/>
  <c r="H16" i="11"/>
  <c r="M28" i="11"/>
  <c r="M29" i="11" s="1"/>
  <c r="L44" i="11"/>
  <c r="L59" i="11"/>
  <c r="M60" i="11"/>
  <c r="M61" i="11" s="1"/>
  <c r="L64" i="11"/>
  <c r="M65" i="11"/>
  <c r="M66" i="11" s="1"/>
  <c r="N67" i="11"/>
  <c r="N68" i="11" s="1"/>
  <c r="M70" i="11"/>
  <c r="M71" i="11" s="1"/>
  <c r="N72" i="11"/>
  <c r="N73" i="11" s="1"/>
  <c r="O74" i="11"/>
  <c r="O75" i="11" s="1"/>
  <c r="L86" i="11"/>
  <c r="M90" i="11"/>
  <c r="M91" i="11" s="1"/>
  <c r="I93" i="11"/>
  <c r="I94" i="11" s="1"/>
  <c r="J95" i="11"/>
  <c r="J96" i="11" s="1"/>
  <c r="L100" i="11"/>
  <c r="O8" i="7"/>
  <c r="O9" i="7" s="1"/>
  <c r="M51" i="7"/>
  <c r="M52" i="7" s="1"/>
  <c r="I65" i="7"/>
  <c r="I66" i="7" s="1"/>
  <c r="J67" i="7"/>
  <c r="J68" i="7" s="1"/>
  <c r="I8" i="11"/>
  <c r="I9" i="11" s="1"/>
  <c r="M36" i="11"/>
  <c r="M37" i="11" s="1"/>
  <c r="I99" i="11"/>
  <c r="I100" i="11" s="1"/>
  <c r="L77" i="5"/>
  <c r="J8" i="11"/>
  <c r="J9" i="11" s="1"/>
  <c r="N36" i="11"/>
  <c r="N37" i="11" s="1"/>
  <c r="J63" i="11"/>
  <c r="J64" i="11" s="1"/>
  <c r="M74" i="11"/>
  <c r="M75" i="11" s="1"/>
  <c r="H96" i="11"/>
  <c r="M8" i="11"/>
  <c r="M9" i="11" s="1"/>
  <c r="H14" i="11"/>
  <c r="I15" i="11"/>
  <c r="I16" i="11" s="1"/>
  <c r="M43" i="11"/>
  <c r="M44" i="11" s="1"/>
  <c r="H53" i="11"/>
  <c r="M58" i="11"/>
  <c r="M59" i="11" s="1"/>
  <c r="M63" i="11"/>
  <c r="M64" i="11" s="1"/>
  <c r="M85" i="11"/>
  <c r="M86" i="11" s="1"/>
  <c r="L98" i="11"/>
  <c r="M99" i="11"/>
  <c r="M100" i="11" s="1"/>
  <c r="L70" i="7"/>
  <c r="H64" i="11"/>
  <c r="H86" i="11"/>
  <c r="M7" i="5"/>
  <c r="M8" i="5" s="1"/>
  <c r="J13" i="11"/>
  <c r="J14" i="11" s="1"/>
  <c r="H39" i="11"/>
  <c r="J52" i="11"/>
  <c r="J53" i="11" s="1"/>
  <c r="L94" i="11"/>
  <c r="M95" i="11"/>
  <c r="M96" i="11" s="1"/>
  <c r="N97" i="11"/>
  <c r="N98" i="11" s="1"/>
  <c r="H13" i="7"/>
  <c r="I14" i="7"/>
  <c r="I15" i="7" s="1"/>
  <c r="H31" i="7"/>
  <c r="H38" i="7"/>
  <c r="I57" i="7"/>
  <c r="I58" i="7" s="1"/>
  <c r="H61" i="7"/>
  <c r="L66" i="7"/>
  <c r="M67" i="7"/>
  <c r="M68" i="7" s="1"/>
  <c r="N69" i="7"/>
  <c r="N70" i="7" s="1"/>
  <c r="H15" i="7"/>
  <c r="L16" i="11"/>
  <c r="H37" i="11"/>
  <c r="I38" i="11"/>
  <c r="I39" i="11" s="1"/>
  <c r="M93" i="11"/>
  <c r="M94" i="11" s="1"/>
  <c r="N95" i="11"/>
  <c r="N96" i="11" s="1"/>
  <c r="H11" i="7"/>
  <c r="I12" i="7"/>
  <c r="I13" i="7" s="1"/>
  <c r="J14" i="7"/>
  <c r="J15" i="7" s="1"/>
  <c r="I30" i="7"/>
  <c r="I31" i="7" s="1"/>
  <c r="I37" i="7"/>
  <c r="I38" i="7" s="1"/>
  <c r="J57" i="7"/>
  <c r="J58" i="7" s="1"/>
  <c r="I60" i="7"/>
  <c r="I61" i="7" s="1"/>
  <c r="M65" i="7"/>
  <c r="M66" i="7" s="1"/>
  <c r="N67" i="7"/>
  <c r="N68" i="7" s="1"/>
  <c r="L14" i="11"/>
  <c r="M15" i="11"/>
  <c r="M16" i="11" s="1"/>
  <c r="I36" i="11"/>
  <c r="I37" i="11" s="1"/>
  <c r="J38" i="11"/>
  <c r="J39" i="11" s="1"/>
  <c r="L53" i="11"/>
  <c r="H75" i="11"/>
  <c r="N93" i="11"/>
  <c r="N94" i="11" s="1"/>
  <c r="O95" i="11"/>
  <c r="O96" i="11" s="1"/>
  <c r="H9" i="7"/>
  <c r="I10" i="7"/>
  <c r="I11" i="7" s="1"/>
  <c r="J12" i="7"/>
  <c r="J13" i="7" s="1"/>
  <c r="J30" i="7"/>
  <c r="J31" i="7" s="1"/>
  <c r="J37" i="7"/>
  <c r="J38" i="7" s="1"/>
  <c r="H43" i="7"/>
  <c r="J60" i="7"/>
  <c r="J61" i="7" s="1"/>
  <c r="N65" i="7"/>
  <c r="N66" i="7" s="1"/>
  <c r="M13" i="11"/>
  <c r="M14" i="11" s="1"/>
  <c r="N15" i="11"/>
  <c r="N16" i="11" s="1"/>
  <c r="J36" i="11"/>
  <c r="J37" i="11" s="1"/>
  <c r="M52" i="11"/>
  <c r="M53" i="11" s="1"/>
  <c r="H68" i="11"/>
  <c r="H73" i="11"/>
  <c r="I74" i="11"/>
  <c r="I75" i="11" s="1"/>
  <c r="I8" i="7"/>
  <c r="I9" i="7" s="1"/>
  <c r="J10" i="7"/>
  <c r="J11" i="7" s="1"/>
  <c r="L15" i="7"/>
  <c r="I42" i="7"/>
  <c r="I43" i="7" s="1"/>
  <c r="L58" i="7"/>
  <c r="H59" i="11"/>
  <c r="I88" i="5"/>
  <c r="I89" i="5" s="1"/>
  <c r="N43" i="5"/>
  <c r="N44" i="5" s="1"/>
  <c r="I43" i="5"/>
  <c r="I44" i="5" s="1"/>
  <c r="I83" i="5"/>
  <c r="I84" i="5" s="1"/>
  <c r="O52" i="5"/>
  <c r="O53" i="5" s="1"/>
  <c r="J83" i="5"/>
  <c r="J84" i="5" s="1"/>
  <c r="K101" i="5"/>
  <c r="K102" i="5" s="1"/>
  <c r="L114" i="5"/>
  <c r="M83" i="5"/>
  <c r="M84" i="5" s="1"/>
  <c r="M90" i="5"/>
  <c r="M91" i="5" s="1"/>
  <c r="M101" i="5"/>
  <c r="M102" i="5" s="1"/>
  <c r="N101" i="5"/>
  <c r="N102" i="5" s="1"/>
  <c r="M14" i="5"/>
  <c r="M15" i="5" s="1"/>
  <c r="M79" i="5"/>
  <c r="M80" i="5" s="1"/>
  <c r="N14" i="5"/>
  <c r="N15" i="5" s="1"/>
  <c r="K30" i="5"/>
  <c r="K31" i="5" s="1"/>
  <c r="I59" i="5"/>
  <c r="I60" i="5" s="1"/>
  <c r="K74" i="5"/>
  <c r="K75" i="5" s="1"/>
  <c r="M88" i="5"/>
  <c r="M89" i="5" s="1"/>
  <c r="N115" i="5"/>
  <c r="N116" i="5" s="1"/>
  <c r="O14" i="5"/>
  <c r="O15" i="5" s="1"/>
  <c r="O43" i="5"/>
  <c r="O44" i="5" s="1"/>
  <c r="J54" i="5"/>
  <c r="J55" i="5" s="1"/>
  <c r="I113" i="5"/>
  <c r="I114" i="5" s="1"/>
  <c r="K22" i="5"/>
  <c r="K23" i="5" s="1"/>
  <c r="J28" i="5"/>
  <c r="J29" i="5" s="1"/>
  <c r="M30" i="5"/>
  <c r="M31" i="5" s="1"/>
  <c r="I52" i="5"/>
  <c r="I53" i="5" s="1"/>
  <c r="K54" i="5"/>
  <c r="K55" i="5" s="1"/>
  <c r="M59" i="5"/>
  <c r="M60" i="5" s="1"/>
  <c r="M74" i="5"/>
  <c r="M75" i="5" s="1"/>
  <c r="K79" i="5"/>
  <c r="K80" i="5" s="1"/>
  <c r="M109" i="5"/>
  <c r="M110" i="5" s="1"/>
  <c r="J113" i="5"/>
  <c r="J114" i="5" s="1"/>
  <c r="K7" i="5"/>
  <c r="K8" i="5" s="1"/>
  <c r="I14" i="5"/>
  <c r="I15" i="5" s="1"/>
  <c r="N17" i="5"/>
  <c r="N18" i="5" s="1"/>
  <c r="J20" i="5"/>
  <c r="J21" i="5" s="1"/>
  <c r="K28" i="5"/>
  <c r="K29" i="5" s="1"/>
  <c r="N59" i="5"/>
  <c r="N60" i="5" s="1"/>
  <c r="N74" i="5"/>
  <c r="N75" i="5" s="1"/>
  <c r="N109" i="5"/>
  <c r="N110" i="5" s="1"/>
  <c r="K113" i="5"/>
  <c r="K114" i="5" s="1"/>
  <c r="O17" i="5"/>
  <c r="O18" i="5" s="1"/>
  <c r="K20" i="5"/>
  <c r="K21" i="5" s="1"/>
  <c r="M22" i="5"/>
  <c r="M23" i="5" s="1"/>
  <c r="K52" i="5"/>
  <c r="K53" i="5" s="1"/>
  <c r="K56" i="5"/>
  <c r="O59" i="5"/>
  <c r="O60" i="5" s="1"/>
  <c r="O109" i="5"/>
  <c r="O110" i="5" s="1"/>
  <c r="I111" i="5"/>
  <c r="I112" i="5" s="1"/>
  <c r="M43" i="5"/>
  <c r="M44" i="5" s="1"/>
  <c r="N79" i="5"/>
  <c r="N80" i="5" s="1"/>
  <c r="O83" i="5"/>
  <c r="O84" i="5" s="1"/>
  <c r="N90" i="5"/>
  <c r="N91" i="5" s="1"/>
  <c r="K111" i="5"/>
  <c r="K112" i="5" s="1"/>
  <c r="I90" i="5"/>
  <c r="I91" i="5" s="1"/>
  <c r="J90" i="5"/>
  <c r="J91" i="5" s="1"/>
  <c r="K90" i="5"/>
  <c r="K91" i="5" s="1"/>
  <c r="M81" i="5"/>
  <c r="M82" i="5" s="1"/>
  <c r="N81" i="5"/>
  <c r="N82" i="5" s="1"/>
  <c r="O81" i="5"/>
  <c r="O82" i="5" s="1"/>
  <c r="M12" i="5"/>
  <c r="M13" i="5" s="1"/>
  <c r="O12" i="5"/>
  <c r="O13" i="5" s="1"/>
  <c r="N12" i="5"/>
  <c r="N13" i="5" s="1"/>
  <c r="M68" i="5"/>
  <c r="M69" i="5" s="1"/>
  <c r="O68" i="5"/>
  <c r="O69" i="5" s="1"/>
  <c r="K81" i="5"/>
  <c r="K82" i="5" s="1"/>
  <c r="J81" i="5"/>
  <c r="J82" i="5" s="1"/>
  <c r="H82" i="5"/>
  <c r="I81" i="5"/>
  <c r="I82" i="5" s="1"/>
  <c r="I17" i="5"/>
  <c r="I18" i="5" s="1"/>
  <c r="K17" i="5"/>
  <c r="K18" i="5" s="1"/>
  <c r="K68" i="5"/>
  <c r="K69" i="5" s="1"/>
  <c r="J68" i="5"/>
  <c r="J69" i="5" s="1"/>
  <c r="I68" i="5"/>
  <c r="I69" i="5" s="1"/>
  <c r="J17" i="5"/>
  <c r="J18" i="5" s="1"/>
  <c r="O20" i="5"/>
  <c r="O21" i="5" s="1"/>
  <c r="N20" i="5"/>
  <c r="N21" i="5" s="1"/>
  <c r="M20" i="5"/>
  <c r="M21" i="5" s="1"/>
  <c r="N68" i="5"/>
  <c r="N69" i="5" s="1"/>
  <c r="K76" i="5"/>
  <c r="K77" i="5" s="1"/>
  <c r="J76" i="5"/>
  <c r="J77" i="5" s="1"/>
  <c r="I76" i="5"/>
  <c r="I77" i="5" s="1"/>
  <c r="L82" i="5"/>
  <c r="O54" i="5"/>
  <c r="O55" i="5" s="1"/>
  <c r="N54" i="5"/>
  <c r="N55" i="5" s="1"/>
  <c r="M54" i="5"/>
  <c r="M55" i="5" s="1"/>
  <c r="K12" i="5"/>
  <c r="K13" i="5" s="1"/>
  <c r="J12" i="5"/>
  <c r="J13" i="5" s="1"/>
  <c r="I12" i="5"/>
  <c r="I13" i="5" s="1"/>
  <c r="H18" i="5"/>
  <c r="O28" i="5"/>
  <c r="O29" i="5" s="1"/>
  <c r="N28" i="5"/>
  <c r="N29" i="5" s="1"/>
  <c r="M28" i="5"/>
  <c r="M29" i="5" s="1"/>
  <c r="M76" i="5"/>
  <c r="M77" i="5" s="1"/>
  <c r="O76" i="5"/>
  <c r="O77" i="5" s="1"/>
  <c r="M86" i="5"/>
  <c r="M87" i="5" s="1"/>
  <c r="N86" i="5"/>
  <c r="N87" i="5" s="1"/>
  <c r="O86" i="5"/>
  <c r="O87" i="5" s="1"/>
  <c r="H91" i="5"/>
  <c r="N106" i="5"/>
  <c r="N107" i="5" s="1"/>
  <c r="J109" i="5"/>
  <c r="J110" i="5" s="1"/>
  <c r="N7" i="5"/>
  <c r="N8" i="5" s="1"/>
  <c r="H8" i="5"/>
  <c r="J14" i="5"/>
  <c r="J15" i="5" s="1"/>
  <c r="N22" i="5"/>
  <c r="N23" i="5" s="1"/>
  <c r="H23" i="5"/>
  <c r="N30" i="5"/>
  <c r="N31" i="5" s="1"/>
  <c r="H31" i="5"/>
  <c r="J43" i="5"/>
  <c r="J44" i="5" s="1"/>
  <c r="L53" i="5"/>
  <c r="J59" i="5"/>
  <c r="J60" i="5" s="1"/>
  <c r="H75" i="5"/>
  <c r="H80" i="5"/>
  <c r="I86" i="5"/>
  <c r="I87" i="5" s="1"/>
  <c r="H102" i="5"/>
  <c r="I106" i="5"/>
  <c r="I107" i="5" s="1"/>
  <c r="O106" i="5"/>
  <c r="O107" i="5" s="1"/>
  <c r="K109" i="5"/>
  <c r="K110" i="5" s="1"/>
  <c r="L112" i="5"/>
  <c r="M113" i="5"/>
  <c r="M114" i="5" s="1"/>
  <c r="H116" i="5"/>
  <c r="H107" i="5"/>
  <c r="I7" i="5"/>
  <c r="I8" i="5" s="1"/>
  <c r="O7" i="5"/>
  <c r="O8" i="5" s="1"/>
  <c r="K14" i="5"/>
  <c r="K15" i="5" s="1"/>
  <c r="L18" i="5"/>
  <c r="H21" i="5"/>
  <c r="I22" i="5"/>
  <c r="I23" i="5" s="1"/>
  <c r="O22" i="5"/>
  <c r="O23" i="5" s="1"/>
  <c r="H29" i="5"/>
  <c r="I30" i="5"/>
  <c r="I31" i="5" s="1"/>
  <c r="O30" i="5"/>
  <c r="O31" i="5" s="1"/>
  <c r="K43" i="5"/>
  <c r="K44" i="5" s="1"/>
  <c r="M52" i="5"/>
  <c r="M53" i="5" s="1"/>
  <c r="H55" i="5"/>
  <c r="I56" i="5"/>
  <c r="K59" i="5"/>
  <c r="K60" i="5" s="1"/>
  <c r="I74" i="5"/>
  <c r="I75" i="5" s="1"/>
  <c r="O74" i="5"/>
  <c r="O75" i="5" s="1"/>
  <c r="I79" i="5"/>
  <c r="I80" i="5" s="1"/>
  <c r="O79" i="5"/>
  <c r="O80" i="5" s="1"/>
  <c r="K83" i="5"/>
  <c r="K84" i="5" s="1"/>
  <c r="J86" i="5"/>
  <c r="J87" i="5" s="1"/>
  <c r="K88" i="5"/>
  <c r="K89" i="5" s="1"/>
  <c r="L91" i="5"/>
  <c r="I101" i="5"/>
  <c r="I102" i="5" s="1"/>
  <c r="O101" i="5"/>
  <c r="O102" i="5" s="1"/>
  <c r="J106" i="5"/>
  <c r="J107" i="5" s="1"/>
  <c r="M111" i="5"/>
  <c r="M112" i="5" s="1"/>
  <c r="N113" i="5"/>
  <c r="N114" i="5" s="1"/>
  <c r="I115" i="5"/>
  <c r="I116" i="5" s="1"/>
  <c r="O115" i="5"/>
  <c r="O116" i="5" s="1"/>
  <c r="H87" i="5"/>
  <c r="L84" i="5"/>
  <c r="L89" i="5"/>
  <c r="H112" i="5"/>
  <c r="J115" i="5"/>
  <c r="J116" i="5" s="1"/>
  <c r="L107" i="5"/>
  <c r="H110" i="5"/>
  <c r="L116" i="5"/>
</calcChain>
</file>

<file path=xl/sharedStrings.xml><?xml version="1.0" encoding="utf-8"?>
<sst xmlns="http://schemas.openxmlformats.org/spreadsheetml/2006/main" count="1906" uniqueCount="532">
  <si>
    <t>منشآت صغيرة/متناهية الصغر</t>
  </si>
  <si>
    <t>منشآت متوسطة</t>
  </si>
  <si>
    <t>منشآت كبيرة</t>
  </si>
  <si>
    <t>المخالفة</t>
  </si>
  <si>
    <t>م</t>
  </si>
  <si>
    <t>فئة (د)</t>
  </si>
  <si>
    <t>فئة (ج)</t>
  </si>
  <si>
    <t>فئة (ب)</t>
  </si>
  <si>
    <t>فئة (أ)</t>
  </si>
  <si>
    <t>لا ينطبق</t>
  </si>
  <si>
    <t>ينطبق</t>
  </si>
  <si>
    <t>الإنذار</t>
  </si>
  <si>
    <t>عدم الالتزام بأسعار الاختبارات المعتمدة من قبل الهيئة</t>
  </si>
  <si>
    <t>التعديل على الهيكل التنظيمي أو أسعار الاختبارات أو شهادة الاعتماد دون أخذ موافقة الهيئة</t>
  </si>
  <si>
    <t>عدم الاحتفاظ بسجلات الاختبارات لآخر خمس سنوات</t>
  </si>
  <si>
    <t>عدم الالتزام بالسرية عند نقل العينات ونتائج الاختبارات</t>
  </si>
  <si>
    <t>استخدام المختبر أو أي من معداته لأغراض أخرى غير مصرح بها</t>
  </si>
  <si>
    <t>الاحتفاظ بالمواد منتهية الصلاحية أو غير الصالحة للتحليل في مكان غير معزول أو الاحتفاظ بها دون وضع ما يثبت ذلك</t>
  </si>
  <si>
    <t xml:space="preserve">استخدام مواد منتهية الصلاحية أو غير صالحة للتحليل </t>
  </si>
  <si>
    <t>إصدار نتائج اختبارات بدون إجراء التحليل</t>
  </si>
  <si>
    <t xml:space="preserve">إصدار نتائج اختبارات غير صحيحة </t>
  </si>
  <si>
    <t xml:space="preserve">الامتناع عن المشاركة باختبارات الكفاءة التي تنظمها الهيئة  </t>
  </si>
  <si>
    <t>عدم إبلاغ الهيئة في حال عدم قدرة المختبر على الاستمرار في تحقيق اشتراطات ومتطلبات الترخيص</t>
  </si>
  <si>
    <t>عدم الالتزام بتزويد الهيئة بالتقارير الشهرية المطلوبة</t>
  </si>
  <si>
    <t>استيراد غذاء من منشأة غير معتمدة</t>
  </si>
  <si>
    <t>تداول أو استيراد غذاء من دول أو منشآت معلق الاستيراد منها</t>
  </si>
  <si>
    <t xml:space="preserve">عدم وجود أو عدم اكتمال دليل تتبع الغذاء </t>
  </si>
  <si>
    <t>عدم الاحتفاظ بالسجلات والمعلومات الخاصة بتتبع الغذاء لمدة لا تقل عن (180) يوماً بعد انتهاء فترة الصلاحية أو  لأي مدة أخرى تحددها الهيئة</t>
  </si>
  <si>
    <t>عدم إتمام عملية السحب خلال الفترة التي حددتها الهيئة للمنشأة الغذائية</t>
  </si>
  <si>
    <t>إزالة أو تغطية أو تغيير أو مسح بيانات ملصق الإغلاق بعد إغلاق المنشأة من قبل الهيئة</t>
  </si>
  <si>
    <t>عدم تطبيق أنظمة السلامة والجودة الإلزامية</t>
  </si>
  <si>
    <t>الاحتفاظ بالرجيع -سواءً منتهي الصلاحية أو التالف- في مكان غير معزول أو الاحتفاظ بهِ دون وضع ما يثبت ذلك</t>
  </si>
  <si>
    <t>استخدام صهريج مصنع من مادة غير مناسبة أو قابلة للأكسدة والصدأ</t>
  </si>
  <si>
    <t>نفس تكلفة الاختبار</t>
  </si>
  <si>
    <t>الغرامة نصف تكلفة الاختبار</t>
  </si>
  <si>
    <t>تصدير الغذاء قبل الحصول على شهادة صلاحية تصدير</t>
  </si>
  <si>
    <t xml:space="preserve">عدم مطابقة الاختبارات مع متطلبات اللوائح الفنيَّة </t>
  </si>
  <si>
    <t xml:space="preserve">تداول غذاء أو أي من مشتقاته يحتوي على مواد محظورة أو محرمة أو سامة </t>
  </si>
  <si>
    <t>تداول غذاء منتهي الصلاحية</t>
  </si>
  <si>
    <t xml:space="preserve">قيام المنشأة باستخدام عبوات غذائية محظورة </t>
  </si>
  <si>
    <t xml:space="preserve">الحد الأعلى </t>
  </si>
  <si>
    <t>الحد الأدنى</t>
  </si>
  <si>
    <t>بيع منتجات التشغيل التجريبي</t>
  </si>
  <si>
    <t xml:space="preserve">عدم إعلان المنشأة عن عملية السحب وفق ما تحدده الهيئة </t>
  </si>
  <si>
    <t xml:space="preserve">تداول غذاء صادر بحقه منع تداول </t>
  </si>
  <si>
    <t>الحد الأعلى</t>
  </si>
  <si>
    <t xml:space="preserve">الحد الأدنى </t>
  </si>
  <si>
    <t>قيمة ثابته</t>
  </si>
  <si>
    <t xml:space="preserve">قيمة ثابته </t>
  </si>
  <si>
    <t xml:space="preserve">قيمه ثابته </t>
  </si>
  <si>
    <t xml:space="preserve"> لا ينطبق</t>
  </si>
  <si>
    <t xml:space="preserve">التدخين أو استخدام منتجات التبغ الأخرى داخل المنشاة أو في البيئة المحيطة </t>
  </si>
  <si>
    <t>الوحدة</t>
  </si>
  <si>
    <t>للمنشأة</t>
  </si>
  <si>
    <t>تداول غذاء يحتوي على مضاف غذائي مسموح استخدامه لكن بنسبة تزيد على الحد المسموح به في اللوائح الفنية</t>
  </si>
  <si>
    <t xml:space="preserve"> الفصل الثالث: التداول وتتبع الغذاء</t>
  </si>
  <si>
    <t>مخالفة اشتراطات النظافة العامة في المنشأة أو في المعدات المستخدمة وما في حكمها</t>
  </si>
  <si>
    <t>قيمة ثابتة</t>
  </si>
  <si>
    <t xml:space="preserve">تشغيل فنيين غير مؤهلين </t>
  </si>
  <si>
    <t xml:space="preserve">تشغيل عامل ليس لديه رخصة ممارسة عمل  </t>
  </si>
  <si>
    <t xml:space="preserve">تشغيل عامل بعد انتهاء رخصة ممارسة عمله </t>
  </si>
  <si>
    <t>تداول غذاء ملوث أو فاسد أو مجهول المصدر</t>
  </si>
  <si>
    <t>تداول غذاء يحتوي على مضاف غذائي ممنوع استخدامه وفقاً للوائح الفنية</t>
  </si>
  <si>
    <t>عدم تمكين المفتش من دخول المنشأة أو  أحد مرافقها</t>
  </si>
  <si>
    <t xml:space="preserve">تداول غذاء ملوث أو فاسد أو مجهول المصدر </t>
  </si>
  <si>
    <t xml:space="preserve">تداول غذاء يحتوي على مضاف غذائي ممنوع استخدامه وفقاً للوائح الفنية </t>
  </si>
  <si>
    <t xml:space="preserve">تشغيل عامل ليس لديه رخصة ممارسة عمل </t>
  </si>
  <si>
    <t>التدخين أو استخدام منتجات التبغ الأخرى داخل المنشاة أو في البيئة المحيطة</t>
  </si>
  <si>
    <t xml:space="preserve"> الفصل الثاني: التداول وتتبع الغذاء</t>
  </si>
  <si>
    <t xml:space="preserve">مخالفة اشتراطات النظافة العامة </t>
  </si>
  <si>
    <t xml:space="preserve"> الفصل الثاني : التداول وتتبع الغذاء</t>
  </si>
  <si>
    <t>الفصل الرابع: مخالفات عامة</t>
  </si>
  <si>
    <t>الفصل الثاني: مخالفات عامة</t>
  </si>
  <si>
    <t>الفصل الثالث: مخالفات عامة</t>
  </si>
  <si>
    <t>عدم تركيب جهاز قياس درجات الحرارة أو عدم مراقبتها في المستودعات  وتقديم ما يثبت ذلك</t>
  </si>
  <si>
    <t>عدم تركيب جهاز قياس درجات الحرارة أو عدم مراقبتها عند تداول الغذاء  وتقديم ما يثبت ذلك</t>
  </si>
  <si>
    <t>عدم القيام بإجراء اختبارات دورية للغذاء</t>
  </si>
  <si>
    <t xml:space="preserve">للمنشأة </t>
  </si>
  <si>
    <t>تداول غذاء مغشوش أو ضار بالصحة أو غير صالح للاستهلاك الآدمي</t>
  </si>
  <si>
    <t>عدم معايرة الأجهزة أو عدم تقديم مايثبت ذلك</t>
  </si>
  <si>
    <t>فصل التيار الكهربائي عن أجهزة التبريد والتجميد أثناء تخزين الغذاء</t>
  </si>
  <si>
    <t xml:space="preserve"> فتحات الصرف الصحي  في منطقة الإنتاج غير مطابقة للوائح والاشتراطات الفنية</t>
  </si>
  <si>
    <t xml:space="preserve">وجود غرف تفتيش صرف صحي داخل منطقة الإنتاج </t>
  </si>
  <si>
    <t xml:space="preserve"> التعاقد مع مختبر خارجي دون الحصول على موافقة  الهيئة </t>
  </si>
  <si>
    <t xml:space="preserve">تداول الغذاء مع مبيدات أو مواد التنظيف أو  وما في حكمها </t>
  </si>
  <si>
    <t>عدم إرفاق الشهادات أو المستندات  عند الاستيراد</t>
  </si>
  <si>
    <t>الفصل الخامس: مخالفات عامة</t>
  </si>
  <si>
    <t>استخدام مياه أو ثلج غير صالح للاستهلاك الآدمي في نقل وتخزين الغذاء</t>
  </si>
  <si>
    <t>استخدام مياه أو ثلج غير صالح للاستهلاك الآدمي في تصنيع أو نقل أو تخزين الغذاء</t>
  </si>
  <si>
    <t>استخدام مياه أو ثلج غير صالح للاستهلاك الآدمي في  نقل أو تخزين الغذاء</t>
  </si>
  <si>
    <t xml:space="preserve">ممارسة نشاط إضافي غير مدرج بالترخيص </t>
  </si>
  <si>
    <t xml:space="preserve">ممارسة النشاط بعد انتهاء الترخيص </t>
  </si>
  <si>
    <t>ممارسة النشاط خارج حدود المنشأة الغذائية</t>
  </si>
  <si>
    <t>ممارسة نشاط الاستيراد دون وجود مستودع مرخص وفق الشروط والمتطلبات</t>
  </si>
  <si>
    <t>الفصل الثالث : مخالفات عامة</t>
  </si>
  <si>
    <t xml:space="preserve">أولًا: مصانع الأغذية </t>
  </si>
  <si>
    <t xml:space="preserve"> الفصل الثاني: مختبرات تحليل الأغذية</t>
  </si>
  <si>
    <t>عدم حصول المنشأة على رخصة تخزين لدى الغير</t>
  </si>
  <si>
    <t xml:space="preserve"> الفصل الأول:ترخيص المنشآت</t>
  </si>
  <si>
    <t>ممارسة النشاط دون الحصول على ترخيص</t>
  </si>
  <si>
    <t xml:space="preserve">عدم وجود البطاقة الغذائية على الغذاء </t>
  </si>
  <si>
    <t>تداول غذاء مخالف لبيانات البطاقة الغذائية</t>
  </si>
  <si>
    <t>وجود غرف تفتيش صرف صحي داخل منطقة التعبئة والتغليف</t>
  </si>
  <si>
    <t>تداول منتج غذائي غير مسجل لدى الهيئة</t>
  </si>
  <si>
    <t xml:space="preserve"> عدم تحديث بيانات المنتج الغذائي المسجل في حال التغيير</t>
  </si>
  <si>
    <t>عدم إبلاغ الهيئة عند حدوث أي تغيير في المنشأة بما في ذلك التوقف عن مزاولة النشاط</t>
  </si>
  <si>
    <t xml:space="preserve">  عدم الالتزام بالشروط أو المتطلبات أو التعاميم المتعلقة بالترخيص أو التسجيل المنشورة على موقع الهيئة</t>
  </si>
  <si>
    <t xml:space="preserve">  عدم الالتزام بالشروط أو المتطلبات أو التعاميم المتعلقة بالتحليل المخبري المنشورة على موقع الهيئة</t>
  </si>
  <si>
    <t xml:space="preserve">  عدم الالتزام بالشروط أو المتطلبات أو التعاميم المتعلقة بنقل العينة المنشورة على موقع الهيئة</t>
  </si>
  <si>
    <t xml:space="preserve">  عدم الالتزام بالشروط أو المتطلبات أو التعاميم المتعلقة بالاستيراد أو الفسح المنشورة على موقع الهيئة</t>
  </si>
  <si>
    <t xml:space="preserve">  عدم الالتزام بالشروط أو المتطلبات أو التعاميم المتعلقة بالإعلان المنشورة على موقع الهيئة</t>
  </si>
  <si>
    <t>عدم الالتزام بالشروط أو المتطلبات أو التعاميم المتعلقة بالعبوات الغذائية المنشورة على موقع الهيئة</t>
  </si>
  <si>
    <t xml:space="preserve">  عدم الالتزام بالشروط أو المتطلبات أو التعاميم المتعلقة بالتعبئة والتغليف المنشورة على موقع الهيئة</t>
  </si>
  <si>
    <t xml:space="preserve">  عدم الالتزام بالشروط أو المتطلبات أو التعاميم المتعلقة بإجراءات السحب والاسترجاع المنشورة على موقع الهيئة</t>
  </si>
  <si>
    <t xml:space="preserve">  عدم الالتزام بالشروط أو المتطلبات أو التعاميم المتعلقة بتداول الغذاء المنشورة على موقع الهيئة</t>
  </si>
  <si>
    <t xml:space="preserve">  عدم الالتزام بالشروط أو المتطلبات أو التعاميم المتعلقة بالعاملين المنشورة على موقع الهيئة </t>
  </si>
  <si>
    <t xml:space="preserve">  عدم الالتزام بالشروط أو المتطلبات أو التعاميم المتعلقة بإجراءات السحب والاسترجاع المنشورة على موقع الهيئة  </t>
  </si>
  <si>
    <t xml:space="preserve">  عدم الالتزام بالشروط أو المتطلبات أو التعاميم المتعلقة بطرق مكافحة الآفات أو الحشرات أو الطيور أو الحيوانات المنشورة على موقع الهيئة</t>
  </si>
  <si>
    <t xml:space="preserve">  عدم الالتزام بالشروط أو المتطلبات أو التعاميم المتعلقة بالعاملين المنشورة على موقع الهيئة</t>
  </si>
  <si>
    <t xml:space="preserve">  عدم الالتزام بالشروط أو المتطلبات أو التعاميم المتعلقة بتدريب متداولي الغذاء في مجال سلامة الغذاء المنشورة على موقع الهيئة</t>
  </si>
  <si>
    <t xml:space="preserve"> عدم الالتزام بالشروط أو المتطلبات أو التعاميم المتعلقة بتنظيم عمل المكاتب الاستشارية المنشورة على موقع الهيئة</t>
  </si>
  <si>
    <t xml:space="preserve"> الفصل الثاني: مختبرات المصانع </t>
  </si>
  <si>
    <t>تداول غذاء بأساليب أو ادعاءات أو طرق أو معلومات أو بيانات مضللة أو خادعة للمستهلك</t>
  </si>
  <si>
    <t>الإعلان عن غذاء بأساليب أو ادعاءات أو طرق أو معلومات أو بيانات مضللة أو خادعة للمستهلك</t>
  </si>
  <si>
    <t xml:space="preserve">تداول غذاء تم إعادة تعبئته في عبوات لا تعود للمنشأة </t>
  </si>
  <si>
    <t>عدم تركيب جهاز قياس درجات الحرارة أو عدم مراقبتها في مستودعات المصانع ومناطق الإنتاج وتقديم ما يثبت ذلك</t>
  </si>
  <si>
    <t>فصل التيار الكهربائي عن أجهزة التبريد والتجميد أثناء تصنيع أو تخزين الغذاء</t>
  </si>
  <si>
    <t xml:space="preserve">ممارسة النشاط بعد الإغلاق أو إيقاف خطوط الإنتاج </t>
  </si>
  <si>
    <t>ممارسة النشاط بعد الإغلاق من قبل الهيئة</t>
  </si>
  <si>
    <t xml:space="preserve">ممارسةالنشاط بعد قرار المنع أو تعليق الاستيراد </t>
  </si>
  <si>
    <t>عدم قيام المنشأة باتلاف الغذاء وفقًا للإجراءات التي تحددها الهيئة</t>
  </si>
  <si>
    <t>عدم إبراز الهيكل التنظيمي أو أسعار الاختبارات المعتمدة أو شهادة الاعتماد سارية الصلاحية في مكان ظاهر بالمختبر ونشرها في موقع المختبر الإلكتروني</t>
  </si>
  <si>
    <t xml:space="preserve">  عدم الالتزام بالشروط أو المتطلبات أو التعاميم المتعلقة بمصانع الأغذية  </t>
  </si>
  <si>
    <t xml:space="preserve">  عدم الالتزام بالشروط أو المتطلبات أو التعاميم المتعلقة بمستودعات الأغذية </t>
  </si>
  <si>
    <t xml:space="preserve"> الفصل الأول: ترخيص المنشآت وتسجيل المنتجات الغذائية</t>
  </si>
  <si>
    <t xml:space="preserve"> الفصل الأول: ترخيص المنشآت </t>
  </si>
  <si>
    <t>التصرف في الغذاء الذي أمرت الهيئة بحجزه أو سحبه أو استرجاعه أو إتلافه أو فسحه بتعهد عدم التصرف دون موافقة الهيئة</t>
  </si>
  <si>
    <t>تنظيف أو إتلاف أي معدات أو أدوات أو مواد إذا تبين وجود اشتباه بحالة تسمم</t>
  </si>
  <si>
    <t>ممارسة النشاط بعد قرار المنع أو بعد تعليق أو إلغاء الترخيص</t>
  </si>
  <si>
    <t>ممارسةالنشاط بعد قرار المنع أو بعد تعليق أو إلغاء الترخيص</t>
  </si>
  <si>
    <t>استخدام اسم أو شعار الهيئة العامة للغذاء والدواء في الإعلان</t>
  </si>
  <si>
    <t>حد قيمة الغرامة</t>
  </si>
  <si>
    <t xml:space="preserve">ثانياً: مستودعات ومراكز توزيع الأغذية </t>
  </si>
  <si>
    <t>خامسًا: المكاتب الاستشارية</t>
  </si>
  <si>
    <t xml:space="preserve">عدم توفر الأجهزة أو المعدات أو عدم صلاحيتها حسب ما نصت عليه اللوائح الفنية </t>
  </si>
  <si>
    <t xml:space="preserve"> عدم كفاءة التبريد و التجميد حسب ما نصت عليه اللوائح الفنية </t>
  </si>
  <si>
    <t>رابعًا: المختبرات الخاصة لتحليل الغذاء</t>
  </si>
  <si>
    <t>إجراء اختبارات غير منصوص عليها بالترخيص</t>
  </si>
  <si>
    <t>التعديل على تاريخ صلاحية الغذاء دون أخذ الموافقة الكتابية المسبقة من الهيئة</t>
  </si>
  <si>
    <t>تداول غذاء مخالف للوائح أو التعاميم أو الاشتراطات الصادرة عن الهيئة</t>
  </si>
  <si>
    <t>عدم قيام المنشأة بإبلاغ الهيئة فور علمها أو  شكها أن الغذاء غير مطابق للأنظمة أو اللوائح أو التعاميم أو الاشتراطات  الصادرة عن الهيئة</t>
  </si>
  <si>
    <t>عدم قيام المنشأة بالإجراءات اللازمة لسحب الغذاء فور  علمها أو  شكها أن الغذاء  غير مطابق للأنظمة أو اللوائح أو التعاميم أو الاشتراطات الصادرة عن الهيئة بما في ذلك استرجاعه في حالة وصوله إلى لمستهلك</t>
  </si>
  <si>
    <t>عدم قيام المنشأة بالإجراءات اللازمة لسحب الغذاء فور  علمها أو  شكها أن الغذاء  غير مطابق للأنظمة أو اللوائح أو التعاميم أو الاشتراطات الصادرة عن الهيئة بما في ذلك استرجاعه في حالة وصوله إلى المستهلك</t>
  </si>
  <si>
    <t xml:space="preserve">عدم قيام المنشأة بإبلاغ الهيئة فور علمها أو  شكها أن الغذاء غير مطابق للأنظمة أو اللوائح أو التعاميم أو الاشتراطات الصادرة عن الهيئة </t>
  </si>
  <si>
    <t>عدم تنفيذ أمر سحب صادر عن الهيئة</t>
  </si>
  <si>
    <t xml:space="preserve"> البطاقة الغذائية غير مطابقة للوائح أو التعاميم أو الاشتراطات الصادرة عن الهيئة </t>
  </si>
  <si>
    <t>وضع إحدى علامات الجودة أو شعارات معينة بدون الحصول عليها أو يكون وضعها مخالفاً للأنظمة أو اللوائح أو التعاميم أو الاشتراطات الصادرة عن الهيئة أو لم تعد سارية</t>
  </si>
  <si>
    <t>الفصل الرابع: المنشأة والعاملون</t>
  </si>
  <si>
    <t>وجود الآفات أو الحشرات أو الحيوانات أو أجزائها أو فضلاتها بالقرب من خطوط الإنتاج أو على المنتجات</t>
  </si>
  <si>
    <t>وجود الآفات أو الحشرات أو الحيوانات أو أجزائها أو فضلاتها داخل المنشأة</t>
  </si>
  <si>
    <t>استخدام رافعات شوكية غير مطابقة للاشتراطات و المتطلبات الصادرة عن الهيئة</t>
  </si>
  <si>
    <t xml:space="preserve">ممارسة النشاط بعد قرار المنع أو إلغاء أو تعليق الترخيص من قبل الهيئة </t>
  </si>
  <si>
    <t>عدم قيام المنشأة بإبلاغ الهيئة فور علمها أو  شكها أن الغذاء غير مطابق للأنظمة أو اللوائح أو التعاميم أو الاشتراطات الصادرة عن الهيئة</t>
  </si>
  <si>
    <t xml:space="preserve">عدم تنفيذ أمر سحب  صادر عن الهيئة </t>
  </si>
  <si>
    <t>وضع إحدى علامات الجودة أو شعارات معينة بدون الحصول عليها أو يكون وضعها مخالفاً للأنظمة أو اللوائح أو التعاميم أو الاشتراطات أو لم تعد سارية</t>
  </si>
  <si>
    <t>الفصل الثالث: المنشأة والعاملون</t>
  </si>
  <si>
    <t>وجود الآفات أو الحشرات أو الحيوانات أو أجزائها أو فضلاتها بالقرب من منطقة التعبئة والتغليف أو على المنتجات</t>
  </si>
  <si>
    <t>وجود الآفات أو الحشرات أو الحيوانات أو أجزائها أو فضلاتها في المنشأة</t>
  </si>
  <si>
    <t xml:space="preserve">إعاقة عمل المفتش عن أداء مهامه التفتيشية </t>
  </si>
  <si>
    <t>ثالثاً: مستوردو الأغذية</t>
  </si>
  <si>
    <t>عدم الحصول على إذن استيراد</t>
  </si>
  <si>
    <t>التأخر في إصدار نتائج الاختبارات للعينات المرسلة من الهيئة لمدة تزيد على 15 يوماً من تاريخ استلام العينات</t>
  </si>
  <si>
    <t>عدم كتابة العبارات التحذيرية فيما يخص مسببات الحساسية وما في حكمها  حسب ما نصت عليه اللوائح الفنية</t>
  </si>
  <si>
    <t>1/1/1</t>
  </si>
  <si>
    <t>1/1/2</t>
  </si>
  <si>
    <t>1/1/3</t>
  </si>
  <si>
    <t>1/1/4</t>
  </si>
  <si>
    <t>1/1/5</t>
  </si>
  <si>
    <t>1/2/1</t>
  </si>
  <si>
    <t>1/2/2</t>
  </si>
  <si>
    <t>1/2/3</t>
  </si>
  <si>
    <t>1/2/4</t>
  </si>
  <si>
    <t>1/2/5</t>
  </si>
  <si>
    <t>1/3/1</t>
  </si>
  <si>
    <t>1/3/2</t>
  </si>
  <si>
    <t>1/3/3</t>
  </si>
  <si>
    <t>1/3/4</t>
  </si>
  <si>
    <t>1/4/1</t>
  </si>
  <si>
    <t>1/4/2</t>
  </si>
  <si>
    <t>1/5/1</t>
  </si>
  <si>
    <t>2/1/1</t>
  </si>
  <si>
    <t>2/1/2</t>
  </si>
  <si>
    <t>2/1/3</t>
  </si>
  <si>
    <t>2/1/4</t>
  </si>
  <si>
    <t>2/1/5</t>
  </si>
  <si>
    <t>2/2/1</t>
  </si>
  <si>
    <t>2/2/2</t>
  </si>
  <si>
    <t>2/2/3</t>
  </si>
  <si>
    <t>2/2/4</t>
  </si>
  <si>
    <t>2/2/5</t>
  </si>
  <si>
    <t>2/3/1</t>
  </si>
  <si>
    <t>2/3/2</t>
  </si>
  <si>
    <t>2/3/3</t>
  </si>
  <si>
    <t>2/3/4</t>
  </si>
  <si>
    <t>2/4/1</t>
  </si>
  <si>
    <t>2/4/2</t>
  </si>
  <si>
    <t>3/1/1</t>
  </si>
  <si>
    <t>3/1/2</t>
  </si>
  <si>
    <t>3/1/3</t>
  </si>
  <si>
    <t>3/1/4</t>
  </si>
  <si>
    <t>3/1/5</t>
  </si>
  <si>
    <t>3/2/1</t>
  </si>
  <si>
    <t>3/2/2</t>
  </si>
  <si>
    <t>3/2/3</t>
  </si>
  <si>
    <t>3/2/4</t>
  </si>
  <si>
    <t>3/2/5</t>
  </si>
  <si>
    <t>3/3/1</t>
  </si>
  <si>
    <t>3/3/2</t>
  </si>
  <si>
    <t>3/3/3</t>
  </si>
  <si>
    <t>3/3/4</t>
  </si>
  <si>
    <t>4/1/1</t>
  </si>
  <si>
    <t>4/1/2</t>
  </si>
  <si>
    <t>4/1/3</t>
  </si>
  <si>
    <t>4/1/4</t>
  </si>
  <si>
    <t>4/2/1</t>
  </si>
  <si>
    <t>4/2/2</t>
  </si>
  <si>
    <t>4/2/3</t>
  </si>
  <si>
    <t>4/2/4</t>
  </si>
  <si>
    <t>4/2/5</t>
  </si>
  <si>
    <t>4/3/1</t>
  </si>
  <si>
    <t>4/3/2</t>
  </si>
  <si>
    <t>4/3/3</t>
  </si>
  <si>
    <t>4/3/4</t>
  </si>
  <si>
    <t>5/2/1</t>
  </si>
  <si>
    <t>5/2/2</t>
  </si>
  <si>
    <t>5/2/3</t>
  </si>
  <si>
    <t>5/2/4</t>
  </si>
  <si>
    <t>5/2/5</t>
  </si>
  <si>
    <t>5/1/1</t>
  </si>
  <si>
    <t>5/1/2</t>
  </si>
  <si>
    <t>5/1/3</t>
  </si>
  <si>
    <t>لكل حالة عدم التزام</t>
  </si>
  <si>
    <t>للمنتج بما لا يزيد عن 50.000 ريال</t>
  </si>
  <si>
    <t>للمنتج بما لا يزيد عن 30.000 ريال</t>
  </si>
  <si>
    <t>لكل فني بما لا يزيد عن 30.000 ريال</t>
  </si>
  <si>
    <t>للمنتج بما لا يزيد عن 500.000 ريال</t>
  </si>
  <si>
    <t>للمنتج بما لا يزيد عن 1000.000 ريال</t>
  </si>
  <si>
    <t>للمنتج بما لا يزيد عن 300.000 ريال</t>
  </si>
  <si>
    <t>للمنتج بما لا يزيد عن 250.000 ريال</t>
  </si>
  <si>
    <t>للمنتج بما لا يزيد عن 200.000 ريال</t>
  </si>
  <si>
    <t>للمنتج بما لا يزيد عن 150.000 ريال</t>
  </si>
  <si>
    <t>للمنتج بما لا يزيد عن 600.000 ريال</t>
  </si>
  <si>
    <t>لكل اختبار بما لا يزيد عن 150.000 ريال</t>
  </si>
  <si>
    <t>لكل فني بما لا يزيد عن 50.000 ريال</t>
  </si>
  <si>
    <t>لكل جهاز بما لا يزيد عن 50.000 ريال</t>
  </si>
  <si>
    <t>لكل اختبار بما لا يزيد عن 1000.000 ريال</t>
  </si>
  <si>
    <t>لكل اختبار بما لا يزيد عن 500.000 ريال</t>
  </si>
  <si>
    <t>لكل اختبار بما لا يزيد عن 100.000 ريال</t>
  </si>
  <si>
    <t>6/1/1</t>
  </si>
  <si>
    <t>7/1/1</t>
  </si>
  <si>
    <t>8/1/1</t>
  </si>
  <si>
    <t>6/2/1</t>
  </si>
  <si>
    <t>7/2/1</t>
  </si>
  <si>
    <t>8/2/1</t>
  </si>
  <si>
    <t>9/2/1</t>
  </si>
  <si>
    <t>10/2/1</t>
  </si>
  <si>
    <t>عدم تزويد الهيئة بتقارير دورية مفصلة لعملية السحب</t>
  </si>
  <si>
    <t>عدم التقيد بإجراءات سحب واسترجاع المنتجات الغذائية الخاصة بها وفقاً لدليل سحب واسترجاع الأغذية والأسطح الملامسة للغذاء المعتمد لدى الهيئة</t>
  </si>
  <si>
    <t>عدم تزويد الهيئة بالمعلومات والتدابير اللازمة التي يطلبها بشأن الغذاء المشتبه به والذي يقوم بتصنيعه أو إنتاجه واستيراده أو تصديره أو توزيعه</t>
  </si>
  <si>
    <t xml:space="preserve">عدم الالتزام باشتراطات تداول الغذاء حسب طبيعته (تبريد/ تجميد) </t>
  </si>
  <si>
    <t xml:space="preserve">عدم الالتزام باشتراطات تداول الغذاء حسب طبيعته (جاف) </t>
  </si>
  <si>
    <t>الإعلان عن غذاء أو التعديل عليه دون الحصول على (ترخيص) موافقة الهيئة</t>
  </si>
  <si>
    <t>تقديم بيانات أو معلومات متعلقة بالمنشأة أو المنتج غير صحيحة</t>
  </si>
  <si>
    <t xml:space="preserve"> عدم الالتزام باشتراطات ومتطلبات التخزين لدى الغير المنشورة على موقع الهيئة</t>
  </si>
  <si>
    <t>عدم تقديم شهادة مطابقة من جهة معتمدة</t>
  </si>
  <si>
    <t>تقديم بيانات أو معلومات متعلقة بالمنشأة غير صحيحة</t>
  </si>
  <si>
    <t>لكل حالة عدم التزام بما لا يزيد عن 50.000 ريال</t>
  </si>
  <si>
    <t>لكل عامل بما لا يزيد عن 20.000 ريال</t>
  </si>
  <si>
    <t>لكل عامل بما لا يزيد عن 10.000 ريال</t>
  </si>
  <si>
    <t>لكل حالة عدم التزام بما لا يزيد عن 30.000 ريال</t>
  </si>
  <si>
    <t>5/3/1</t>
  </si>
  <si>
    <t>6/3/1</t>
  </si>
  <si>
    <t>7/3/1</t>
  </si>
  <si>
    <t>8/3/1</t>
  </si>
  <si>
    <t>9/3/1</t>
  </si>
  <si>
    <t>10/3/1</t>
  </si>
  <si>
    <t>11/3/1</t>
  </si>
  <si>
    <t>12/3/1</t>
  </si>
  <si>
    <t>13/3/1</t>
  </si>
  <si>
    <t>14/3/1</t>
  </si>
  <si>
    <t>15/3/1</t>
  </si>
  <si>
    <t>16/3/1</t>
  </si>
  <si>
    <t>17/3/1</t>
  </si>
  <si>
    <t>18/3/1</t>
  </si>
  <si>
    <t>19/3/1</t>
  </si>
  <si>
    <t>20/3/1</t>
  </si>
  <si>
    <t>21/3/1</t>
  </si>
  <si>
    <t>22/3/1</t>
  </si>
  <si>
    <t>23/3/1</t>
  </si>
  <si>
    <t>24/3/1</t>
  </si>
  <si>
    <t>25/3/1</t>
  </si>
  <si>
    <t>26/3/1</t>
  </si>
  <si>
    <t>27/3/1</t>
  </si>
  <si>
    <t>28/3/1</t>
  </si>
  <si>
    <t>29/3/1</t>
  </si>
  <si>
    <t>30/3/1</t>
  </si>
  <si>
    <t>31/3/1</t>
  </si>
  <si>
    <t>32/3/1</t>
  </si>
  <si>
    <t>33/3/1</t>
  </si>
  <si>
    <t>34/3/1</t>
  </si>
  <si>
    <t>35/3/1</t>
  </si>
  <si>
    <t>36/3/1</t>
  </si>
  <si>
    <t>38/3/1</t>
  </si>
  <si>
    <t>39/3/1</t>
  </si>
  <si>
    <t>40/3/1</t>
  </si>
  <si>
    <t>41/3/1</t>
  </si>
  <si>
    <t>42/3/1</t>
  </si>
  <si>
    <t>43/3/1</t>
  </si>
  <si>
    <t>44/3/1</t>
  </si>
  <si>
    <t>45/3/1</t>
  </si>
  <si>
    <t>46/3/1</t>
  </si>
  <si>
    <t>37/3/1</t>
  </si>
  <si>
    <t>3/4/1</t>
  </si>
  <si>
    <t>4/4/1</t>
  </si>
  <si>
    <t>5/4/1</t>
  </si>
  <si>
    <t>6/4/1</t>
  </si>
  <si>
    <t>7/4/1</t>
  </si>
  <si>
    <t>8/4/1</t>
  </si>
  <si>
    <t>9/4/1</t>
  </si>
  <si>
    <t>10/4/1</t>
  </si>
  <si>
    <t>11/4/1</t>
  </si>
  <si>
    <t>12/4/1</t>
  </si>
  <si>
    <t>13/4/1</t>
  </si>
  <si>
    <t>14/4/1</t>
  </si>
  <si>
    <t>15/4/1</t>
  </si>
  <si>
    <t>16/4/1</t>
  </si>
  <si>
    <t>17/4/1</t>
  </si>
  <si>
    <t>18/4/1</t>
  </si>
  <si>
    <t>2/5/1</t>
  </si>
  <si>
    <t>3/5/1</t>
  </si>
  <si>
    <t>4/5/1</t>
  </si>
  <si>
    <t>5/5/1</t>
  </si>
  <si>
    <t>6/5/1</t>
  </si>
  <si>
    <t>7/5/1</t>
  </si>
  <si>
    <t>8/5/1</t>
  </si>
  <si>
    <t> 7/1/2</t>
  </si>
  <si>
    <t>6/1/2</t>
  </si>
  <si>
    <t>8/1/2</t>
  </si>
  <si>
    <t>9/1/2</t>
  </si>
  <si>
    <t>6/2/2</t>
  </si>
  <si>
    <t>7/2/2</t>
  </si>
  <si>
    <t>8/2/2</t>
  </si>
  <si>
    <t>13/2/2</t>
  </si>
  <si>
    <t>14/2/2</t>
  </si>
  <si>
    <t>15/2/2</t>
  </si>
  <si>
    <t>16/2/2</t>
  </si>
  <si>
    <t>17/2/2</t>
  </si>
  <si>
    <t>9/2/2</t>
  </si>
  <si>
    <t>10/2/2</t>
  </si>
  <si>
    <t>11/2/2</t>
  </si>
  <si>
    <t>12/2/2</t>
  </si>
  <si>
    <t>18/2/2</t>
  </si>
  <si>
    <t>19/2/2</t>
  </si>
  <si>
    <t>20/2/2</t>
  </si>
  <si>
    <t>21/2/2</t>
  </si>
  <si>
    <t>22/2/2</t>
  </si>
  <si>
    <t>23/2/2</t>
  </si>
  <si>
    <t>24/2/2</t>
  </si>
  <si>
    <t>25/2/2</t>
  </si>
  <si>
    <t>26/2/2</t>
  </si>
  <si>
    <t>27/2/2</t>
  </si>
  <si>
    <t>28/2/2</t>
  </si>
  <si>
    <t>29/2/2</t>
  </si>
  <si>
    <t>30/2/2</t>
  </si>
  <si>
    <t>31/2/2</t>
  </si>
  <si>
    <t>32/2/2</t>
  </si>
  <si>
    <t>33/2/2</t>
  </si>
  <si>
    <t>34/2/2</t>
  </si>
  <si>
    <t>35/2/2</t>
  </si>
  <si>
    <t>36/2/2</t>
  </si>
  <si>
    <t>37/2/2</t>
  </si>
  <si>
    <t>38/2/2</t>
  </si>
  <si>
    <t>39/2/2</t>
  </si>
  <si>
    <t>40/2/2</t>
  </si>
  <si>
    <t>41/2/2</t>
  </si>
  <si>
    <t>42/2/2</t>
  </si>
  <si>
    <t>43/2/2</t>
  </si>
  <si>
    <t>44/2/2</t>
  </si>
  <si>
    <t>45/2/2</t>
  </si>
  <si>
    <t>46/2/2</t>
  </si>
  <si>
    <t>5/3/2</t>
  </si>
  <si>
    <t>6/3/2</t>
  </si>
  <si>
    <t>7/3/2</t>
  </si>
  <si>
    <t>8/3/2</t>
  </si>
  <si>
    <t>13/3/2</t>
  </si>
  <si>
    <t>14/3/2</t>
  </si>
  <si>
    <t>15/3/2</t>
  </si>
  <si>
    <t>16/3/2</t>
  </si>
  <si>
    <t>17/3/2</t>
  </si>
  <si>
    <t>9/3/2</t>
  </si>
  <si>
    <t>10/3/2</t>
  </si>
  <si>
    <t>11/3/2</t>
  </si>
  <si>
    <t>12/3/2</t>
  </si>
  <si>
    <t>3/4/2</t>
  </si>
  <si>
    <t>4/4/2</t>
  </si>
  <si>
    <t>5/4/2</t>
  </si>
  <si>
    <t>6/4/2</t>
  </si>
  <si>
    <t>7/4/2</t>
  </si>
  <si>
    <t>8/4/2</t>
  </si>
  <si>
    <t>6/1/3</t>
  </si>
  <si>
    <t>7/1/3</t>
  </si>
  <si>
    <t>6/2/3</t>
  </si>
  <si>
    <t>7/2/3</t>
  </si>
  <si>
    <t>13/2/3</t>
  </si>
  <si>
    <t>14/2/3</t>
  </si>
  <si>
    <t>15/2/3</t>
  </si>
  <si>
    <t>8/2/3</t>
  </si>
  <si>
    <t>9/2/3</t>
  </si>
  <si>
    <t>10/2/3</t>
  </si>
  <si>
    <t>11/2/3</t>
  </si>
  <si>
    <t>12/2/3</t>
  </si>
  <si>
    <t>16/2/3</t>
  </si>
  <si>
    <t>17/2/3</t>
  </si>
  <si>
    <t>18/2/3</t>
  </si>
  <si>
    <t>19/2/3</t>
  </si>
  <si>
    <t>20/2/3</t>
  </si>
  <si>
    <t>21/2/3</t>
  </si>
  <si>
    <t>22/2/3</t>
  </si>
  <si>
    <t>23/2/3</t>
  </si>
  <si>
    <t>24/2/3</t>
  </si>
  <si>
    <t>25/2/3</t>
  </si>
  <si>
    <t>26/2/3</t>
  </si>
  <si>
    <t>27/2/3</t>
  </si>
  <si>
    <t>28/2/3</t>
  </si>
  <si>
    <t>29/2/3</t>
  </si>
  <si>
    <t>30/2/3</t>
  </si>
  <si>
    <t>31/2/3</t>
  </si>
  <si>
    <t>32/2/3</t>
  </si>
  <si>
    <t>33/2/3</t>
  </si>
  <si>
    <t>34/2/3</t>
  </si>
  <si>
    <t>35/2/3</t>
  </si>
  <si>
    <t>36/2/3</t>
  </si>
  <si>
    <t>37/2/3</t>
  </si>
  <si>
    <t>38/2/3</t>
  </si>
  <si>
    <t>39/2/3</t>
  </si>
  <si>
    <t>40/2/3</t>
  </si>
  <si>
    <t>41/2/3</t>
  </si>
  <si>
    <t>42/2/3</t>
  </si>
  <si>
    <t>43/2/3</t>
  </si>
  <si>
    <t>44/2/3</t>
  </si>
  <si>
    <t>45/2/3</t>
  </si>
  <si>
    <t>5/3/3</t>
  </si>
  <si>
    <t>6/3/3</t>
  </si>
  <si>
    <t>6/2/4</t>
  </si>
  <si>
    <t>7/2/4</t>
  </si>
  <si>
    <t>8/2/4</t>
  </si>
  <si>
    <t>9/2/4</t>
  </si>
  <si>
    <t>10/2/4</t>
  </si>
  <si>
    <t>11/2/4</t>
  </si>
  <si>
    <t>13/2/4</t>
  </si>
  <si>
    <t>14/2/4</t>
  </si>
  <si>
    <t>15/2/4</t>
  </si>
  <si>
    <t>16/2/4</t>
  </si>
  <si>
    <t>17/2/4</t>
  </si>
  <si>
    <t>18/2/4</t>
  </si>
  <si>
    <t>12/2/4</t>
  </si>
  <si>
    <t>19/2/4</t>
  </si>
  <si>
    <t>20/2/4</t>
  </si>
  <si>
    <t>21/2/4</t>
  </si>
  <si>
    <t>5/3/4</t>
  </si>
  <si>
    <t>6/3/4</t>
  </si>
  <si>
    <t>7/3/4</t>
  </si>
  <si>
    <t>8/3/4</t>
  </si>
  <si>
    <t>4/1/5</t>
  </si>
  <si>
    <t>6/2/5</t>
  </si>
  <si>
    <t>7/2/5</t>
  </si>
  <si>
    <t>8/2/5</t>
  </si>
  <si>
    <t>السند النظامي</t>
  </si>
  <si>
    <t>المادة الثالثة عشرة من نظام الغذاء</t>
  </si>
  <si>
    <t>المادة التاسعة من نظام الغذاء</t>
  </si>
  <si>
    <t>المادة الخامسة والثلاثون من نظام الغذاء</t>
  </si>
  <si>
    <t>المادة العشرون من نظام الغذاء</t>
  </si>
  <si>
    <t>المادة الحادية عشرة من نظام الغذاء</t>
  </si>
  <si>
    <t>المادة الرابعة والعشرون من نظام الغذاء</t>
  </si>
  <si>
    <t>المادة الرابعة والثلاثون من نظام الغذاء</t>
  </si>
  <si>
    <t>المادة الخامسة عشرة من نظام الغذاء</t>
  </si>
  <si>
    <t>المادة السابعة من نظام الغذاء</t>
  </si>
  <si>
    <t>المادة (5) من اللائحة التنفيذية لنظام الغذاء</t>
  </si>
  <si>
    <t xml:space="preserve">المادة الثامنة عشر من نظام الغذاء
</t>
  </si>
  <si>
    <t>المادة 27 من اللائحة التنفيذية لنظام الغذاء</t>
  </si>
  <si>
    <t>المادة الثامنة عشرة من نظام الغذاء</t>
  </si>
  <si>
    <t xml:space="preserve">المادة (26) من اللائحة التنفيذية لنظام الغذاء </t>
  </si>
  <si>
    <t>المادة (26) من اللائحة التنفيذية لنظام الغذاء</t>
  </si>
  <si>
    <t xml:space="preserve"> </t>
  </si>
  <si>
    <t>المادة رقم (43) من اللائحة التنفيذية</t>
  </si>
  <si>
    <t xml:space="preserve"> المادة السادسة عشر من نظام الغذاء</t>
  </si>
  <si>
    <t>المادة السادسة عشر من نظام الغذاء</t>
  </si>
  <si>
    <t>المادة الرابعة عشرة من نظام الغذاء</t>
  </si>
  <si>
    <t xml:space="preserve">المادة الخامسة عشر من نظام الغذاء </t>
  </si>
  <si>
    <t xml:space="preserve">  المادة السادسة عشر من نظام الغذاء</t>
  </si>
  <si>
    <t xml:space="preserve"> المادة الثامنة عشر من نظام الغذاء</t>
  </si>
  <si>
    <t>المادة الحادية عشرة من نظام الغذاء
 المادة السادسة عشر من نظام الغذاء</t>
  </si>
  <si>
    <t>المادة الرابعة عشر من نظام الغذاء
 المادة السادسة عشر من نظام الغذاء</t>
  </si>
  <si>
    <t xml:space="preserve"> المادة السادسة عشرة من نظام الغذاء</t>
  </si>
  <si>
    <r>
      <rPr>
        <sz val="14"/>
        <color rgb="FFFF0000"/>
        <rFont val="Sakkal Majalla"/>
      </rPr>
      <t xml:space="preserve"> </t>
    </r>
    <r>
      <rPr>
        <sz val="14"/>
        <color theme="1"/>
        <rFont val="Sakkal Majalla"/>
      </rPr>
      <t xml:space="preserve"> المادة السادسة عشر من نظام الغذاء</t>
    </r>
  </si>
  <si>
    <t>للمنتج بما لا يزيد
 عن 50.000 ريال</t>
  </si>
  <si>
    <t>للمنتج بما لا يزيد
 عن 30.000 ريال</t>
  </si>
  <si>
    <t>للمنتج بما لا يزيد 
عن 50.000 ريال</t>
  </si>
  <si>
    <t>لكل إعلان بما لا يزيد 
عن 50.000 ريال</t>
  </si>
  <si>
    <t>لكل جهاز بما لا يزيد 
عن 30.000 ريال</t>
  </si>
  <si>
    <t>للمنتج بما لا يزيد 
عن 100.000 ريال</t>
  </si>
  <si>
    <t>للمنتج بما لا يزيد 
عن 200.000 ريال</t>
  </si>
  <si>
    <t xml:space="preserve"> الفصل الرابع: المنشأة والعاملون</t>
  </si>
  <si>
    <r>
      <rPr>
        <sz val="14"/>
        <color rgb="FFFF0000"/>
        <rFont val="Sakkal Majalla"/>
      </rPr>
      <t xml:space="preserve"> </t>
    </r>
    <r>
      <rPr>
        <sz val="14"/>
        <color theme="1"/>
        <rFont val="Sakkal Majalla"/>
      </rPr>
      <t>المادة الخامسة عشرة من نظام الغذاء</t>
    </r>
  </si>
  <si>
    <t>المادة الخامسة والعشرون من نظام الغذاء</t>
  </si>
  <si>
    <t xml:space="preserve">المادة الثامنة عشر من نظام الغذاء </t>
  </si>
  <si>
    <t xml:space="preserve">المادة الرابعة عشرة من نظام الغذاء
</t>
  </si>
  <si>
    <t xml:space="preserve">المادة العشرون من نظام الغذاء
</t>
  </si>
  <si>
    <t xml:space="preserve">المادة الحادية عشرة من نظام الغذاء </t>
  </si>
  <si>
    <t xml:space="preserve">المادة السابعة من نظام الغذاء
</t>
  </si>
  <si>
    <t xml:space="preserve">
المادة الثانية عشرة من نظام الغذاء 
</t>
  </si>
  <si>
    <t xml:space="preserve">المادة الحادية والثلاثون من نظام الغذاء
</t>
  </si>
  <si>
    <t>المادة (50) من اللائحة التنفيذية لنظام الغذاء</t>
  </si>
  <si>
    <t>لكل إعلان بما لا يزيد 
عن 30.000 ريال</t>
  </si>
  <si>
    <t>للمنتج بما لا يزيد 
عن 30.000 ريال</t>
  </si>
  <si>
    <t>لكل جهاز بما لا يزيد 
عن 20.000 ريال</t>
  </si>
  <si>
    <t xml:space="preserve">
المادة الحادية والثلاثون من نظام الغذاء
</t>
  </si>
  <si>
    <t>المادة الثامنه والعشرون من نظام الغذاء
المادة الحادية والثلاثون من نظام الغذاء
المادة الثانية والثلاثون من نظام الغذاء</t>
  </si>
  <si>
    <t>المادة الثالثة عشرة من نظام الغذاء
المادة الحادية والثلاثون من نظام الغذاء</t>
  </si>
  <si>
    <t>للمنتج بما لا يزيد 
عن 10.000 ريال</t>
  </si>
  <si>
    <t>لكل إعلان بما لا يزيد
 عن 50.000 ريال</t>
  </si>
  <si>
    <t>المادة الثانية عشرة من نظام الغذاء 
المادة الحادية والثلاثون من نظام الغذاء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</si>
</sst>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rial"/>
      <family val="2"/>
      <scheme val="minor"/>
    </font>
    <font>
      <sz val="11"/>
      <name val="Arial"/>
      <family val="2"/>
      <scheme val="minor"/>
    </font>
    <font>
      <sz val="16"/>
      <name val="Sakkal Majalla"/>
    </font>
    <font>
      <b/>
      <sz val="16"/>
      <name val="Sakkal Majalla"/>
    </font>
    <font>
      <b/>
      <sz val="16"/>
      <color rgb="FF000000"/>
      <name val="Sakkal Majalla"/>
    </font>
    <font>
      <sz val="14"/>
      <name val="Sakkal Majalla"/>
    </font>
    <font>
      <sz val="14"/>
      <color theme="1"/>
      <name val="Sakkal Majalla"/>
    </font>
    <font>
      <b/>
      <sz val="11"/>
      <name val="Arial"/>
      <family val="2"/>
      <scheme val="minor"/>
    </font>
    <font>
      <sz val="11"/>
      <color rgb="FFFF0000"/>
      <name val="Arial"/>
      <family val="2"/>
      <scheme val="minor"/>
    </font>
    <font>
      <b/>
      <sz val="16"/>
      <color theme="1"/>
      <name val="Sakkal Majalla"/>
    </font>
    <font>
      <sz val="11"/>
      <color rgb="FF9C5700"/>
      <name val="Arial"/>
      <family val="2"/>
      <scheme val="minor"/>
    </font>
    <font>
      <sz val="14"/>
      <color rgb="FFFF0000"/>
      <name val="Sakkal Majalla"/>
    </font>
    <font>
      <b/>
      <sz val="14"/>
      <name val="Sakkal Majalla"/>
    </font>
  </fonts>
  <fills count="8">
    <fill>
      <patternFill patternType="none"/>
    </fill>
    <fill>
      <patternFill patternType="gray125"/>
    </fill>
    <fill>
      <patternFill patternType="solid">
        <fgColor theme="5" tint="0.59999389629810485"/>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rgb="FFFFFFFF"/>
        <bgColor indexed="64"/>
      </patternFill>
    </fill>
    <fill>
      <patternFill patternType="solid">
        <fgColor theme="0"/>
        <bgColor indexed="64"/>
      </patternFill>
    </fill>
    <fill>
      <patternFill patternType="solid">
        <fgColor rgb="FFFFEB9C"/>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0" fillId="7" borderId="0" applyNumberFormat="0" applyBorder="0" applyAlignment="0" applyProtection="0"/>
  </cellStyleXfs>
  <cellXfs count="117">
    <xf numFmtId="0" fontId="0" fillId="0" borderId="0" xfId="0"/>
    <xf numFmtId="0" fontId="1" fillId="0" borderId="0" xfId="0" applyFont="1" applyAlignment="1">
      <alignment wrapText="1"/>
    </xf>
    <xf numFmtId="0" fontId="1" fillId="6" borderId="0" xfId="0" applyFont="1" applyFill="1" applyAlignment="1">
      <alignment wrapText="1"/>
    </xf>
    <xf numFmtId="0" fontId="1" fillId="0" borderId="0" xfId="0" applyFont="1" applyAlignment="1">
      <alignment horizontal="center" vertical="center"/>
    </xf>
    <xf numFmtId="0" fontId="0" fillId="6" borderId="0" xfId="0" applyFill="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wrapText="1"/>
    </xf>
    <xf numFmtId="0" fontId="1" fillId="6" borderId="0" xfId="0" applyFont="1" applyFill="1" applyAlignment="1">
      <alignment horizontal="center" vertical="center" wrapText="1"/>
    </xf>
    <xf numFmtId="0" fontId="1" fillId="6" borderId="0" xfId="0" applyFont="1" applyFill="1" applyAlignment="1">
      <alignment horizontal="center" vertical="center"/>
    </xf>
    <xf numFmtId="0" fontId="1" fillId="6" borderId="0" xfId="0" applyFont="1" applyFill="1" applyAlignment="1">
      <alignment horizontal="center" vertical="center"/>
    </xf>
    <xf numFmtId="0" fontId="5" fillId="5" borderId="1" xfId="0" applyFont="1" applyFill="1" applyBorder="1" applyAlignment="1">
      <alignment horizontal="center" vertical="center" wrapText="1" readingOrder="2"/>
    </xf>
    <xf numFmtId="0" fontId="1" fillId="6" borderId="0" xfId="0" applyFont="1" applyFill="1"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center"/>
    </xf>
    <xf numFmtId="0" fontId="1" fillId="0" borderId="0" xfId="0" applyFont="1" applyFill="1" applyAlignment="1">
      <alignment wrapText="1"/>
    </xf>
    <xf numFmtId="0" fontId="1" fillId="0" borderId="0" xfId="0" applyFont="1" applyFill="1" applyAlignment="1">
      <alignment horizontal="center" vertical="center"/>
    </xf>
    <xf numFmtId="0" fontId="1" fillId="0" borderId="0" xfId="0" applyFont="1" applyFill="1" applyAlignment="1">
      <alignment horizontal="center" vertical="center" wrapText="1"/>
    </xf>
    <xf numFmtId="0" fontId="0" fillId="0" borderId="0" xfId="0" applyFill="1" applyAlignment="1">
      <alignment horizontal="center" vertical="center"/>
    </xf>
    <xf numFmtId="0" fontId="7" fillId="0" borderId="0" xfId="0" applyFont="1" applyAlignment="1">
      <alignment wrapText="1"/>
    </xf>
    <xf numFmtId="0" fontId="8" fillId="0" borderId="0" xfId="0" applyFont="1" applyAlignment="1">
      <alignment wrapText="1"/>
    </xf>
    <xf numFmtId="0" fontId="6" fillId="5" borderId="1" xfId="0" applyFont="1" applyFill="1" applyBorder="1" applyAlignment="1">
      <alignment horizontal="center" vertical="center" wrapText="1" readingOrder="2"/>
    </xf>
    <xf numFmtId="0" fontId="6" fillId="6" borderId="1" xfId="0" applyFont="1" applyFill="1" applyBorder="1" applyAlignment="1">
      <alignment horizontal="center" vertical="center" wrapText="1"/>
    </xf>
    <xf numFmtId="49" fontId="6" fillId="6" borderId="1" xfId="0" applyNumberFormat="1" applyFont="1" applyFill="1" applyBorder="1" applyAlignment="1">
      <alignment horizontal="center" vertical="center" wrapText="1"/>
    </xf>
    <xf numFmtId="49" fontId="6" fillId="6" borderId="1" xfId="0" applyNumberFormat="1" applyFont="1" applyFill="1" applyBorder="1" applyAlignment="1">
      <alignment horizontal="center" vertical="center" wrapText="1" readingOrder="2"/>
    </xf>
    <xf numFmtId="0" fontId="6" fillId="6" borderId="1" xfId="0" applyFont="1" applyFill="1" applyBorder="1" applyAlignment="1">
      <alignment horizontal="center" vertical="center" wrapText="1" readingOrder="2"/>
    </xf>
    <xf numFmtId="0" fontId="3" fillId="4" borderId="1" xfId="0" applyFont="1" applyFill="1" applyBorder="1" applyAlignment="1">
      <alignment horizontal="center" vertical="center" wrapText="1" readingOrder="2"/>
    </xf>
    <xf numFmtId="0" fontId="6" fillId="0" borderId="1" xfId="0" applyFont="1" applyBorder="1" applyAlignment="1">
      <alignment horizontal="center" vertical="center" wrapText="1" readingOrder="2"/>
    </xf>
    <xf numFmtId="49" fontId="6" fillId="0" borderId="1" xfId="0" applyNumberFormat="1" applyFont="1" applyBorder="1" applyAlignment="1">
      <alignment horizontal="center" vertical="center" wrapText="1" readingOrder="2"/>
    </xf>
    <xf numFmtId="49" fontId="6" fillId="5" borderId="1" xfId="0" applyNumberFormat="1" applyFont="1" applyFill="1" applyBorder="1" applyAlignment="1">
      <alignment horizontal="center" vertical="center" wrapText="1" readingOrder="2"/>
    </xf>
    <xf numFmtId="49" fontId="0" fillId="0" borderId="0" xfId="0" applyNumberFormat="1" applyAlignment="1">
      <alignment horizontal="center" vertical="center"/>
    </xf>
    <xf numFmtId="0" fontId="3" fillId="4" borderId="1" xfId="0" applyFont="1" applyFill="1" applyBorder="1" applyAlignment="1">
      <alignment horizontal="center" vertical="center" wrapText="1" readingOrder="2"/>
    </xf>
    <xf numFmtId="0" fontId="4" fillId="4" borderId="1" xfId="0" applyFont="1" applyFill="1" applyBorder="1" applyAlignment="1">
      <alignment horizontal="center" vertical="center" wrapText="1" readingOrder="2"/>
    </xf>
    <xf numFmtId="0" fontId="6" fillId="6" borderId="1" xfId="0" applyFont="1" applyFill="1" applyBorder="1" applyAlignment="1">
      <alignment horizontal="center" vertical="center" readingOrder="2"/>
    </xf>
    <xf numFmtId="0" fontId="1" fillId="0" borderId="4" xfId="0" applyFont="1" applyBorder="1" applyAlignment="1">
      <alignment horizontal="center" vertical="center" wrapText="1"/>
    </xf>
    <xf numFmtId="0" fontId="6" fillId="6" borderId="1" xfId="0" applyFont="1" applyFill="1" applyBorder="1" applyAlignment="1">
      <alignment horizontal="center" vertical="center" wrapText="1" readingOrder="2"/>
    </xf>
    <xf numFmtId="49" fontId="6" fillId="6" borderId="1" xfId="0" applyNumberFormat="1" applyFont="1" applyFill="1" applyBorder="1" applyAlignment="1">
      <alignment horizontal="center" vertical="center" wrapText="1" readingOrder="2"/>
    </xf>
    <xf numFmtId="0" fontId="5" fillId="0" borderId="1" xfId="0" applyFont="1" applyBorder="1" applyAlignment="1">
      <alignment horizontal="center" vertical="center" wrapText="1" readingOrder="2"/>
    </xf>
    <xf numFmtId="0" fontId="6" fillId="6" borderId="1" xfId="0" applyFont="1" applyFill="1" applyBorder="1" applyAlignment="1">
      <alignment horizontal="center" vertical="center" readingOrder="2"/>
    </xf>
    <xf numFmtId="0" fontId="6" fillId="0" borderId="1" xfId="0" applyFont="1" applyBorder="1" applyAlignment="1">
      <alignment horizontal="center" vertical="center" wrapText="1" readingOrder="2"/>
    </xf>
    <xf numFmtId="0" fontId="6" fillId="0" borderId="1" xfId="0" applyFont="1" applyFill="1" applyBorder="1" applyAlignment="1">
      <alignment horizontal="center" vertical="center" wrapText="1" readingOrder="2"/>
    </xf>
    <xf numFmtId="0" fontId="6" fillId="6" borderId="1" xfId="0" applyFont="1" applyFill="1" applyBorder="1" applyAlignment="1">
      <alignment horizontal="center" vertical="top" wrapText="1" readingOrder="2"/>
    </xf>
    <xf numFmtId="0" fontId="5" fillId="6" borderId="1" xfId="0" applyFont="1" applyFill="1" applyBorder="1" applyAlignment="1">
      <alignment horizontal="center" vertical="center" wrapText="1" readingOrder="2"/>
    </xf>
    <xf numFmtId="0" fontId="5" fillId="6" borderId="1" xfId="0" applyFont="1" applyFill="1" applyBorder="1" applyAlignment="1">
      <alignment horizontal="center" vertical="center"/>
    </xf>
    <xf numFmtId="0" fontId="6" fillId="0" borderId="1" xfId="0" applyFont="1" applyBorder="1" applyAlignment="1">
      <alignment horizontal="center"/>
    </xf>
    <xf numFmtId="0" fontId="1" fillId="6" borderId="1" xfId="1" applyFont="1" applyFill="1" applyBorder="1" applyAlignment="1">
      <alignment horizontal="center" vertical="center" wrapText="1" readingOrder="2"/>
    </xf>
    <xf numFmtId="0" fontId="5" fillId="6" borderId="1" xfId="1" applyFont="1" applyFill="1" applyBorder="1" applyAlignment="1">
      <alignment horizontal="center" vertical="center" wrapText="1" readingOrder="2"/>
    </xf>
    <xf numFmtId="0" fontId="5" fillId="6" borderId="1" xfId="0" applyFont="1" applyFill="1" applyBorder="1" applyAlignment="1">
      <alignment horizontal="center" vertical="center" wrapText="1"/>
    </xf>
    <xf numFmtId="0" fontId="6" fillId="0" borderId="1" xfId="0" applyFont="1" applyBorder="1" applyAlignment="1">
      <alignment horizontal="center" vertical="center"/>
    </xf>
    <xf numFmtId="0" fontId="6" fillId="6" borderId="2" xfId="0" applyFont="1" applyFill="1" applyBorder="1" applyAlignment="1">
      <alignment horizontal="center" vertical="center" wrapText="1" readingOrder="2"/>
    </xf>
    <xf numFmtId="49" fontId="5" fillId="0" borderId="1" xfId="1" applyNumberFormat="1" applyFont="1" applyFill="1" applyBorder="1" applyAlignment="1">
      <alignment horizontal="center" vertical="center" wrapText="1" readingOrder="2"/>
    </xf>
    <xf numFmtId="0" fontId="5" fillId="0" borderId="1" xfId="1" applyFont="1" applyFill="1" applyBorder="1" applyAlignment="1">
      <alignment horizontal="center" vertical="center" wrapText="1" readingOrder="2"/>
    </xf>
    <xf numFmtId="0" fontId="6" fillId="0" borderId="1" xfId="0" applyFont="1" applyBorder="1"/>
    <xf numFmtId="0" fontId="6" fillId="3" borderId="1" xfId="0" applyFont="1" applyFill="1" applyBorder="1" applyAlignment="1">
      <alignment horizontal="center" vertical="center" wrapText="1" readingOrder="2"/>
    </xf>
    <xf numFmtId="0" fontId="6" fillId="6" borderId="1" xfId="0" applyFont="1" applyFill="1" applyBorder="1" applyAlignment="1">
      <alignment horizontal="center" vertical="center" wrapText="1" readingOrder="2"/>
    </xf>
    <xf numFmtId="0" fontId="6" fillId="6" borderId="1" xfId="0" applyFont="1" applyFill="1" applyBorder="1" applyAlignment="1">
      <alignment horizontal="center" vertical="center" wrapText="1" readingOrder="2"/>
    </xf>
    <xf numFmtId="49" fontId="6" fillId="6" borderId="1" xfId="0" applyNumberFormat="1" applyFont="1" applyFill="1" applyBorder="1" applyAlignment="1">
      <alignment horizontal="center" vertical="center" wrapText="1" readingOrder="2"/>
    </xf>
    <xf numFmtId="0" fontId="3" fillId="4" borderId="1" xfId="0" applyFont="1" applyFill="1" applyBorder="1" applyAlignment="1">
      <alignment horizontal="center" vertical="center" wrapText="1" readingOrder="2"/>
    </xf>
    <xf numFmtId="0" fontId="5" fillId="6" borderId="5" xfId="1" applyFont="1" applyFill="1" applyBorder="1" applyAlignment="1">
      <alignment horizontal="center" vertical="center" wrapText="1" readingOrder="2"/>
    </xf>
    <xf numFmtId="0" fontId="5" fillId="6" borderId="6" xfId="1" applyFont="1" applyFill="1" applyBorder="1" applyAlignment="1">
      <alignment horizontal="center" vertical="center" wrapText="1" readingOrder="2"/>
    </xf>
    <xf numFmtId="0" fontId="5" fillId="6" borderId="7" xfId="1" applyFont="1" applyFill="1" applyBorder="1" applyAlignment="1">
      <alignment horizontal="center" vertical="center" wrapText="1" readingOrder="2"/>
    </xf>
    <xf numFmtId="0" fontId="5" fillId="6" borderId="2" xfId="1" applyFont="1" applyFill="1" applyBorder="1" applyAlignment="1">
      <alignment horizontal="center" vertical="center" wrapText="1" readingOrder="2"/>
    </xf>
    <xf numFmtId="0" fontId="5" fillId="6" borderId="3" xfId="1" applyFont="1" applyFill="1" applyBorder="1" applyAlignment="1">
      <alignment horizontal="center" vertical="center" wrapText="1" readingOrder="2"/>
    </xf>
    <xf numFmtId="0" fontId="5" fillId="6" borderId="5" xfId="0" applyFont="1" applyFill="1" applyBorder="1" applyAlignment="1">
      <alignment horizontal="center" vertical="center"/>
    </xf>
    <xf numFmtId="0" fontId="5" fillId="6" borderId="6"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1" xfId="1" applyFont="1" applyFill="1" applyBorder="1" applyAlignment="1">
      <alignment horizontal="center" vertical="center" wrapText="1" readingOrder="2"/>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3" fillId="2" borderId="1" xfId="0" applyFont="1" applyFill="1" applyBorder="1" applyAlignment="1">
      <alignment horizontal="center" vertical="center" wrapText="1" readingOrder="2"/>
    </xf>
    <xf numFmtId="0" fontId="2" fillId="3" borderId="1" xfId="0" applyFont="1" applyFill="1" applyBorder="1" applyAlignment="1">
      <alignment horizontal="center" vertical="center" wrapText="1" readingOrder="2"/>
    </xf>
    <xf numFmtId="0" fontId="5" fillId="3" borderId="1" xfId="0" applyFont="1" applyFill="1" applyBorder="1" applyAlignment="1">
      <alignment horizontal="center" vertical="center" wrapText="1" readingOrder="2"/>
    </xf>
    <xf numFmtId="0" fontId="6" fillId="6" borderId="2" xfId="0" applyFont="1" applyFill="1" applyBorder="1" applyAlignment="1">
      <alignment horizontal="center" vertical="center" wrapText="1" readingOrder="2"/>
    </xf>
    <xf numFmtId="0" fontId="6" fillId="6" borderId="3" xfId="0" applyFont="1" applyFill="1" applyBorder="1" applyAlignment="1">
      <alignment horizontal="center" vertical="center" wrapText="1" readingOrder="2"/>
    </xf>
    <xf numFmtId="0" fontId="5" fillId="0" borderId="1" xfId="0" applyFont="1" applyBorder="1" applyAlignment="1">
      <alignment horizontal="center" vertical="center" wrapText="1" readingOrder="2"/>
    </xf>
    <xf numFmtId="0" fontId="5" fillId="3" borderId="5" xfId="0" applyFont="1" applyFill="1" applyBorder="1" applyAlignment="1">
      <alignment horizontal="center" vertical="center" wrapText="1" readingOrder="2"/>
    </xf>
    <xf numFmtId="0" fontId="5" fillId="3" borderId="6" xfId="0" applyFont="1" applyFill="1" applyBorder="1" applyAlignment="1">
      <alignment horizontal="center" vertical="center" wrapText="1" readingOrder="2"/>
    </xf>
    <xf numFmtId="0" fontId="5" fillId="3" borderId="7" xfId="0" applyFont="1" applyFill="1" applyBorder="1" applyAlignment="1">
      <alignment horizontal="center" vertical="center" wrapText="1" readingOrder="2"/>
    </xf>
    <xf numFmtId="0" fontId="5" fillId="6" borderId="2" xfId="0" applyFont="1" applyFill="1" applyBorder="1" applyAlignment="1">
      <alignment horizontal="center" vertical="center" wrapText="1" readingOrder="2"/>
    </xf>
    <xf numFmtId="0" fontId="6" fillId="3" borderId="5" xfId="0" applyFont="1" applyFill="1" applyBorder="1" applyAlignment="1">
      <alignment horizontal="center" vertical="center" wrapText="1" readingOrder="2"/>
    </xf>
    <xf numFmtId="0" fontId="6" fillId="3" borderId="6" xfId="0" applyFont="1" applyFill="1" applyBorder="1" applyAlignment="1">
      <alignment horizontal="center" vertical="center" wrapText="1" readingOrder="2"/>
    </xf>
    <xf numFmtId="0" fontId="6" fillId="3" borderId="7" xfId="0" applyFont="1" applyFill="1" applyBorder="1" applyAlignment="1">
      <alignment horizontal="center" vertical="center" wrapText="1" readingOrder="2"/>
    </xf>
    <xf numFmtId="0" fontId="5" fillId="0" borderId="1" xfId="1" applyFont="1" applyFill="1" applyBorder="1" applyAlignment="1">
      <alignment horizontal="center" vertical="center" wrapText="1" readingOrder="2"/>
    </xf>
    <xf numFmtId="0" fontId="6" fillId="6" borderId="1" xfId="0" applyFont="1" applyFill="1" applyBorder="1" applyAlignment="1">
      <alignment horizontal="center" vertical="center" readingOrder="2"/>
    </xf>
    <xf numFmtId="0" fontId="6" fillId="3" borderId="1" xfId="0" applyFont="1" applyFill="1" applyBorder="1" applyAlignment="1">
      <alignment horizontal="center" vertical="center" wrapText="1" readingOrder="2"/>
    </xf>
    <xf numFmtId="0" fontId="1" fillId="6" borderId="1" xfId="1" applyFont="1" applyFill="1" applyBorder="1" applyAlignment="1">
      <alignment horizontal="center" vertical="center" wrapText="1" readingOrder="2"/>
    </xf>
    <xf numFmtId="0" fontId="6" fillId="0" borderId="1" xfId="0" applyFont="1" applyBorder="1" applyAlignment="1">
      <alignment horizontal="center" vertical="center" wrapText="1" readingOrder="2"/>
    </xf>
    <xf numFmtId="0" fontId="6" fillId="0" borderId="1" xfId="0" applyFont="1" applyFill="1" applyBorder="1" applyAlignment="1">
      <alignment horizontal="center" vertical="center" wrapText="1" readingOrder="2"/>
    </xf>
    <xf numFmtId="0" fontId="9" fillId="2" borderId="1" xfId="0" applyFont="1" applyFill="1" applyBorder="1" applyAlignment="1">
      <alignment horizontal="center" vertical="center" wrapText="1" readingOrder="2"/>
    </xf>
    <xf numFmtId="0" fontId="3" fillId="3" borderId="1" xfId="0" applyFont="1" applyFill="1" applyBorder="1" applyAlignment="1">
      <alignment horizontal="center" vertical="center" wrapText="1" readingOrder="2"/>
    </xf>
    <xf numFmtId="0" fontId="6" fillId="6" borderId="1" xfId="0" applyFont="1" applyFill="1" applyBorder="1" applyAlignment="1">
      <alignment horizontal="center" vertical="top" wrapText="1" readingOrder="2"/>
    </xf>
    <xf numFmtId="0" fontId="6" fillId="0" borderId="1" xfId="0" applyFont="1" applyBorder="1" applyAlignment="1">
      <alignment horizontal="center"/>
    </xf>
    <xf numFmtId="49" fontId="6" fillId="0" borderId="1" xfId="0" applyNumberFormat="1" applyFont="1" applyFill="1" applyBorder="1" applyAlignment="1">
      <alignment horizontal="center" vertical="center" wrapText="1" readingOrder="2"/>
    </xf>
    <xf numFmtId="49" fontId="5" fillId="0" borderId="1" xfId="1" applyNumberFormat="1" applyFont="1" applyFill="1" applyBorder="1" applyAlignment="1">
      <alignment horizontal="center" vertical="center" wrapText="1" readingOrder="2"/>
    </xf>
    <xf numFmtId="0" fontId="5" fillId="6" borderId="1" xfId="0" applyFont="1" applyFill="1" applyBorder="1" applyAlignment="1">
      <alignment horizontal="center" vertical="center" wrapText="1" readingOrder="2"/>
    </xf>
    <xf numFmtId="49" fontId="3" fillId="4" borderId="1" xfId="0" applyNumberFormat="1" applyFont="1" applyFill="1" applyBorder="1" applyAlignment="1">
      <alignment horizontal="center" vertical="center" wrapText="1" readingOrder="2"/>
    </xf>
    <xf numFmtId="0" fontId="6" fillId="0" borderId="1" xfId="0" applyFont="1" applyBorder="1"/>
    <xf numFmtId="0" fontId="6" fillId="0" borderId="2" xfId="0" applyFont="1" applyBorder="1" applyAlignment="1">
      <alignment horizontal="center" vertical="center" wrapText="1" readingOrder="2"/>
    </xf>
    <xf numFmtId="0" fontId="6" fillId="0" borderId="3" xfId="0" applyFont="1" applyBorder="1" applyAlignment="1">
      <alignment horizontal="center" vertical="center" wrapText="1" readingOrder="2"/>
    </xf>
    <xf numFmtId="0" fontId="4" fillId="2" borderId="1" xfId="0" applyFont="1" applyFill="1" applyBorder="1" applyAlignment="1">
      <alignment horizontal="center" vertical="center" wrapText="1" readingOrder="2"/>
    </xf>
    <xf numFmtId="0" fontId="12" fillId="3" borderId="1" xfId="0" applyFont="1" applyFill="1" applyBorder="1" applyAlignment="1">
      <alignment horizontal="center" vertical="center" wrapText="1" readingOrder="2"/>
    </xf>
    <xf numFmtId="0" fontId="5" fillId="0" borderId="2" xfId="1" applyFont="1" applyFill="1" applyBorder="1" applyAlignment="1">
      <alignment horizontal="center" vertical="center" wrapText="1" readingOrder="2"/>
    </xf>
    <xf numFmtId="0" fontId="5" fillId="0" borderId="3" xfId="1" applyFont="1" applyFill="1" applyBorder="1" applyAlignment="1">
      <alignment horizontal="center" vertical="center" wrapText="1" readingOrder="2"/>
    </xf>
    <xf numFmtId="49" fontId="4" fillId="4" borderId="1" xfId="0" applyNumberFormat="1" applyFont="1" applyFill="1" applyBorder="1" applyAlignment="1">
      <alignment horizontal="center" vertical="center" wrapText="1" readingOrder="2"/>
    </xf>
    <xf numFmtId="0" fontId="4" fillId="4" borderId="1" xfId="0" applyFont="1" applyFill="1" applyBorder="1" applyAlignment="1">
      <alignment horizontal="center" vertical="center" wrapText="1" readingOrder="2"/>
    </xf>
    <xf numFmtId="0" fontId="4" fillId="4" borderId="2" xfId="0" applyFont="1" applyFill="1" applyBorder="1" applyAlignment="1">
      <alignment horizontal="center" vertical="center" wrapText="1" readingOrder="2"/>
    </xf>
    <xf numFmtId="0" fontId="4" fillId="4" borderId="3" xfId="0" applyFont="1" applyFill="1" applyBorder="1" applyAlignment="1">
      <alignment horizontal="center" vertical="center" wrapText="1" readingOrder="2"/>
    </xf>
    <xf numFmtId="0" fontId="3" fillId="4" borderId="2" xfId="0" applyFont="1" applyFill="1" applyBorder="1" applyAlignment="1">
      <alignment horizontal="center" vertical="center" wrapText="1" readingOrder="2"/>
    </xf>
    <xf numFmtId="0" fontId="3" fillId="4" borderId="3" xfId="0" applyFont="1" applyFill="1" applyBorder="1" applyAlignment="1">
      <alignment horizontal="center" vertical="center" wrapText="1" readingOrder="2"/>
    </xf>
    <xf numFmtId="49" fontId="6" fillId="0" borderId="2" xfId="0" applyNumberFormat="1" applyFont="1" applyFill="1" applyBorder="1" applyAlignment="1">
      <alignment horizontal="center" vertical="center" wrapText="1" readingOrder="2"/>
    </xf>
    <xf numFmtId="49" fontId="6" fillId="0" borderId="3" xfId="0" applyNumberFormat="1" applyFont="1" applyFill="1" applyBorder="1" applyAlignment="1">
      <alignment horizontal="center" vertical="center" wrapText="1" readingOrder="2"/>
    </xf>
    <xf numFmtId="49" fontId="6" fillId="6" borderId="2" xfId="0" applyNumberFormat="1" applyFont="1" applyFill="1" applyBorder="1" applyAlignment="1">
      <alignment horizontal="center" vertical="center" wrapText="1" readingOrder="2"/>
    </xf>
    <xf numFmtId="49" fontId="6" fillId="6" borderId="3" xfId="0" applyNumberFormat="1" applyFont="1" applyFill="1" applyBorder="1" applyAlignment="1">
      <alignment horizontal="center" vertical="center" wrapText="1" readingOrder="2"/>
    </xf>
    <xf numFmtId="0" fontId="6" fillId="0" borderId="1" xfId="0" applyFont="1" applyBorder="1" applyAlignment="1">
      <alignment horizontal="center" vertical="center"/>
    </xf>
    <xf numFmtId="49" fontId="5" fillId="6" borderId="1" xfId="1" applyNumberFormat="1" applyFont="1" applyFill="1" applyBorder="1" applyAlignment="1">
      <alignment horizontal="center" vertical="center" wrapText="1" readingOrder="2"/>
    </xf>
    <xf numFmtId="49" fontId="5" fillId="6" borderId="1" xfId="1" applyNumberFormat="1" applyFont="1" applyFill="1" applyBorder="1" applyAlignment="1">
      <alignment horizontal="center" vertical="center" wrapText="1" readingOrder="2"/>
    </xf>
    <xf numFmtId="0" fontId="6" fillId="0" borderId="1" xfId="0" applyFont="1" applyBorder="1" applyAlignment="1">
      <alignment vertical="center"/>
    </xf>
    <xf numFmtId="0" fontId="6" fillId="0" borderId="1" xfId="0" applyFont="1" applyBorder="1" applyAlignment="1">
      <alignment vertical="center"/>
    </xf>
  </cellXfs>
  <cellStyles count="2">
    <cellStyle name="Neutral" xfId="1"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نسق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125"/>
  <sheetViews>
    <sheetView rightToLeft="1" topLeftCell="A70" zoomScale="80" zoomScaleNormal="80" workbookViewId="0">
      <selection activeCell="A119" sqref="A119"/>
    </sheetView>
  </sheetViews>
  <sheetFormatPr defaultColWidth="9.125" defaultRowHeight="18" customHeight="1" x14ac:dyDescent="0.2"/>
  <cols>
    <col min="1" max="1" width="7.625" style="1" customWidth="1"/>
    <col min="2" max="2" width="51.375" style="1" customWidth="1"/>
    <col min="3" max="3" width="10.125" style="1" customWidth="1"/>
    <col min="4" max="4" width="6.75" style="1" bestFit="1" customWidth="1"/>
    <col min="5" max="6" width="6.375" style="1" bestFit="1" customWidth="1"/>
    <col min="7" max="7" width="5.75" style="1" customWidth="1"/>
    <col min="8" max="8" width="6.625" style="1" bestFit="1" customWidth="1"/>
    <col min="9" max="10" width="6.375" style="1" bestFit="1" customWidth="1"/>
    <col min="11" max="11" width="6" style="1" bestFit="1" customWidth="1"/>
    <col min="12" max="12" width="6.625" style="1" bestFit="1" customWidth="1"/>
    <col min="13" max="14" width="6.375" style="1" bestFit="1" customWidth="1"/>
    <col min="15" max="15" width="5.875" style="1" customWidth="1"/>
    <col min="16" max="16" width="25.875" style="1" customWidth="1"/>
    <col min="17" max="17" width="21.125" style="1" customWidth="1"/>
    <col min="18" max="18" width="28.875" style="1" bestFit="1" customWidth="1"/>
    <col min="19" max="16384" width="9.125" style="1"/>
  </cols>
  <sheetData>
    <row r="1" spans="1:18" ht="30" customHeight="1" x14ac:dyDescent="0.2">
      <c r="A1" s="68" t="s">
        <v>95</v>
      </c>
      <c r="B1" s="68"/>
      <c r="C1" s="68"/>
      <c r="D1" s="68"/>
      <c r="E1" s="68"/>
      <c r="F1" s="68"/>
      <c r="G1" s="68"/>
      <c r="H1" s="68"/>
      <c r="I1" s="68"/>
      <c r="J1" s="68"/>
      <c r="K1" s="68"/>
      <c r="L1" s="68"/>
      <c r="M1" s="68"/>
      <c r="N1" s="68"/>
      <c r="O1" s="68"/>
      <c r="P1" s="68"/>
      <c r="Q1" s="68"/>
      <c r="R1" s="68"/>
    </row>
    <row r="2" spans="1:18" s="18" customFormat="1" ht="41.25" customHeight="1" x14ac:dyDescent="0.25">
      <c r="A2" s="56" t="s">
        <v>4</v>
      </c>
      <c r="B2" s="56" t="s">
        <v>3</v>
      </c>
      <c r="C2" s="56" t="s">
        <v>141</v>
      </c>
      <c r="D2" s="56" t="s">
        <v>2</v>
      </c>
      <c r="E2" s="56"/>
      <c r="F2" s="56"/>
      <c r="G2" s="56"/>
      <c r="H2" s="56" t="s">
        <v>1</v>
      </c>
      <c r="I2" s="56"/>
      <c r="J2" s="56"/>
      <c r="K2" s="56"/>
      <c r="L2" s="56" t="s">
        <v>0</v>
      </c>
      <c r="M2" s="56"/>
      <c r="N2" s="56"/>
      <c r="O2" s="56"/>
      <c r="P2" s="56" t="s">
        <v>11</v>
      </c>
      <c r="Q2" s="56" t="s">
        <v>52</v>
      </c>
      <c r="R2" s="56" t="s">
        <v>477</v>
      </c>
    </row>
    <row r="3" spans="1:18" s="18" customFormat="1" ht="53.25" customHeight="1" x14ac:dyDescent="0.25">
      <c r="A3" s="56"/>
      <c r="B3" s="56"/>
      <c r="C3" s="56"/>
      <c r="D3" s="25" t="s">
        <v>8</v>
      </c>
      <c r="E3" s="25" t="s">
        <v>7</v>
      </c>
      <c r="F3" s="25" t="s">
        <v>6</v>
      </c>
      <c r="G3" s="25" t="s">
        <v>5</v>
      </c>
      <c r="H3" s="25" t="s">
        <v>8</v>
      </c>
      <c r="I3" s="25" t="s">
        <v>7</v>
      </c>
      <c r="J3" s="25" t="s">
        <v>6</v>
      </c>
      <c r="K3" s="25" t="s">
        <v>5</v>
      </c>
      <c r="L3" s="25" t="s">
        <v>8</v>
      </c>
      <c r="M3" s="25" t="s">
        <v>7</v>
      </c>
      <c r="N3" s="25" t="s">
        <v>6</v>
      </c>
      <c r="O3" s="25" t="s">
        <v>5</v>
      </c>
      <c r="P3" s="56"/>
      <c r="Q3" s="56"/>
      <c r="R3" s="56"/>
    </row>
    <row r="4" spans="1:18" ht="23.25" customHeight="1" x14ac:dyDescent="0.2">
      <c r="A4" s="69" t="s">
        <v>134</v>
      </c>
      <c r="B4" s="69"/>
      <c r="C4" s="69"/>
      <c r="D4" s="69"/>
      <c r="E4" s="69"/>
      <c r="F4" s="69"/>
      <c r="G4" s="69"/>
      <c r="H4" s="69"/>
      <c r="I4" s="69"/>
      <c r="J4" s="69"/>
      <c r="K4" s="69"/>
      <c r="L4" s="69"/>
      <c r="M4" s="69"/>
      <c r="N4" s="69"/>
      <c r="O4" s="69"/>
      <c r="P4" s="69"/>
      <c r="Q4" s="69"/>
      <c r="R4" s="69"/>
    </row>
    <row r="5" spans="1:18" ht="36.75" customHeight="1" x14ac:dyDescent="0.2">
      <c r="A5" s="34" t="s">
        <v>173</v>
      </c>
      <c r="B5" s="34" t="s">
        <v>99</v>
      </c>
      <c r="C5" s="34" t="s">
        <v>57</v>
      </c>
      <c r="D5" s="54">
        <v>30000</v>
      </c>
      <c r="E5" s="54"/>
      <c r="F5" s="54"/>
      <c r="G5" s="54"/>
      <c r="H5" s="54">
        <f>D5-(D5*20/100)</f>
        <v>24000</v>
      </c>
      <c r="I5" s="54"/>
      <c r="J5" s="54"/>
      <c r="K5" s="54"/>
      <c r="L5" s="54">
        <f>D5-(D5*40/100)</f>
        <v>18000</v>
      </c>
      <c r="M5" s="54"/>
      <c r="N5" s="54"/>
      <c r="O5" s="54"/>
      <c r="P5" s="34" t="s">
        <v>9</v>
      </c>
      <c r="Q5" s="34" t="s">
        <v>53</v>
      </c>
      <c r="R5" s="34" t="s">
        <v>478</v>
      </c>
    </row>
    <row r="6" spans="1:18" ht="32.25" customHeight="1" x14ac:dyDescent="0.2">
      <c r="A6" s="35" t="s">
        <v>190</v>
      </c>
      <c r="B6" s="34" t="s">
        <v>90</v>
      </c>
      <c r="C6" s="34" t="s">
        <v>57</v>
      </c>
      <c r="D6" s="54">
        <v>5000</v>
      </c>
      <c r="E6" s="54"/>
      <c r="F6" s="54"/>
      <c r="G6" s="54"/>
      <c r="H6" s="54">
        <f>D6-(D6*20/100)</f>
        <v>4000</v>
      </c>
      <c r="I6" s="54"/>
      <c r="J6" s="54"/>
      <c r="K6" s="54"/>
      <c r="L6" s="54">
        <f>D6-(D6*40/100)</f>
        <v>3000</v>
      </c>
      <c r="M6" s="54"/>
      <c r="N6" s="54"/>
      <c r="O6" s="54"/>
      <c r="P6" s="34" t="s">
        <v>9</v>
      </c>
      <c r="Q6" s="34" t="s">
        <v>53</v>
      </c>
      <c r="R6" s="34" t="s">
        <v>478</v>
      </c>
    </row>
    <row r="7" spans="1:18" ht="18" customHeight="1" x14ac:dyDescent="0.2">
      <c r="A7" s="55" t="s">
        <v>206</v>
      </c>
      <c r="B7" s="54" t="s">
        <v>91</v>
      </c>
      <c r="C7" s="34" t="s">
        <v>40</v>
      </c>
      <c r="D7" s="34">
        <v>5000</v>
      </c>
      <c r="E7" s="34">
        <f>MROUND(D7-(D7*10/100),50)</f>
        <v>4500</v>
      </c>
      <c r="F7" s="34">
        <f>MROUND(D7-(D7*20/100),50)</f>
        <v>4000</v>
      </c>
      <c r="G7" s="34">
        <f>MROUND(D7-(D7*30/100),50)</f>
        <v>3500</v>
      </c>
      <c r="H7" s="34">
        <f>MROUND(D7-(D7*10/100),50)</f>
        <v>4500</v>
      </c>
      <c r="I7" s="34">
        <f>MROUND(H7-(H7*10/100),50)</f>
        <v>4050</v>
      </c>
      <c r="J7" s="34">
        <f>MROUND(H7-(H7*20/100),50)</f>
        <v>3600</v>
      </c>
      <c r="K7" s="34">
        <f>MROUND(H7-(H7*30/100),50)</f>
        <v>3150</v>
      </c>
      <c r="L7" s="34">
        <f>MROUND(D7-(D7*20/100),50)</f>
        <v>4000</v>
      </c>
      <c r="M7" s="34">
        <f>MROUND(L7-(L7*10/100),50)</f>
        <v>3600</v>
      </c>
      <c r="N7" s="34">
        <f>MROUND(L7-(L7*20/100),50)</f>
        <v>3200</v>
      </c>
      <c r="O7" s="34">
        <f>MROUND(L7-(L7*30/100),50)</f>
        <v>2800</v>
      </c>
      <c r="P7" s="54" t="s">
        <v>10</v>
      </c>
      <c r="Q7" s="54" t="s">
        <v>53</v>
      </c>
      <c r="R7" s="54" t="s">
        <v>478</v>
      </c>
    </row>
    <row r="8" spans="1:18" ht="18" customHeight="1" x14ac:dyDescent="0.2">
      <c r="A8" s="55"/>
      <c r="B8" s="54"/>
      <c r="C8" s="34" t="s">
        <v>41</v>
      </c>
      <c r="D8" s="34">
        <f>D7*50/100</f>
        <v>2500</v>
      </c>
      <c r="E8" s="34">
        <f t="shared" ref="E8:O8" si="0">MROUND(E7*50/100,50)</f>
        <v>2250</v>
      </c>
      <c r="F8" s="34">
        <f t="shared" si="0"/>
        <v>2000</v>
      </c>
      <c r="G8" s="34">
        <f t="shared" si="0"/>
        <v>1750</v>
      </c>
      <c r="H8" s="34">
        <f t="shared" si="0"/>
        <v>2250</v>
      </c>
      <c r="I8" s="34">
        <f t="shared" si="0"/>
        <v>2050</v>
      </c>
      <c r="J8" s="34">
        <f t="shared" si="0"/>
        <v>1800</v>
      </c>
      <c r="K8" s="34">
        <f t="shared" si="0"/>
        <v>1600</v>
      </c>
      <c r="L8" s="34">
        <f t="shared" si="0"/>
        <v>2000</v>
      </c>
      <c r="M8" s="34">
        <f t="shared" si="0"/>
        <v>1800</v>
      </c>
      <c r="N8" s="34">
        <f t="shared" si="0"/>
        <v>1600</v>
      </c>
      <c r="O8" s="34">
        <f t="shared" si="0"/>
        <v>1400</v>
      </c>
      <c r="P8" s="54"/>
      <c r="Q8" s="54"/>
      <c r="R8" s="54"/>
    </row>
    <row r="9" spans="1:18" ht="37.5" customHeight="1" x14ac:dyDescent="0.2">
      <c r="A9" s="35" t="s">
        <v>220</v>
      </c>
      <c r="B9" s="34" t="s">
        <v>92</v>
      </c>
      <c r="C9" s="34" t="s">
        <v>57</v>
      </c>
      <c r="D9" s="54">
        <v>2000</v>
      </c>
      <c r="E9" s="54"/>
      <c r="F9" s="54"/>
      <c r="G9" s="54"/>
      <c r="H9" s="54">
        <f>D9-(D9*20/100)</f>
        <v>1600</v>
      </c>
      <c r="I9" s="54"/>
      <c r="J9" s="54"/>
      <c r="K9" s="54"/>
      <c r="L9" s="54">
        <f>D9-(D9*40/100)</f>
        <v>1200</v>
      </c>
      <c r="M9" s="54"/>
      <c r="N9" s="54"/>
      <c r="O9" s="54"/>
      <c r="P9" s="34" t="s">
        <v>9</v>
      </c>
      <c r="Q9" s="34" t="s">
        <v>53</v>
      </c>
      <c r="R9" s="34" t="s">
        <v>478</v>
      </c>
    </row>
    <row r="10" spans="1:18" ht="43.5" x14ac:dyDescent="0.2">
      <c r="A10" s="35" t="s">
        <v>238</v>
      </c>
      <c r="B10" s="34" t="s">
        <v>103</v>
      </c>
      <c r="C10" s="34" t="s">
        <v>57</v>
      </c>
      <c r="D10" s="54">
        <v>5000</v>
      </c>
      <c r="E10" s="54"/>
      <c r="F10" s="54"/>
      <c r="G10" s="54"/>
      <c r="H10" s="54">
        <f>D10-(D10*20/100)</f>
        <v>4000</v>
      </c>
      <c r="I10" s="54"/>
      <c r="J10" s="54"/>
      <c r="K10" s="54"/>
      <c r="L10" s="54">
        <f>D10-(D10*40/100)</f>
        <v>3000</v>
      </c>
      <c r="M10" s="54"/>
      <c r="N10" s="54"/>
      <c r="O10" s="54"/>
      <c r="P10" s="34" t="s">
        <v>9</v>
      </c>
      <c r="Q10" s="34" t="s">
        <v>242</v>
      </c>
      <c r="R10" s="34" t="s">
        <v>479</v>
      </c>
    </row>
    <row r="11" spans="1:18" ht="43.5" x14ac:dyDescent="0.2">
      <c r="A11" s="35" t="s">
        <v>258</v>
      </c>
      <c r="B11" s="34" t="s">
        <v>104</v>
      </c>
      <c r="C11" s="34" t="s">
        <v>57</v>
      </c>
      <c r="D11" s="54">
        <v>1000</v>
      </c>
      <c r="E11" s="54"/>
      <c r="F11" s="54"/>
      <c r="G11" s="54"/>
      <c r="H11" s="54">
        <f>D11-(D11*20/100)</f>
        <v>800</v>
      </c>
      <c r="I11" s="54"/>
      <c r="J11" s="54"/>
      <c r="K11" s="54"/>
      <c r="L11" s="54">
        <f>D11-(D11*40/100)</f>
        <v>600</v>
      </c>
      <c r="M11" s="54"/>
      <c r="N11" s="54"/>
      <c r="O11" s="54"/>
      <c r="P11" s="34" t="s">
        <v>9</v>
      </c>
      <c r="Q11" s="34" t="s">
        <v>243</v>
      </c>
      <c r="R11" s="34" t="s">
        <v>479</v>
      </c>
    </row>
    <row r="12" spans="1:18" ht="18" customHeight="1" x14ac:dyDescent="0.2">
      <c r="A12" s="55" t="s">
        <v>259</v>
      </c>
      <c r="B12" s="54" t="s">
        <v>105</v>
      </c>
      <c r="C12" s="34" t="s">
        <v>45</v>
      </c>
      <c r="D12" s="34">
        <v>3000</v>
      </c>
      <c r="E12" s="34">
        <f>MROUND(D12-(D12*10/100),50)</f>
        <v>2700</v>
      </c>
      <c r="F12" s="34">
        <f>MROUND(D12-(D12*20/100),50)</f>
        <v>2400</v>
      </c>
      <c r="G12" s="34">
        <f>MROUND(D12-(D12*30/100),50)</f>
        <v>2100</v>
      </c>
      <c r="H12" s="34">
        <f>MROUND(D12-(D12*10/100),50)</f>
        <v>2700</v>
      </c>
      <c r="I12" s="34">
        <f>MROUND(H12-(H12*10/100),50)</f>
        <v>2450</v>
      </c>
      <c r="J12" s="34">
        <f>MROUND(H12-(H12*20/100),50)</f>
        <v>2150</v>
      </c>
      <c r="K12" s="34">
        <f>MROUND(H12-(H12*30/100),50)</f>
        <v>1900</v>
      </c>
      <c r="L12" s="34">
        <f>MROUND(D12-(D12*20/100),50)</f>
        <v>2400</v>
      </c>
      <c r="M12" s="34">
        <f>MROUND(L12-(L12*10/100),50)</f>
        <v>2150</v>
      </c>
      <c r="N12" s="34">
        <f>MROUND(L12-(L12*20/100),50)</f>
        <v>1900</v>
      </c>
      <c r="O12" s="34">
        <f>MROUND(L12-(L12*30/100),50)</f>
        <v>1700</v>
      </c>
      <c r="P12" s="54" t="s">
        <v>10</v>
      </c>
      <c r="Q12" s="54" t="s">
        <v>53</v>
      </c>
      <c r="R12" s="73" t="s">
        <v>487</v>
      </c>
    </row>
    <row r="13" spans="1:18" ht="18" customHeight="1" x14ac:dyDescent="0.2">
      <c r="A13" s="55"/>
      <c r="B13" s="54"/>
      <c r="C13" s="34" t="s">
        <v>41</v>
      </c>
      <c r="D13" s="34">
        <f>D12*50/100</f>
        <v>1500</v>
      </c>
      <c r="E13" s="34">
        <f t="shared" ref="E13:O13" si="1">MROUND(E12*50/100,50)</f>
        <v>1350</v>
      </c>
      <c r="F13" s="34">
        <f t="shared" si="1"/>
        <v>1200</v>
      </c>
      <c r="G13" s="34">
        <f t="shared" si="1"/>
        <v>1050</v>
      </c>
      <c r="H13" s="34">
        <f t="shared" si="1"/>
        <v>1350</v>
      </c>
      <c r="I13" s="34">
        <f t="shared" si="1"/>
        <v>1250</v>
      </c>
      <c r="J13" s="34">
        <f t="shared" si="1"/>
        <v>1100</v>
      </c>
      <c r="K13" s="34">
        <f t="shared" si="1"/>
        <v>950</v>
      </c>
      <c r="L13" s="34">
        <f t="shared" si="1"/>
        <v>1200</v>
      </c>
      <c r="M13" s="34">
        <f t="shared" si="1"/>
        <v>1100</v>
      </c>
      <c r="N13" s="34">
        <f t="shared" si="1"/>
        <v>950</v>
      </c>
      <c r="O13" s="34">
        <f t="shared" si="1"/>
        <v>850</v>
      </c>
      <c r="P13" s="54"/>
      <c r="Q13" s="54"/>
      <c r="R13" s="73"/>
    </row>
    <row r="14" spans="1:18" ht="21.75" customHeight="1" x14ac:dyDescent="0.2">
      <c r="A14" s="55" t="s">
        <v>260</v>
      </c>
      <c r="B14" s="54" t="s">
        <v>106</v>
      </c>
      <c r="C14" s="34" t="s">
        <v>40</v>
      </c>
      <c r="D14" s="34">
        <v>5000</v>
      </c>
      <c r="E14" s="34">
        <f>MROUND(D14-(D14*10/100),50)</f>
        <v>4500</v>
      </c>
      <c r="F14" s="34">
        <f>MROUND(D14-(D14*20/100),50)</f>
        <v>4000</v>
      </c>
      <c r="G14" s="34">
        <f>MROUND(D14-(D14*30/100),50)</f>
        <v>3500</v>
      </c>
      <c r="H14" s="34">
        <f>MROUND(D14-(D14*10/100),50)</f>
        <v>4500</v>
      </c>
      <c r="I14" s="34">
        <f>MROUND(H14-(H14*10/100),50)</f>
        <v>4050</v>
      </c>
      <c r="J14" s="34">
        <f>MROUND(H14-(H14*20/100),50)</f>
        <v>3600</v>
      </c>
      <c r="K14" s="34">
        <f>MROUND(H14-(H14*30/100),50)</f>
        <v>3150</v>
      </c>
      <c r="L14" s="34">
        <f>MROUND(D14-(D14*20/100),50)</f>
        <v>4000</v>
      </c>
      <c r="M14" s="34">
        <f>MROUND(L14-(L14*10/100),50)</f>
        <v>3600</v>
      </c>
      <c r="N14" s="34">
        <f>MROUND(L14-(L14*20/100),50)</f>
        <v>3200</v>
      </c>
      <c r="O14" s="34">
        <f>MROUND(L14-(L14*30/100),50)</f>
        <v>2800</v>
      </c>
      <c r="P14" s="54" t="s">
        <v>10</v>
      </c>
      <c r="Q14" s="54" t="s">
        <v>241</v>
      </c>
      <c r="R14" s="54" t="s">
        <v>489</v>
      </c>
    </row>
    <row r="15" spans="1:18" ht="18" customHeight="1" x14ac:dyDescent="0.2">
      <c r="A15" s="55"/>
      <c r="B15" s="54"/>
      <c r="C15" s="34" t="s">
        <v>41</v>
      </c>
      <c r="D15" s="34">
        <f>D14*50/100</f>
        <v>2500</v>
      </c>
      <c r="E15" s="34">
        <f t="shared" ref="E15:O15" si="2">MROUND(E14*50/100,50)</f>
        <v>2250</v>
      </c>
      <c r="F15" s="34">
        <f t="shared" si="2"/>
        <v>2000</v>
      </c>
      <c r="G15" s="34">
        <f t="shared" si="2"/>
        <v>1750</v>
      </c>
      <c r="H15" s="34">
        <f t="shared" si="2"/>
        <v>2250</v>
      </c>
      <c r="I15" s="34">
        <f t="shared" si="2"/>
        <v>2050</v>
      </c>
      <c r="J15" s="34">
        <f t="shared" si="2"/>
        <v>1800</v>
      </c>
      <c r="K15" s="34">
        <f t="shared" si="2"/>
        <v>1600</v>
      </c>
      <c r="L15" s="34">
        <f t="shared" si="2"/>
        <v>2000</v>
      </c>
      <c r="M15" s="34">
        <f t="shared" si="2"/>
        <v>1800</v>
      </c>
      <c r="N15" s="34">
        <f t="shared" si="2"/>
        <v>1600</v>
      </c>
      <c r="O15" s="34">
        <f t="shared" si="2"/>
        <v>1400</v>
      </c>
      <c r="P15" s="54"/>
      <c r="Q15" s="54"/>
      <c r="R15" s="54"/>
    </row>
    <row r="16" spans="1:18" ht="36.75" customHeight="1" x14ac:dyDescent="0.2">
      <c r="A16" s="70" t="s">
        <v>121</v>
      </c>
      <c r="B16" s="70"/>
      <c r="C16" s="70"/>
      <c r="D16" s="70"/>
      <c r="E16" s="70"/>
      <c r="F16" s="70"/>
      <c r="G16" s="70"/>
      <c r="H16" s="70"/>
      <c r="I16" s="70"/>
      <c r="J16" s="70"/>
      <c r="K16" s="70"/>
      <c r="L16" s="70"/>
      <c r="M16" s="70"/>
      <c r="N16" s="70"/>
      <c r="O16" s="70"/>
      <c r="P16" s="70"/>
      <c r="Q16" s="70"/>
      <c r="R16" s="70"/>
    </row>
    <row r="17" spans="1:18" ht="18" customHeight="1" x14ac:dyDescent="0.2">
      <c r="A17" s="65" t="s">
        <v>178</v>
      </c>
      <c r="B17" s="66" t="s">
        <v>76</v>
      </c>
      <c r="C17" s="45" t="s">
        <v>40</v>
      </c>
      <c r="D17" s="45">
        <v>5000</v>
      </c>
      <c r="E17" s="45">
        <f>MROUND(D17-(D17*10/100),50)</f>
        <v>4500</v>
      </c>
      <c r="F17" s="45">
        <f>MROUND(D17-(D17*20/100),50)</f>
        <v>4000</v>
      </c>
      <c r="G17" s="45">
        <f>MROUND(D17-(D17*30/100),50)</f>
        <v>3500</v>
      </c>
      <c r="H17" s="45">
        <f>MROUND(D17-(D17*10/100),50)</f>
        <v>4500</v>
      </c>
      <c r="I17" s="45">
        <f>MROUND(H17-(H17*10/100),50)</f>
        <v>4050</v>
      </c>
      <c r="J17" s="45">
        <f>MROUND(H17-(H17*20/100),50)</f>
        <v>3600</v>
      </c>
      <c r="K17" s="45">
        <f>MROUND(H17-(H17*30/100),50)</f>
        <v>3150</v>
      </c>
      <c r="L17" s="45">
        <f>MROUND(D17-(D17*20/100),50)</f>
        <v>4000</v>
      </c>
      <c r="M17" s="45">
        <f>MROUND(L17-(L17*10/100),50)</f>
        <v>3600</v>
      </c>
      <c r="N17" s="45">
        <f>MROUND(L17-(L17*20/100),50)</f>
        <v>3200</v>
      </c>
      <c r="O17" s="45">
        <f>MROUND(L17-(L17*30/100),50)</f>
        <v>2800</v>
      </c>
      <c r="P17" s="60" t="s">
        <v>10</v>
      </c>
      <c r="Q17" s="60" t="s">
        <v>53</v>
      </c>
      <c r="R17" s="65" t="s">
        <v>495</v>
      </c>
    </row>
    <row r="18" spans="1:18" ht="18" customHeight="1" x14ac:dyDescent="0.2">
      <c r="A18" s="65"/>
      <c r="B18" s="67"/>
      <c r="C18" s="45" t="s">
        <v>41</v>
      </c>
      <c r="D18" s="45">
        <f>D17*50/100</f>
        <v>2500</v>
      </c>
      <c r="E18" s="45">
        <f t="shared" ref="E18:O18" si="3">MROUND(E17*50/100,50)</f>
        <v>2250</v>
      </c>
      <c r="F18" s="45">
        <f t="shared" si="3"/>
        <v>2000</v>
      </c>
      <c r="G18" s="45">
        <f t="shared" si="3"/>
        <v>1750</v>
      </c>
      <c r="H18" s="45">
        <f t="shared" si="3"/>
        <v>2250</v>
      </c>
      <c r="I18" s="45">
        <f t="shared" si="3"/>
        <v>2050</v>
      </c>
      <c r="J18" s="45">
        <f t="shared" si="3"/>
        <v>1800</v>
      </c>
      <c r="K18" s="45">
        <f t="shared" si="3"/>
        <v>1600</v>
      </c>
      <c r="L18" s="45">
        <f t="shared" si="3"/>
        <v>2000</v>
      </c>
      <c r="M18" s="45">
        <f t="shared" si="3"/>
        <v>1800</v>
      </c>
      <c r="N18" s="45">
        <f t="shared" si="3"/>
        <v>1600</v>
      </c>
      <c r="O18" s="45">
        <f t="shared" si="3"/>
        <v>1400</v>
      </c>
      <c r="P18" s="61"/>
      <c r="Q18" s="61"/>
      <c r="R18" s="65"/>
    </row>
    <row r="19" spans="1:18" ht="43.5" x14ac:dyDescent="0.2">
      <c r="A19" s="42" t="s">
        <v>195</v>
      </c>
      <c r="B19" s="47" t="s">
        <v>58</v>
      </c>
      <c r="C19" s="42" t="s">
        <v>57</v>
      </c>
      <c r="D19" s="62">
        <v>1000</v>
      </c>
      <c r="E19" s="63"/>
      <c r="F19" s="63"/>
      <c r="G19" s="64"/>
      <c r="H19" s="62">
        <f>D19-(D19*20/100)</f>
        <v>800</v>
      </c>
      <c r="I19" s="63"/>
      <c r="J19" s="63"/>
      <c r="K19" s="64"/>
      <c r="L19" s="62">
        <f>D19-(D19*40/100)</f>
        <v>600</v>
      </c>
      <c r="M19" s="63"/>
      <c r="N19" s="63"/>
      <c r="O19" s="64"/>
      <c r="P19" s="42" t="s">
        <v>9</v>
      </c>
      <c r="Q19" s="34" t="s">
        <v>244</v>
      </c>
      <c r="R19" s="46" t="s">
        <v>498</v>
      </c>
    </row>
    <row r="20" spans="1:18" ht="18" customHeight="1" x14ac:dyDescent="0.2">
      <c r="A20" s="113" t="s">
        <v>211</v>
      </c>
      <c r="B20" s="66" t="s">
        <v>16</v>
      </c>
      <c r="C20" s="45" t="s">
        <v>40</v>
      </c>
      <c r="D20" s="45">
        <v>2000</v>
      </c>
      <c r="E20" s="45">
        <f>MROUND(D20-(D20*10/100),50)</f>
        <v>1800</v>
      </c>
      <c r="F20" s="45">
        <f>MROUND(D20-(D20*20/100),50)</f>
        <v>1600</v>
      </c>
      <c r="G20" s="45">
        <f>MROUND(D20-(D20*30/100),50)</f>
        <v>1400</v>
      </c>
      <c r="H20" s="45">
        <f>MROUND(D20-(D20*10/100),50)</f>
        <v>1800</v>
      </c>
      <c r="I20" s="45">
        <f>MROUND(H20-(H20*10/100),50)</f>
        <v>1600</v>
      </c>
      <c r="J20" s="45">
        <f>MROUND(H20-(H20*20/100),50)</f>
        <v>1450</v>
      </c>
      <c r="K20" s="45">
        <f>MROUND(H20-(H20*30/100),50)</f>
        <v>1250</v>
      </c>
      <c r="L20" s="45">
        <f>MROUND(D20-(D20*20/100),50)</f>
        <v>1600</v>
      </c>
      <c r="M20" s="45">
        <f>MROUND(L20-(L20*10/100),50)</f>
        <v>1450</v>
      </c>
      <c r="N20" s="45">
        <f>MROUND(L20-(L20*20/100),50)</f>
        <v>1300</v>
      </c>
      <c r="O20" s="45">
        <f>MROUND(L20-(L20*30/100),50)</f>
        <v>1100</v>
      </c>
      <c r="P20" s="60" t="s">
        <v>10</v>
      </c>
      <c r="Q20" s="60" t="s">
        <v>53</v>
      </c>
      <c r="R20" s="65" t="s">
        <v>495</v>
      </c>
    </row>
    <row r="21" spans="1:18" ht="18" customHeight="1" x14ac:dyDescent="0.2">
      <c r="A21" s="113"/>
      <c r="B21" s="67"/>
      <c r="C21" s="45" t="s">
        <v>41</v>
      </c>
      <c r="D21" s="45">
        <f>D20*50/100</f>
        <v>1000</v>
      </c>
      <c r="E21" s="45">
        <f t="shared" ref="E21:O21" si="4">MROUND(E20*50/100,50)</f>
        <v>900</v>
      </c>
      <c r="F21" s="45">
        <f t="shared" si="4"/>
        <v>800</v>
      </c>
      <c r="G21" s="45">
        <f t="shared" si="4"/>
        <v>700</v>
      </c>
      <c r="H21" s="45">
        <f t="shared" si="4"/>
        <v>900</v>
      </c>
      <c r="I21" s="45">
        <f t="shared" si="4"/>
        <v>800</v>
      </c>
      <c r="J21" s="45">
        <f t="shared" si="4"/>
        <v>750</v>
      </c>
      <c r="K21" s="45">
        <f t="shared" si="4"/>
        <v>650</v>
      </c>
      <c r="L21" s="45">
        <f t="shared" si="4"/>
        <v>800</v>
      </c>
      <c r="M21" s="45">
        <f t="shared" si="4"/>
        <v>750</v>
      </c>
      <c r="N21" s="45">
        <f t="shared" si="4"/>
        <v>650</v>
      </c>
      <c r="O21" s="45">
        <f t="shared" si="4"/>
        <v>550</v>
      </c>
      <c r="P21" s="61"/>
      <c r="Q21" s="61"/>
      <c r="R21" s="65"/>
    </row>
    <row r="22" spans="1:18" ht="18" customHeight="1" x14ac:dyDescent="0.2">
      <c r="A22" s="113" t="s">
        <v>224</v>
      </c>
      <c r="B22" s="66" t="s">
        <v>17</v>
      </c>
      <c r="C22" s="45" t="s">
        <v>40</v>
      </c>
      <c r="D22" s="45">
        <v>3000</v>
      </c>
      <c r="E22" s="45">
        <f>MROUND(D22-(D22*10/100),50)</f>
        <v>2700</v>
      </c>
      <c r="F22" s="45">
        <f>MROUND(D22-(D22*20/100),50)</f>
        <v>2400</v>
      </c>
      <c r="G22" s="45">
        <f>MROUND(D22-(D22*30/100),50)</f>
        <v>2100</v>
      </c>
      <c r="H22" s="45">
        <f>MROUND(D22-(D22*10/100),50)</f>
        <v>2700</v>
      </c>
      <c r="I22" s="45">
        <f>MROUND(H22-(H22*10/100),50)</f>
        <v>2450</v>
      </c>
      <c r="J22" s="45">
        <f>MROUND(H22-(H22*20/100),50)</f>
        <v>2150</v>
      </c>
      <c r="K22" s="45">
        <f>MROUND(H22-(H22*30/100),50)</f>
        <v>1900</v>
      </c>
      <c r="L22" s="45">
        <f>MROUND(D22-(D22*20/100),50)</f>
        <v>2400</v>
      </c>
      <c r="M22" s="45">
        <f>MROUND(L22-(L22*10/100),50)</f>
        <v>2150</v>
      </c>
      <c r="N22" s="45">
        <f>MROUND(L22-(L22*20/100),50)</f>
        <v>1900</v>
      </c>
      <c r="O22" s="45">
        <f>MROUND(L22-(L22*30/100),50)</f>
        <v>1700</v>
      </c>
      <c r="P22" s="60" t="s">
        <v>10</v>
      </c>
      <c r="Q22" s="60" t="s">
        <v>53</v>
      </c>
      <c r="R22" s="65" t="s">
        <v>495</v>
      </c>
    </row>
    <row r="23" spans="1:18" ht="21.75" x14ac:dyDescent="0.2">
      <c r="A23" s="113"/>
      <c r="B23" s="67"/>
      <c r="C23" s="45" t="s">
        <v>41</v>
      </c>
      <c r="D23" s="45">
        <f>D22*50/100</f>
        <v>1500</v>
      </c>
      <c r="E23" s="45">
        <f t="shared" ref="E23:O23" si="5">MROUND(E22*50/100,50)</f>
        <v>1350</v>
      </c>
      <c r="F23" s="45">
        <f t="shared" si="5"/>
        <v>1200</v>
      </c>
      <c r="G23" s="45">
        <f t="shared" si="5"/>
        <v>1050</v>
      </c>
      <c r="H23" s="45">
        <f t="shared" si="5"/>
        <v>1350</v>
      </c>
      <c r="I23" s="45">
        <f t="shared" si="5"/>
        <v>1250</v>
      </c>
      <c r="J23" s="45">
        <f t="shared" si="5"/>
        <v>1100</v>
      </c>
      <c r="K23" s="45">
        <f t="shared" si="5"/>
        <v>950</v>
      </c>
      <c r="L23" s="45">
        <f t="shared" si="5"/>
        <v>1200</v>
      </c>
      <c r="M23" s="45">
        <f t="shared" si="5"/>
        <v>1100</v>
      </c>
      <c r="N23" s="45">
        <f t="shared" si="5"/>
        <v>950</v>
      </c>
      <c r="O23" s="45">
        <f t="shared" si="5"/>
        <v>850</v>
      </c>
      <c r="P23" s="61"/>
      <c r="Q23" s="61"/>
      <c r="R23" s="65"/>
    </row>
    <row r="24" spans="1:18" ht="26.25" customHeight="1" x14ac:dyDescent="0.5">
      <c r="A24" s="114" t="s">
        <v>233</v>
      </c>
      <c r="B24" s="43" t="s">
        <v>18</v>
      </c>
      <c r="C24" s="45" t="s">
        <v>57</v>
      </c>
      <c r="D24" s="57">
        <v>6000</v>
      </c>
      <c r="E24" s="58"/>
      <c r="F24" s="58"/>
      <c r="G24" s="59"/>
      <c r="H24" s="57">
        <f>D24-(D24*20/100)</f>
        <v>4800</v>
      </c>
      <c r="I24" s="58"/>
      <c r="J24" s="58"/>
      <c r="K24" s="59"/>
      <c r="L24" s="57">
        <f>D24-(D24*40/100)</f>
        <v>3600</v>
      </c>
      <c r="M24" s="58"/>
      <c r="N24" s="58"/>
      <c r="O24" s="59"/>
      <c r="P24" s="45" t="s">
        <v>9</v>
      </c>
      <c r="Q24" s="45" t="s">
        <v>53</v>
      </c>
      <c r="R24" s="45" t="s">
        <v>495</v>
      </c>
    </row>
    <row r="25" spans="1:18" ht="26.25" customHeight="1" x14ac:dyDescent="0.5">
      <c r="A25" s="114" t="s">
        <v>261</v>
      </c>
      <c r="B25" s="43" t="s">
        <v>19</v>
      </c>
      <c r="C25" s="45" t="s">
        <v>57</v>
      </c>
      <c r="D25" s="57">
        <v>50000</v>
      </c>
      <c r="E25" s="58">
        <f>D25-(D25*10/100)</f>
        <v>45000</v>
      </c>
      <c r="F25" s="58">
        <f>D25-(D25*20/100)</f>
        <v>40000</v>
      </c>
      <c r="G25" s="59">
        <f>D25-(D25*30/100)</f>
        <v>35000</v>
      </c>
      <c r="H25" s="57">
        <f>D25-(D25*20/100)</f>
        <v>40000</v>
      </c>
      <c r="I25" s="58"/>
      <c r="J25" s="58"/>
      <c r="K25" s="59"/>
      <c r="L25" s="57">
        <f>D25-(D25*40/100)</f>
        <v>30000</v>
      </c>
      <c r="M25" s="58"/>
      <c r="N25" s="58"/>
      <c r="O25" s="59"/>
      <c r="P25" s="45" t="s">
        <v>9</v>
      </c>
      <c r="Q25" s="45" t="s">
        <v>53</v>
      </c>
      <c r="R25" s="45" t="s">
        <v>495</v>
      </c>
    </row>
    <row r="26" spans="1:18" ht="28.5" customHeight="1" x14ac:dyDescent="0.2">
      <c r="A26" s="114" t="s">
        <v>262</v>
      </c>
      <c r="B26" s="47" t="s">
        <v>20</v>
      </c>
      <c r="C26" s="45" t="s">
        <v>57</v>
      </c>
      <c r="D26" s="57">
        <v>10000</v>
      </c>
      <c r="E26" s="58"/>
      <c r="F26" s="58"/>
      <c r="G26" s="59"/>
      <c r="H26" s="57">
        <f>D26-(D26*20/100)</f>
        <v>8000</v>
      </c>
      <c r="I26" s="58"/>
      <c r="J26" s="58"/>
      <c r="K26" s="59"/>
      <c r="L26" s="57">
        <f>D26-(D26*40/100)</f>
        <v>6000</v>
      </c>
      <c r="M26" s="58"/>
      <c r="N26" s="58"/>
      <c r="O26" s="59"/>
      <c r="P26" s="45" t="s">
        <v>9</v>
      </c>
      <c r="Q26" s="45" t="s">
        <v>53</v>
      </c>
      <c r="R26" s="45" t="s">
        <v>495</v>
      </c>
    </row>
    <row r="27" spans="1:18" ht="26.25" customHeight="1" x14ac:dyDescent="0.2">
      <c r="A27" s="114" t="s">
        <v>263</v>
      </c>
      <c r="B27" s="47" t="s">
        <v>36</v>
      </c>
      <c r="C27" s="45" t="s">
        <v>57</v>
      </c>
      <c r="D27" s="57">
        <v>5000</v>
      </c>
      <c r="E27" s="58">
        <f>D27-(D27*10/100)</f>
        <v>4500</v>
      </c>
      <c r="F27" s="58">
        <f>D27-(D27*20/100)</f>
        <v>4000</v>
      </c>
      <c r="G27" s="59">
        <f>D27-(D27*30/100)</f>
        <v>3500</v>
      </c>
      <c r="H27" s="57">
        <f>D27-(D27*20/100)</f>
        <v>4000</v>
      </c>
      <c r="I27" s="58"/>
      <c r="J27" s="58"/>
      <c r="K27" s="59"/>
      <c r="L27" s="57">
        <f>D27-(D27*40/100)</f>
        <v>3000</v>
      </c>
      <c r="M27" s="58"/>
      <c r="N27" s="58"/>
      <c r="O27" s="59"/>
      <c r="P27" s="45" t="s">
        <v>9</v>
      </c>
      <c r="Q27" s="45" t="s">
        <v>53</v>
      </c>
      <c r="R27" s="45" t="s">
        <v>495</v>
      </c>
    </row>
    <row r="28" spans="1:18" ht="21.75" customHeight="1" x14ac:dyDescent="0.2">
      <c r="A28" s="113" t="s">
        <v>264</v>
      </c>
      <c r="B28" s="66" t="s">
        <v>107</v>
      </c>
      <c r="C28" s="45" t="s">
        <v>40</v>
      </c>
      <c r="D28" s="45">
        <v>5000</v>
      </c>
      <c r="E28" s="45">
        <f>MROUND(D28-(D28*10/100),50)</f>
        <v>4500</v>
      </c>
      <c r="F28" s="45">
        <f>MROUND(D28-(D28*20/100),50)</f>
        <v>4000</v>
      </c>
      <c r="G28" s="45">
        <f>MROUND(D28-(D28*30/100),50)</f>
        <v>3500</v>
      </c>
      <c r="H28" s="45">
        <f>MROUND(D28-(D28*10/100),50)</f>
        <v>4500</v>
      </c>
      <c r="I28" s="45">
        <f>MROUND(H28-(H28*10/100),50)</f>
        <v>4050</v>
      </c>
      <c r="J28" s="45">
        <f>MROUND(H28-(H28*20/100),50)</f>
        <v>3600</v>
      </c>
      <c r="K28" s="45">
        <f>MROUND(H28-(H28*30/100),50)</f>
        <v>3150</v>
      </c>
      <c r="L28" s="45">
        <f>MROUND(D28-(D28*20/100),50)</f>
        <v>4000</v>
      </c>
      <c r="M28" s="45">
        <f>MROUND(L28-(L28*10/100),50)</f>
        <v>3600</v>
      </c>
      <c r="N28" s="45">
        <f>MROUND(L28-(L28*20/100),50)</f>
        <v>3200</v>
      </c>
      <c r="O28" s="45">
        <f>MROUND(L28-(L28*30/100),50)</f>
        <v>2800</v>
      </c>
      <c r="P28" s="60" t="s">
        <v>10</v>
      </c>
      <c r="Q28" s="60" t="s">
        <v>241</v>
      </c>
      <c r="R28" s="65" t="s">
        <v>495</v>
      </c>
    </row>
    <row r="29" spans="1:18" ht="28.5" customHeight="1" x14ac:dyDescent="0.2">
      <c r="A29" s="113"/>
      <c r="B29" s="67"/>
      <c r="C29" s="45" t="s">
        <v>41</v>
      </c>
      <c r="D29" s="45">
        <f>D28*50/100</f>
        <v>2500</v>
      </c>
      <c r="E29" s="45">
        <f t="shared" ref="E29:O29" si="6">MROUND(E28*50/100,50)</f>
        <v>2250</v>
      </c>
      <c r="F29" s="45">
        <f t="shared" si="6"/>
        <v>2000</v>
      </c>
      <c r="G29" s="45">
        <f t="shared" si="6"/>
        <v>1750</v>
      </c>
      <c r="H29" s="45">
        <f t="shared" si="6"/>
        <v>2250</v>
      </c>
      <c r="I29" s="45">
        <f t="shared" si="6"/>
        <v>2050</v>
      </c>
      <c r="J29" s="45">
        <f t="shared" si="6"/>
        <v>1800</v>
      </c>
      <c r="K29" s="45">
        <f t="shared" si="6"/>
        <v>1600</v>
      </c>
      <c r="L29" s="45">
        <f t="shared" si="6"/>
        <v>2000</v>
      </c>
      <c r="M29" s="45">
        <f t="shared" si="6"/>
        <v>1800</v>
      </c>
      <c r="N29" s="45">
        <f t="shared" si="6"/>
        <v>1600</v>
      </c>
      <c r="O29" s="45">
        <f t="shared" si="6"/>
        <v>1400</v>
      </c>
      <c r="P29" s="61"/>
      <c r="Q29" s="61"/>
      <c r="R29" s="65"/>
    </row>
    <row r="30" spans="1:18" ht="21.75" customHeight="1" x14ac:dyDescent="0.2">
      <c r="A30" s="113" t="s">
        <v>265</v>
      </c>
      <c r="B30" s="66" t="s">
        <v>108</v>
      </c>
      <c r="C30" s="45" t="s">
        <v>40</v>
      </c>
      <c r="D30" s="45">
        <v>5000</v>
      </c>
      <c r="E30" s="45">
        <f>MROUND(D30-(D30*10/100),50)</f>
        <v>4500</v>
      </c>
      <c r="F30" s="45">
        <f>MROUND(D30-(D30*20/100),50)</f>
        <v>4000</v>
      </c>
      <c r="G30" s="45">
        <f>MROUND(D30-(D30*30/100),50)</f>
        <v>3500</v>
      </c>
      <c r="H30" s="45">
        <f>MROUND(D30-(D30*10/100),50)</f>
        <v>4500</v>
      </c>
      <c r="I30" s="45">
        <f>MROUND(H30-(H30*10/100),50)</f>
        <v>4050</v>
      </c>
      <c r="J30" s="45">
        <f>MROUND(H30-(H30*20/100),50)</f>
        <v>3600</v>
      </c>
      <c r="K30" s="45">
        <f>MROUND(H30-(H30*30/100),50)</f>
        <v>3150</v>
      </c>
      <c r="L30" s="45">
        <f>MROUND(D30-(D30*20/100),50)</f>
        <v>4000</v>
      </c>
      <c r="M30" s="45">
        <f>MROUND(L30-(L30*10/100),50)</f>
        <v>3600</v>
      </c>
      <c r="N30" s="45">
        <f>MROUND(L30-(L30*20/100),50)</f>
        <v>3200</v>
      </c>
      <c r="O30" s="45">
        <f>MROUND(L30-(L30*30/100),50)</f>
        <v>2800</v>
      </c>
      <c r="P30" s="60" t="s">
        <v>10</v>
      </c>
      <c r="Q30" s="60" t="s">
        <v>241</v>
      </c>
      <c r="R30" s="65" t="s">
        <v>495</v>
      </c>
    </row>
    <row r="31" spans="1:18" ht="20.25" customHeight="1" x14ac:dyDescent="0.2">
      <c r="A31" s="113"/>
      <c r="B31" s="67"/>
      <c r="C31" s="45" t="s">
        <v>41</v>
      </c>
      <c r="D31" s="45">
        <f>D30*50/100</f>
        <v>2500</v>
      </c>
      <c r="E31" s="45">
        <f t="shared" ref="E31:O31" si="7">MROUND(E30*50/100,50)</f>
        <v>2250</v>
      </c>
      <c r="F31" s="45">
        <f t="shared" si="7"/>
        <v>2000</v>
      </c>
      <c r="G31" s="45">
        <f t="shared" si="7"/>
        <v>1750</v>
      </c>
      <c r="H31" s="45">
        <f t="shared" si="7"/>
        <v>2250</v>
      </c>
      <c r="I31" s="45">
        <f t="shared" si="7"/>
        <v>2050</v>
      </c>
      <c r="J31" s="45">
        <f t="shared" si="7"/>
        <v>1800</v>
      </c>
      <c r="K31" s="45">
        <f t="shared" si="7"/>
        <v>1600</v>
      </c>
      <c r="L31" s="45">
        <f t="shared" si="7"/>
        <v>2000</v>
      </c>
      <c r="M31" s="45">
        <f t="shared" si="7"/>
        <v>1800</v>
      </c>
      <c r="N31" s="45">
        <f t="shared" si="7"/>
        <v>1600</v>
      </c>
      <c r="O31" s="45">
        <f t="shared" si="7"/>
        <v>1400</v>
      </c>
      <c r="P31" s="61"/>
      <c r="Q31" s="61"/>
      <c r="R31" s="65"/>
    </row>
    <row r="32" spans="1:18" ht="21.75" x14ac:dyDescent="0.2">
      <c r="A32" s="70" t="s">
        <v>55</v>
      </c>
      <c r="B32" s="70"/>
      <c r="C32" s="70"/>
      <c r="D32" s="70"/>
      <c r="E32" s="70"/>
      <c r="F32" s="70"/>
      <c r="G32" s="70"/>
      <c r="H32" s="70"/>
      <c r="I32" s="70"/>
      <c r="J32" s="70"/>
      <c r="K32" s="70"/>
      <c r="L32" s="70"/>
      <c r="M32" s="70"/>
      <c r="N32" s="70"/>
      <c r="O32" s="70"/>
      <c r="P32" s="70"/>
      <c r="Q32" s="70"/>
      <c r="R32" s="70"/>
    </row>
    <row r="33" spans="1:18" ht="43.5" x14ac:dyDescent="0.2">
      <c r="A33" s="22" t="s">
        <v>183</v>
      </c>
      <c r="B33" s="34" t="s">
        <v>78</v>
      </c>
      <c r="C33" s="34" t="s">
        <v>57</v>
      </c>
      <c r="D33" s="54">
        <v>100000</v>
      </c>
      <c r="E33" s="54"/>
      <c r="F33" s="54"/>
      <c r="G33" s="54"/>
      <c r="H33" s="54">
        <f t="shared" ref="H33:H42" si="8">D33-(D33*20/100)</f>
        <v>80000</v>
      </c>
      <c r="I33" s="54"/>
      <c r="J33" s="54"/>
      <c r="K33" s="54"/>
      <c r="L33" s="54">
        <f t="shared" ref="L33:L42" si="9">D33-(D33*40/100)</f>
        <v>60000</v>
      </c>
      <c r="M33" s="54"/>
      <c r="N33" s="54"/>
      <c r="O33" s="54"/>
      <c r="P33" s="34" t="s">
        <v>9</v>
      </c>
      <c r="Q33" s="34" t="s">
        <v>245</v>
      </c>
      <c r="R33" s="34" t="s">
        <v>495</v>
      </c>
    </row>
    <row r="34" spans="1:18" ht="43.5" x14ac:dyDescent="0.2">
      <c r="A34" s="35" t="s">
        <v>200</v>
      </c>
      <c r="B34" s="34" t="s">
        <v>37</v>
      </c>
      <c r="C34" s="34" t="s">
        <v>57</v>
      </c>
      <c r="D34" s="54">
        <v>500000</v>
      </c>
      <c r="E34" s="54">
        <f>D34-(D34*10/100)</f>
        <v>450000</v>
      </c>
      <c r="F34" s="54">
        <f>D34-(D34*20/100)</f>
        <v>400000</v>
      </c>
      <c r="G34" s="54">
        <f>D34-(D34*30/100)</f>
        <v>350000</v>
      </c>
      <c r="H34" s="54">
        <f t="shared" si="8"/>
        <v>400000</v>
      </c>
      <c r="I34" s="54"/>
      <c r="J34" s="54"/>
      <c r="K34" s="54"/>
      <c r="L34" s="54">
        <f t="shared" si="9"/>
        <v>300000</v>
      </c>
      <c r="M34" s="54"/>
      <c r="N34" s="54"/>
      <c r="O34" s="54"/>
      <c r="P34" s="34" t="s">
        <v>9</v>
      </c>
      <c r="Q34" s="34" t="s">
        <v>246</v>
      </c>
      <c r="R34" s="34" t="s">
        <v>495</v>
      </c>
    </row>
    <row r="35" spans="1:18" ht="43.5" x14ac:dyDescent="0.2">
      <c r="A35" s="35" t="s">
        <v>216</v>
      </c>
      <c r="B35" s="34" t="s">
        <v>44</v>
      </c>
      <c r="C35" s="34" t="s">
        <v>57</v>
      </c>
      <c r="D35" s="54">
        <v>60000</v>
      </c>
      <c r="E35" s="54">
        <f>D35-(D35*10/100)</f>
        <v>54000</v>
      </c>
      <c r="F35" s="54">
        <f>D35-(D35*20/100)</f>
        <v>48000</v>
      </c>
      <c r="G35" s="54">
        <f>D35-(D35*30/100)</f>
        <v>42000</v>
      </c>
      <c r="H35" s="54">
        <f t="shared" si="8"/>
        <v>48000</v>
      </c>
      <c r="I35" s="54"/>
      <c r="J35" s="54"/>
      <c r="K35" s="54"/>
      <c r="L35" s="54">
        <f t="shared" si="9"/>
        <v>36000</v>
      </c>
      <c r="M35" s="54"/>
      <c r="N35" s="54"/>
      <c r="O35" s="54"/>
      <c r="P35" s="34" t="s">
        <v>9</v>
      </c>
      <c r="Q35" s="34" t="s">
        <v>245</v>
      </c>
      <c r="R35" s="34" t="s">
        <v>480</v>
      </c>
    </row>
    <row r="36" spans="1:18" ht="43.5" x14ac:dyDescent="0.2">
      <c r="A36" s="22" t="s">
        <v>229</v>
      </c>
      <c r="B36" s="34" t="s">
        <v>88</v>
      </c>
      <c r="C36" s="34" t="s">
        <v>57</v>
      </c>
      <c r="D36" s="54">
        <v>30000</v>
      </c>
      <c r="E36" s="54">
        <f>D36-(D36*10/100)</f>
        <v>27000</v>
      </c>
      <c r="F36" s="54">
        <f>D36-(D36*20/100)</f>
        <v>24000</v>
      </c>
      <c r="G36" s="54">
        <f>D36-(D36*30/100)</f>
        <v>21000</v>
      </c>
      <c r="H36" s="54">
        <f t="shared" si="8"/>
        <v>24000</v>
      </c>
      <c r="I36" s="54"/>
      <c r="J36" s="54"/>
      <c r="K36" s="54"/>
      <c r="L36" s="54">
        <f t="shared" si="9"/>
        <v>18000</v>
      </c>
      <c r="M36" s="54"/>
      <c r="N36" s="54"/>
      <c r="O36" s="54"/>
      <c r="P36" s="34" t="s">
        <v>9</v>
      </c>
      <c r="Q36" s="34" t="s">
        <v>247</v>
      </c>
      <c r="R36" s="34" t="s">
        <v>495</v>
      </c>
    </row>
    <row r="37" spans="1:18" ht="43.5" x14ac:dyDescent="0.2">
      <c r="A37" s="22" t="s">
        <v>280</v>
      </c>
      <c r="B37" s="34" t="s">
        <v>61</v>
      </c>
      <c r="C37" s="34" t="s">
        <v>57</v>
      </c>
      <c r="D37" s="54">
        <v>25000</v>
      </c>
      <c r="E37" s="54">
        <f>D37-(D37*10/100)</f>
        <v>22500</v>
      </c>
      <c r="F37" s="54">
        <f>D37-(D37*20/100)</f>
        <v>20000</v>
      </c>
      <c r="G37" s="54">
        <f>D37-(D37*30/100)</f>
        <v>17500</v>
      </c>
      <c r="H37" s="54">
        <f t="shared" si="8"/>
        <v>20000</v>
      </c>
      <c r="I37" s="54"/>
      <c r="J37" s="54"/>
      <c r="K37" s="54"/>
      <c r="L37" s="54">
        <f t="shared" si="9"/>
        <v>15000</v>
      </c>
      <c r="M37" s="54"/>
      <c r="N37" s="54"/>
      <c r="O37" s="54"/>
      <c r="P37" s="34" t="s">
        <v>9</v>
      </c>
      <c r="Q37" s="34" t="s">
        <v>248</v>
      </c>
      <c r="R37" s="34" t="s">
        <v>495</v>
      </c>
    </row>
    <row r="38" spans="1:18" ht="43.5" x14ac:dyDescent="0.2">
      <c r="A38" s="22" t="s">
        <v>281</v>
      </c>
      <c r="B38" s="34" t="s">
        <v>38</v>
      </c>
      <c r="C38" s="34" t="s">
        <v>57</v>
      </c>
      <c r="D38" s="54">
        <v>20000</v>
      </c>
      <c r="E38" s="54">
        <f>D38-(D38*10/100)</f>
        <v>18000</v>
      </c>
      <c r="F38" s="54">
        <f>D38-(D38*20/100)</f>
        <v>16000</v>
      </c>
      <c r="G38" s="54">
        <f>D38-(D38*30/100)</f>
        <v>14000</v>
      </c>
      <c r="H38" s="54">
        <f t="shared" si="8"/>
        <v>16000</v>
      </c>
      <c r="I38" s="54"/>
      <c r="J38" s="54"/>
      <c r="K38" s="54"/>
      <c r="L38" s="54">
        <f t="shared" si="9"/>
        <v>12000</v>
      </c>
      <c r="M38" s="54"/>
      <c r="N38" s="54"/>
      <c r="O38" s="54"/>
      <c r="P38" s="34" t="s">
        <v>9</v>
      </c>
      <c r="Q38" s="34" t="s">
        <v>249</v>
      </c>
      <c r="R38" s="34" t="s">
        <v>495</v>
      </c>
    </row>
    <row r="39" spans="1:18" ht="43.5" x14ac:dyDescent="0.2">
      <c r="A39" s="114" t="s">
        <v>282</v>
      </c>
      <c r="B39" s="34" t="s">
        <v>137</v>
      </c>
      <c r="C39" s="34" t="s">
        <v>57</v>
      </c>
      <c r="D39" s="54">
        <v>100000</v>
      </c>
      <c r="E39" s="54"/>
      <c r="F39" s="54"/>
      <c r="G39" s="54"/>
      <c r="H39" s="54">
        <f>D39-(D39*20/100)</f>
        <v>80000</v>
      </c>
      <c r="I39" s="54"/>
      <c r="J39" s="54"/>
      <c r="K39" s="54"/>
      <c r="L39" s="54">
        <f>D39-(D39*40/100)</f>
        <v>60000</v>
      </c>
      <c r="M39" s="54"/>
      <c r="N39" s="54"/>
      <c r="O39" s="54"/>
      <c r="P39" s="34" t="s">
        <v>9</v>
      </c>
      <c r="Q39" s="34" t="s">
        <v>53</v>
      </c>
      <c r="R39" s="34" t="s">
        <v>494</v>
      </c>
    </row>
    <row r="40" spans="1:18" ht="43.5" x14ac:dyDescent="0.2">
      <c r="A40" s="35" t="s">
        <v>283</v>
      </c>
      <c r="B40" s="34" t="s">
        <v>148</v>
      </c>
      <c r="C40" s="34" t="s">
        <v>57</v>
      </c>
      <c r="D40" s="54">
        <v>20000</v>
      </c>
      <c r="E40" s="54"/>
      <c r="F40" s="54"/>
      <c r="G40" s="54"/>
      <c r="H40" s="54">
        <f t="shared" si="8"/>
        <v>16000</v>
      </c>
      <c r="I40" s="54"/>
      <c r="J40" s="54"/>
      <c r="K40" s="54"/>
      <c r="L40" s="54">
        <f t="shared" si="9"/>
        <v>12000</v>
      </c>
      <c r="M40" s="54"/>
      <c r="N40" s="54"/>
      <c r="O40" s="54"/>
      <c r="P40" s="34" t="s">
        <v>9</v>
      </c>
      <c r="Q40" s="34" t="s">
        <v>249</v>
      </c>
      <c r="R40" s="34" t="s">
        <v>495</v>
      </c>
    </row>
    <row r="41" spans="1:18" ht="43.5" x14ac:dyDescent="0.2">
      <c r="A41" s="22" t="s">
        <v>284</v>
      </c>
      <c r="B41" s="34" t="s">
        <v>62</v>
      </c>
      <c r="C41" s="34" t="s">
        <v>57</v>
      </c>
      <c r="D41" s="54">
        <v>20000</v>
      </c>
      <c r="E41" s="54">
        <f>D41-(D41*10/100)</f>
        <v>18000</v>
      </c>
      <c r="F41" s="54">
        <f>D41-(D41*20/100)</f>
        <v>16000</v>
      </c>
      <c r="G41" s="54">
        <f>D41-(D41*30/100)</f>
        <v>14000</v>
      </c>
      <c r="H41" s="54">
        <f t="shared" si="8"/>
        <v>16000</v>
      </c>
      <c r="I41" s="54"/>
      <c r="J41" s="54"/>
      <c r="K41" s="54"/>
      <c r="L41" s="54">
        <f t="shared" si="9"/>
        <v>12000</v>
      </c>
      <c r="M41" s="54"/>
      <c r="N41" s="54"/>
      <c r="O41" s="54"/>
      <c r="P41" s="34" t="s">
        <v>9</v>
      </c>
      <c r="Q41" s="34" t="s">
        <v>249</v>
      </c>
      <c r="R41" s="34" t="s">
        <v>496</v>
      </c>
    </row>
    <row r="42" spans="1:18" ht="43.5" x14ac:dyDescent="0.2">
      <c r="A42" s="35" t="s">
        <v>285</v>
      </c>
      <c r="B42" s="34" t="s">
        <v>54</v>
      </c>
      <c r="C42" s="34" t="s">
        <v>57</v>
      </c>
      <c r="D42" s="54">
        <v>15000</v>
      </c>
      <c r="E42" s="54">
        <f>D42-(D42*10/100)</f>
        <v>13500</v>
      </c>
      <c r="F42" s="54">
        <f>D42-(D42*20/100)</f>
        <v>12000</v>
      </c>
      <c r="G42" s="54">
        <f>D42-(D42*30/100)</f>
        <v>10500</v>
      </c>
      <c r="H42" s="54">
        <f t="shared" si="8"/>
        <v>12000</v>
      </c>
      <c r="I42" s="54"/>
      <c r="J42" s="54"/>
      <c r="K42" s="54"/>
      <c r="L42" s="54">
        <f t="shared" si="9"/>
        <v>9000</v>
      </c>
      <c r="M42" s="54"/>
      <c r="N42" s="54"/>
      <c r="O42" s="54"/>
      <c r="P42" s="34" t="s">
        <v>9</v>
      </c>
      <c r="Q42" s="34" t="s">
        <v>250</v>
      </c>
      <c r="R42" s="34" t="s">
        <v>496</v>
      </c>
    </row>
    <row r="43" spans="1:18" ht="21.75" x14ac:dyDescent="0.2">
      <c r="A43" s="55" t="s">
        <v>286</v>
      </c>
      <c r="B43" s="54" t="s">
        <v>35</v>
      </c>
      <c r="C43" s="34" t="s">
        <v>40</v>
      </c>
      <c r="D43" s="34">
        <v>5000</v>
      </c>
      <c r="E43" s="34">
        <f>MROUND(D43-(D43*10/100),50)</f>
        <v>4500</v>
      </c>
      <c r="F43" s="34">
        <f>MROUND(D43-(D43*20/100),50)</f>
        <v>4000</v>
      </c>
      <c r="G43" s="34">
        <f>MROUND(D43-(D43*30/100),50)</f>
        <v>3500</v>
      </c>
      <c r="H43" s="34">
        <f>MROUND(D43-(D43*10/100),50)</f>
        <v>4500</v>
      </c>
      <c r="I43" s="34">
        <f>MROUND(H43-(H43*10/100),50)</f>
        <v>4050</v>
      </c>
      <c r="J43" s="34">
        <f>MROUND(H43-(H43*20/100),50)</f>
        <v>3600</v>
      </c>
      <c r="K43" s="34">
        <f>MROUND(H43-(H43*30/100),50)</f>
        <v>3150</v>
      </c>
      <c r="L43" s="34">
        <f>MROUND(D43-(D43*20/100),50)</f>
        <v>4000</v>
      </c>
      <c r="M43" s="34">
        <f>MROUND(L43-(L43*10/100),50)</f>
        <v>3600</v>
      </c>
      <c r="N43" s="34">
        <f>MROUND(L43-(L43*20/100),50)</f>
        <v>3200</v>
      </c>
      <c r="O43" s="34">
        <f>MROUND(L43-(L43*30/100),50)</f>
        <v>2800</v>
      </c>
      <c r="P43" s="54" t="s">
        <v>10</v>
      </c>
      <c r="Q43" s="54" t="s">
        <v>53</v>
      </c>
      <c r="R43" s="54" t="s">
        <v>497</v>
      </c>
    </row>
    <row r="44" spans="1:18" ht="21.75" x14ac:dyDescent="0.2">
      <c r="A44" s="55"/>
      <c r="B44" s="54"/>
      <c r="C44" s="34" t="s">
        <v>41</v>
      </c>
      <c r="D44" s="34">
        <f>D43*50/100</f>
        <v>2500</v>
      </c>
      <c r="E44" s="34">
        <f t="shared" ref="E44:O44" si="10">MROUND(E43*50/100,50)</f>
        <v>2250</v>
      </c>
      <c r="F44" s="34">
        <f t="shared" si="10"/>
        <v>2000</v>
      </c>
      <c r="G44" s="34">
        <f t="shared" si="10"/>
        <v>1750</v>
      </c>
      <c r="H44" s="34">
        <f t="shared" si="10"/>
        <v>2250</v>
      </c>
      <c r="I44" s="34">
        <f t="shared" si="10"/>
        <v>2050</v>
      </c>
      <c r="J44" s="34">
        <f t="shared" si="10"/>
        <v>1800</v>
      </c>
      <c r="K44" s="34">
        <f t="shared" si="10"/>
        <v>1600</v>
      </c>
      <c r="L44" s="34">
        <f t="shared" si="10"/>
        <v>2000</v>
      </c>
      <c r="M44" s="34">
        <f t="shared" si="10"/>
        <v>1800</v>
      </c>
      <c r="N44" s="34">
        <f t="shared" si="10"/>
        <v>1600</v>
      </c>
      <c r="O44" s="34">
        <f t="shared" si="10"/>
        <v>1400</v>
      </c>
      <c r="P44" s="54"/>
      <c r="Q44" s="54"/>
      <c r="R44" s="54"/>
    </row>
    <row r="45" spans="1:18" ht="43.5" x14ac:dyDescent="0.2">
      <c r="A45" s="22" t="s">
        <v>287</v>
      </c>
      <c r="B45" s="34" t="s">
        <v>122</v>
      </c>
      <c r="C45" s="34" t="s">
        <v>57</v>
      </c>
      <c r="D45" s="54">
        <v>30000</v>
      </c>
      <c r="E45" s="54"/>
      <c r="F45" s="54"/>
      <c r="G45" s="54"/>
      <c r="H45" s="54">
        <f t="shared" ref="H45:H51" si="11">D45-(D45*20/100)</f>
        <v>24000</v>
      </c>
      <c r="I45" s="54"/>
      <c r="J45" s="54"/>
      <c r="K45" s="54"/>
      <c r="L45" s="54">
        <f t="shared" ref="L45:L51" si="12">D45-(D45*40/100)</f>
        <v>18000</v>
      </c>
      <c r="M45" s="54"/>
      <c r="N45" s="54"/>
      <c r="O45" s="54"/>
      <c r="P45" s="34" t="s">
        <v>9</v>
      </c>
      <c r="Q45" s="34" t="s">
        <v>53</v>
      </c>
      <c r="R45" s="34" t="s">
        <v>495</v>
      </c>
    </row>
    <row r="46" spans="1:18" ht="43.5" x14ac:dyDescent="0.2">
      <c r="A46" s="22" t="s">
        <v>288</v>
      </c>
      <c r="B46" s="34" t="s">
        <v>123</v>
      </c>
      <c r="C46" s="34" t="s">
        <v>57</v>
      </c>
      <c r="D46" s="54">
        <v>20000</v>
      </c>
      <c r="E46" s="54"/>
      <c r="F46" s="54"/>
      <c r="G46" s="54"/>
      <c r="H46" s="54">
        <f t="shared" si="11"/>
        <v>16000</v>
      </c>
      <c r="I46" s="54"/>
      <c r="J46" s="54"/>
      <c r="K46" s="54"/>
      <c r="L46" s="54">
        <f t="shared" si="12"/>
        <v>12000</v>
      </c>
      <c r="M46" s="54"/>
      <c r="N46" s="54"/>
      <c r="O46" s="54"/>
      <c r="P46" s="34" t="s">
        <v>9</v>
      </c>
      <c r="Q46" s="34" t="s">
        <v>53</v>
      </c>
      <c r="R46" s="34" t="s">
        <v>499</v>
      </c>
    </row>
    <row r="47" spans="1:18" s="2" customFormat="1" ht="43.5" x14ac:dyDescent="0.2">
      <c r="A47" s="22" t="s">
        <v>289</v>
      </c>
      <c r="B47" s="34" t="s">
        <v>149</v>
      </c>
      <c r="C47" s="34" t="s">
        <v>57</v>
      </c>
      <c r="D47" s="54">
        <v>20000</v>
      </c>
      <c r="E47" s="54"/>
      <c r="F47" s="54"/>
      <c r="G47" s="54"/>
      <c r="H47" s="54">
        <f t="shared" si="11"/>
        <v>16000</v>
      </c>
      <c r="I47" s="54"/>
      <c r="J47" s="54"/>
      <c r="K47" s="54"/>
      <c r="L47" s="54">
        <f t="shared" si="12"/>
        <v>12000</v>
      </c>
      <c r="M47" s="54"/>
      <c r="N47" s="54"/>
      <c r="O47" s="54"/>
      <c r="P47" s="34" t="s">
        <v>9</v>
      </c>
      <c r="Q47" s="34" t="s">
        <v>511</v>
      </c>
      <c r="R47" s="34" t="s">
        <v>495</v>
      </c>
    </row>
    <row r="48" spans="1:18" ht="37.5" customHeight="1" x14ac:dyDescent="0.2">
      <c r="A48" s="22" t="s">
        <v>290</v>
      </c>
      <c r="B48" s="34" t="s">
        <v>42</v>
      </c>
      <c r="C48" s="34" t="s">
        <v>57</v>
      </c>
      <c r="D48" s="54">
        <v>10000</v>
      </c>
      <c r="E48" s="54">
        <f>D48-(D48*10/100)</f>
        <v>9000</v>
      </c>
      <c r="F48" s="54">
        <f>D48-(D48*20/100)</f>
        <v>8000</v>
      </c>
      <c r="G48" s="54">
        <f>D48-(D48*30/100)</f>
        <v>7000</v>
      </c>
      <c r="H48" s="54">
        <f t="shared" si="11"/>
        <v>8000</v>
      </c>
      <c r="I48" s="54"/>
      <c r="J48" s="54"/>
      <c r="K48" s="54"/>
      <c r="L48" s="54">
        <f t="shared" si="12"/>
        <v>6000</v>
      </c>
      <c r="M48" s="54"/>
      <c r="N48" s="54"/>
      <c r="O48" s="54"/>
      <c r="P48" s="34" t="s">
        <v>9</v>
      </c>
      <c r="Q48" s="34" t="s">
        <v>53</v>
      </c>
      <c r="R48" s="34" t="s">
        <v>495</v>
      </c>
    </row>
    <row r="49" spans="1:18" ht="36" customHeight="1" x14ac:dyDescent="0.2">
      <c r="A49" s="22" t="s">
        <v>291</v>
      </c>
      <c r="B49" s="34" t="s">
        <v>39</v>
      </c>
      <c r="C49" s="34" t="s">
        <v>57</v>
      </c>
      <c r="D49" s="54">
        <v>100000</v>
      </c>
      <c r="E49" s="54"/>
      <c r="F49" s="54"/>
      <c r="G49" s="54"/>
      <c r="H49" s="54">
        <f t="shared" si="11"/>
        <v>80000</v>
      </c>
      <c r="I49" s="54"/>
      <c r="J49" s="54"/>
      <c r="K49" s="54"/>
      <c r="L49" s="54">
        <f t="shared" si="12"/>
        <v>60000</v>
      </c>
      <c r="M49" s="54"/>
      <c r="N49" s="54"/>
      <c r="O49" s="54"/>
      <c r="P49" s="34" t="s">
        <v>9</v>
      </c>
      <c r="Q49" s="34" t="s">
        <v>53</v>
      </c>
      <c r="R49" s="34" t="s">
        <v>495</v>
      </c>
    </row>
    <row r="50" spans="1:18" ht="43.5" x14ac:dyDescent="0.2">
      <c r="A50" s="22" t="s">
        <v>292</v>
      </c>
      <c r="B50" s="34" t="s">
        <v>124</v>
      </c>
      <c r="C50" s="34" t="s">
        <v>57</v>
      </c>
      <c r="D50" s="54">
        <v>10000</v>
      </c>
      <c r="E50" s="54">
        <f>D50-(D50*10/100)</f>
        <v>9000</v>
      </c>
      <c r="F50" s="54">
        <f>D50-(D50*20/100)</f>
        <v>8000</v>
      </c>
      <c r="G50" s="54">
        <f>D50-(D50*30/100)</f>
        <v>7000</v>
      </c>
      <c r="H50" s="54">
        <f t="shared" si="11"/>
        <v>8000</v>
      </c>
      <c r="I50" s="54"/>
      <c r="J50" s="54"/>
      <c r="K50" s="54"/>
      <c r="L50" s="54">
        <f t="shared" si="12"/>
        <v>6000</v>
      </c>
      <c r="M50" s="54"/>
      <c r="N50" s="54"/>
      <c r="O50" s="54"/>
      <c r="P50" s="34" t="s">
        <v>9</v>
      </c>
      <c r="Q50" s="34" t="s">
        <v>510</v>
      </c>
      <c r="R50" s="34" t="s">
        <v>495</v>
      </c>
    </row>
    <row r="51" spans="1:18" ht="35.25" customHeight="1" x14ac:dyDescent="0.2">
      <c r="A51" s="22" t="s">
        <v>293</v>
      </c>
      <c r="B51" s="34" t="s">
        <v>30</v>
      </c>
      <c r="C51" s="34" t="s">
        <v>57</v>
      </c>
      <c r="D51" s="54">
        <v>5000</v>
      </c>
      <c r="E51" s="54">
        <f>D51-(D51*10/100)</f>
        <v>4500</v>
      </c>
      <c r="F51" s="54">
        <f>D51-(D51*20/100)</f>
        <v>4000</v>
      </c>
      <c r="G51" s="54">
        <f>D51-(D51*30/100)</f>
        <v>3500</v>
      </c>
      <c r="H51" s="54">
        <f t="shared" si="11"/>
        <v>4000</v>
      </c>
      <c r="I51" s="54"/>
      <c r="J51" s="54"/>
      <c r="K51" s="54"/>
      <c r="L51" s="54">
        <f t="shared" si="12"/>
        <v>3000</v>
      </c>
      <c r="M51" s="54"/>
      <c r="N51" s="54"/>
      <c r="O51" s="54"/>
      <c r="P51" s="34" t="s">
        <v>9</v>
      </c>
      <c r="Q51" s="34" t="s">
        <v>53</v>
      </c>
      <c r="R51" s="34" t="s">
        <v>522</v>
      </c>
    </row>
    <row r="52" spans="1:18" ht="21.75" x14ac:dyDescent="0.2">
      <c r="A52" s="113" t="s">
        <v>294</v>
      </c>
      <c r="B52" s="65" t="s">
        <v>79</v>
      </c>
      <c r="C52" s="45" t="s">
        <v>40</v>
      </c>
      <c r="D52" s="45">
        <v>3000</v>
      </c>
      <c r="E52" s="45">
        <f>MROUND(D52-(D52*10/100),50)</f>
        <v>2700</v>
      </c>
      <c r="F52" s="45">
        <f>MROUND(D52-(D52*20/100),50)</f>
        <v>2400</v>
      </c>
      <c r="G52" s="45">
        <f>MROUND(D52-(D52*30/100),50)</f>
        <v>2100</v>
      </c>
      <c r="H52" s="45">
        <f>MROUND(D52-(D52*10/100),50)</f>
        <v>2700</v>
      </c>
      <c r="I52" s="45">
        <f>MROUND(H52-(H52*10/100),50)</f>
        <v>2450</v>
      </c>
      <c r="J52" s="45">
        <f>MROUND(H52-(H52*20/100),50)</f>
        <v>2150</v>
      </c>
      <c r="K52" s="45">
        <f>MROUND(H52-(H52*30/100),50)</f>
        <v>1900</v>
      </c>
      <c r="L52" s="45">
        <f>MROUND(D52-(D52*20/100),50)</f>
        <v>2400</v>
      </c>
      <c r="M52" s="45">
        <f>MROUND(L52-(L52*10/100),50)</f>
        <v>2150</v>
      </c>
      <c r="N52" s="45">
        <f>MROUND(L52-(L52*20/100),50)</f>
        <v>1900</v>
      </c>
      <c r="O52" s="45">
        <f>MROUND(L52-(L52*30/100),50)</f>
        <v>1700</v>
      </c>
      <c r="P52" s="65" t="s">
        <v>10</v>
      </c>
      <c r="Q52" s="65" t="s">
        <v>509</v>
      </c>
      <c r="R52" s="71" t="s">
        <v>504</v>
      </c>
    </row>
    <row r="53" spans="1:18" ht="21.75" x14ac:dyDescent="0.2">
      <c r="A53" s="113"/>
      <c r="B53" s="65"/>
      <c r="C53" s="45" t="s">
        <v>41</v>
      </c>
      <c r="D53" s="45">
        <f>D52*50/100</f>
        <v>1500</v>
      </c>
      <c r="E53" s="45">
        <f t="shared" ref="E53:O53" si="13">MROUND(E52*50/100,50)</f>
        <v>1350</v>
      </c>
      <c r="F53" s="45">
        <f t="shared" si="13"/>
        <v>1200</v>
      </c>
      <c r="G53" s="45">
        <f t="shared" si="13"/>
        <v>1050</v>
      </c>
      <c r="H53" s="45">
        <f t="shared" si="13"/>
        <v>1350</v>
      </c>
      <c r="I53" s="45">
        <f t="shared" si="13"/>
        <v>1250</v>
      </c>
      <c r="J53" s="45">
        <f t="shared" si="13"/>
        <v>1100</v>
      </c>
      <c r="K53" s="45">
        <f t="shared" si="13"/>
        <v>950</v>
      </c>
      <c r="L53" s="45">
        <f t="shared" si="13"/>
        <v>1200</v>
      </c>
      <c r="M53" s="45">
        <f t="shared" si="13"/>
        <v>1100</v>
      </c>
      <c r="N53" s="45">
        <f t="shared" si="13"/>
        <v>950</v>
      </c>
      <c r="O53" s="45">
        <f t="shared" si="13"/>
        <v>850</v>
      </c>
      <c r="P53" s="65"/>
      <c r="Q53" s="65"/>
      <c r="R53" s="72"/>
    </row>
    <row r="54" spans="1:18" ht="21.75" x14ac:dyDescent="0.2">
      <c r="A54" s="55" t="s">
        <v>295</v>
      </c>
      <c r="B54" s="54" t="s">
        <v>26</v>
      </c>
      <c r="C54" s="34" t="s">
        <v>40</v>
      </c>
      <c r="D54" s="34">
        <v>5000</v>
      </c>
      <c r="E54" s="34">
        <f>MROUND(D54-(D54*10/100),50)</f>
        <v>4500</v>
      </c>
      <c r="F54" s="34">
        <f>MROUND(D54-(D54*20/100),50)</f>
        <v>4000</v>
      </c>
      <c r="G54" s="34">
        <f>MROUND(D54-(D54*30/100),50)</f>
        <v>3500</v>
      </c>
      <c r="H54" s="34">
        <f>MROUND(D54-(D54*10/100),50)</f>
        <v>4500</v>
      </c>
      <c r="I54" s="34">
        <f>MROUND(H54-(H54*10/100),50)</f>
        <v>4050</v>
      </c>
      <c r="J54" s="34">
        <f>MROUND(H54-(H54*20/100),50)</f>
        <v>3600</v>
      </c>
      <c r="K54" s="34">
        <f>MROUND(H54-(H54*30/100),50)</f>
        <v>3150</v>
      </c>
      <c r="L54" s="34">
        <f>MROUND(D54-(D54*20/100),50)</f>
        <v>4000</v>
      </c>
      <c r="M54" s="34">
        <f>MROUND(L54-(L54*10/100),50)</f>
        <v>3600</v>
      </c>
      <c r="N54" s="34">
        <f>MROUND(L54-(L54*20/100),50)</f>
        <v>3200</v>
      </c>
      <c r="O54" s="34">
        <f>MROUND(L54-(L54*30/100),50)</f>
        <v>2800</v>
      </c>
      <c r="P54" s="54" t="s">
        <v>10</v>
      </c>
      <c r="Q54" s="54" t="s">
        <v>53</v>
      </c>
      <c r="R54" s="65" t="s">
        <v>500</v>
      </c>
    </row>
    <row r="55" spans="1:18" ht="21.75" x14ac:dyDescent="0.2">
      <c r="A55" s="55"/>
      <c r="B55" s="54"/>
      <c r="C55" s="34" t="s">
        <v>41</v>
      </c>
      <c r="D55" s="34">
        <f>D54*50/100</f>
        <v>2500</v>
      </c>
      <c r="E55" s="34">
        <f t="shared" ref="E55:O55" si="14">MROUND(E54*50/100,50)</f>
        <v>2250</v>
      </c>
      <c r="F55" s="34">
        <f t="shared" si="14"/>
        <v>2000</v>
      </c>
      <c r="G55" s="34">
        <f t="shared" si="14"/>
        <v>1750</v>
      </c>
      <c r="H55" s="34">
        <f t="shared" si="14"/>
        <v>2250</v>
      </c>
      <c r="I55" s="34">
        <f t="shared" si="14"/>
        <v>2050</v>
      </c>
      <c r="J55" s="34">
        <f t="shared" si="14"/>
        <v>1800</v>
      </c>
      <c r="K55" s="34">
        <f t="shared" si="14"/>
        <v>1600</v>
      </c>
      <c r="L55" s="34">
        <f t="shared" si="14"/>
        <v>2000</v>
      </c>
      <c r="M55" s="34">
        <f t="shared" si="14"/>
        <v>1800</v>
      </c>
      <c r="N55" s="34">
        <f t="shared" si="14"/>
        <v>1600</v>
      </c>
      <c r="O55" s="34">
        <f t="shared" si="14"/>
        <v>1400</v>
      </c>
      <c r="P55" s="54"/>
      <c r="Q55" s="54"/>
      <c r="R55" s="65"/>
    </row>
    <row r="56" spans="1:18" ht="65.25" x14ac:dyDescent="0.2">
      <c r="A56" s="22" t="s">
        <v>296</v>
      </c>
      <c r="B56" s="34" t="s">
        <v>27</v>
      </c>
      <c r="C56" s="34" t="s">
        <v>57</v>
      </c>
      <c r="D56" s="54">
        <v>5000</v>
      </c>
      <c r="E56" s="54">
        <f>D56-(D56*10/100)</f>
        <v>4500</v>
      </c>
      <c r="F56" s="54">
        <f>D56-(D56*20/100)</f>
        <v>4000</v>
      </c>
      <c r="G56" s="54">
        <f>D56-(D56*30/100)</f>
        <v>3500</v>
      </c>
      <c r="H56" s="54">
        <f>D56-(D56*20/100)</f>
        <v>4000</v>
      </c>
      <c r="I56" s="54">
        <f>H56-(H56*10/100)</f>
        <v>3600</v>
      </c>
      <c r="J56" s="54">
        <f>H56-(H56*20/100)</f>
        <v>3200</v>
      </c>
      <c r="K56" s="54">
        <f>H56-(H56*30/100)</f>
        <v>2800</v>
      </c>
      <c r="L56" s="54">
        <v>3200</v>
      </c>
      <c r="M56" s="54">
        <f>L56-(L56*10/100)</f>
        <v>2880</v>
      </c>
      <c r="N56" s="54">
        <f>L56-(L56*20/100)</f>
        <v>2560</v>
      </c>
      <c r="O56" s="54">
        <f>L56-(L56*30/100)</f>
        <v>2240</v>
      </c>
      <c r="P56" s="34" t="s">
        <v>9</v>
      </c>
      <c r="Q56" s="34" t="s">
        <v>53</v>
      </c>
      <c r="R56" s="45" t="s">
        <v>500</v>
      </c>
    </row>
    <row r="57" spans="1:18" ht="43.5" x14ac:dyDescent="0.2">
      <c r="A57" s="22" t="s">
        <v>297</v>
      </c>
      <c r="B57" s="34" t="s">
        <v>153</v>
      </c>
      <c r="C57" s="34" t="s">
        <v>57</v>
      </c>
      <c r="D57" s="54">
        <v>25000</v>
      </c>
      <c r="E57" s="54">
        <f>D57-(D57*10/100)</f>
        <v>22500</v>
      </c>
      <c r="F57" s="54">
        <f>D57-(D57*20/100)</f>
        <v>20000</v>
      </c>
      <c r="G57" s="54">
        <f>D57-(D57*30/100)</f>
        <v>17500</v>
      </c>
      <c r="H57" s="54">
        <v>20000</v>
      </c>
      <c r="I57" s="54">
        <f>H57-(H57*10/100)</f>
        <v>18000</v>
      </c>
      <c r="J57" s="54">
        <f>H57-(H57*20/100)</f>
        <v>16000</v>
      </c>
      <c r="K57" s="54">
        <f>H57-(H57*30/100)</f>
        <v>14000</v>
      </c>
      <c r="L57" s="54">
        <v>16000</v>
      </c>
      <c r="M57" s="54">
        <f>L57-(L57*10/100)</f>
        <v>14400</v>
      </c>
      <c r="N57" s="54">
        <f>L57-(L57*20/100)</f>
        <v>12800</v>
      </c>
      <c r="O57" s="54">
        <f>L57-(L57*30/100)</f>
        <v>11200</v>
      </c>
      <c r="P57" s="34" t="s">
        <v>9</v>
      </c>
      <c r="Q57" s="34" t="s">
        <v>53</v>
      </c>
      <c r="R57" s="45" t="s">
        <v>481</v>
      </c>
    </row>
    <row r="58" spans="1:18" ht="65.25" x14ac:dyDescent="0.2">
      <c r="A58" s="22" t="s">
        <v>298</v>
      </c>
      <c r="B58" s="34" t="s">
        <v>152</v>
      </c>
      <c r="C58" s="34" t="s">
        <v>57</v>
      </c>
      <c r="D58" s="54">
        <v>30000</v>
      </c>
      <c r="E58" s="54">
        <f>D58-(D58*10/100)</f>
        <v>27000</v>
      </c>
      <c r="F58" s="54">
        <f>D58-(D58*20/100)</f>
        <v>24000</v>
      </c>
      <c r="G58" s="54">
        <f>D58-(D58*30/100)</f>
        <v>21000</v>
      </c>
      <c r="H58" s="54">
        <v>24000</v>
      </c>
      <c r="I58" s="54">
        <f>H58-(H58*10/100)</f>
        <v>21600</v>
      </c>
      <c r="J58" s="54">
        <f>H58-(H58*20/100)</f>
        <v>19200</v>
      </c>
      <c r="K58" s="54">
        <f>H58-(H58*30/100)</f>
        <v>16800</v>
      </c>
      <c r="L58" s="54">
        <v>19200</v>
      </c>
      <c r="M58" s="54">
        <f>L58-(L58*10/100)</f>
        <v>17280</v>
      </c>
      <c r="N58" s="54">
        <f>L58-(L58*20/100)</f>
        <v>15360</v>
      </c>
      <c r="O58" s="54">
        <f>L58-(L58*30/100)</f>
        <v>13440</v>
      </c>
      <c r="P58" s="34" t="s">
        <v>9</v>
      </c>
      <c r="Q58" s="34" t="s">
        <v>53</v>
      </c>
      <c r="R58" s="45" t="s">
        <v>481</v>
      </c>
    </row>
    <row r="59" spans="1:18" ht="21.75" x14ac:dyDescent="0.2">
      <c r="A59" s="55" t="s">
        <v>299</v>
      </c>
      <c r="B59" s="54" t="s">
        <v>43</v>
      </c>
      <c r="C59" s="34" t="s">
        <v>40</v>
      </c>
      <c r="D59" s="34">
        <v>5000</v>
      </c>
      <c r="E59" s="34">
        <f>MROUND(D59-(D59*10/100),50)</f>
        <v>4500</v>
      </c>
      <c r="F59" s="34">
        <f>MROUND(D59-(D59*20/100),50)</f>
        <v>4000</v>
      </c>
      <c r="G59" s="34">
        <f>MROUND(D59-(D59*30/100),50)</f>
        <v>3500</v>
      </c>
      <c r="H59" s="34">
        <f>MROUND(D59-(D59*10/100),50)</f>
        <v>4500</v>
      </c>
      <c r="I59" s="34">
        <f>MROUND(H59-(H59*10/100),50)</f>
        <v>4050</v>
      </c>
      <c r="J59" s="34">
        <f>MROUND(H59-(H59*20/100),50)</f>
        <v>3600</v>
      </c>
      <c r="K59" s="34">
        <f>MROUND(H59-(H59*30/100),50)</f>
        <v>3150</v>
      </c>
      <c r="L59" s="34">
        <f>MROUND(D59-(D59*20/100),50)</f>
        <v>4000</v>
      </c>
      <c r="M59" s="34">
        <f>MROUND(L59-(L59*10/100),50)</f>
        <v>3600</v>
      </c>
      <c r="N59" s="34">
        <f>MROUND(L59-(L59*20/100),50)</f>
        <v>3200</v>
      </c>
      <c r="O59" s="34">
        <f>MROUND(L59-(L59*30/100),50)</f>
        <v>2800</v>
      </c>
      <c r="P59" s="54" t="s">
        <v>10</v>
      </c>
      <c r="Q59" s="54" t="s">
        <v>53</v>
      </c>
      <c r="R59" s="71" t="s">
        <v>481</v>
      </c>
    </row>
    <row r="60" spans="1:18" ht="21.75" x14ac:dyDescent="0.2">
      <c r="A60" s="55"/>
      <c r="B60" s="54"/>
      <c r="C60" s="34" t="s">
        <v>41</v>
      </c>
      <c r="D60" s="34">
        <f>D59*50/100</f>
        <v>2500</v>
      </c>
      <c r="E60" s="34">
        <f t="shared" ref="E60:O60" si="15">MROUND(E59*50/100,50)</f>
        <v>2250</v>
      </c>
      <c r="F60" s="34">
        <f t="shared" si="15"/>
        <v>2000</v>
      </c>
      <c r="G60" s="34">
        <f t="shared" si="15"/>
        <v>1750</v>
      </c>
      <c r="H60" s="34">
        <f t="shared" si="15"/>
        <v>2250</v>
      </c>
      <c r="I60" s="34">
        <f t="shared" si="15"/>
        <v>2050</v>
      </c>
      <c r="J60" s="34">
        <f t="shared" si="15"/>
        <v>1800</v>
      </c>
      <c r="K60" s="34">
        <f t="shared" si="15"/>
        <v>1600</v>
      </c>
      <c r="L60" s="34">
        <f t="shared" si="15"/>
        <v>2000</v>
      </c>
      <c r="M60" s="34">
        <f t="shared" si="15"/>
        <v>1800</v>
      </c>
      <c r="N60" s="34">
        <f t="shared" si="15"/>
        <v>1600</v>
      </c>
      <c r="O60" s="34">
        <f t="shared" si="15"/>
        <v>1400</v>
      </c>
      <c r="P60" s="54"/>
      <c r="Q60" s="54"/>
      <c r="R60" s="72"/>
    </row>
    <row r="61" spans="1:18" ht="31.5" customHeight="1" x14ac:dyDescent="0.2">
      <c r="A61" s="22" t="s">
        <v>300</v>
      </c>
      <c r="B61" s="34" t="s">
        <v>266</v>
      </c>
      <c r="C61" s="34" t="s">
        <v>57</v>
      </c>
      <c r="D61" s="54">
        <v>10000</v>
      </c>
      <c r="E61" s="54">
        <f>D61-(D61*10/100)</f>
        <v>9000</v>
      </c>
      <c r="F61" s="54">
        <f>D61-(D61*20/100)</f>
        <v>8000</v>
      </c>
      <c r="G61" s="54">
        <f>D61-(D61*30/100)</f>
        <v>7000</v>
      </c>
      <c r="H61" s="54">
        <f>D61-(D61*20/100)</f>
        <v>8000</v>
      </c>
      <c r="I61" s="54"/>
      <c r="J61" s="54"/>
      <c r="K61" s="54"/>
      <c r="L61" s="54">
        <f>D61-(D61*40/100)</f>
        <v>6000</v>
      </c>
      <c r="M61" s="54"/>
      <c r="N61" s="54"/>
      <c r="O61" s="54"/>
      <c r="P61" s="34" t="s">
        <v>9</v>
      </c>
      <c r="Q61" s="34" t="s">
        <v>53</v>
      </c>
      <c r="R61" s="34" t="s">
        <v>481</v>
      </c>
    </row>
    <row r="62" spans="1:18" ht="65.25" x14ac:dyDescent="0.2">
      <c r="A62" s="22" t="s">
        <v>301</v>
      </c>
      <c r="B62" s="34" t="s">
        <v>267</v>
      </c>
      <c r="C62" s="34" t="s">
        <v>57</v>
      </c>
      <c r="D62" s="54">
        <v>10000</v>
      </c>
      <c r="E62" s="54">
        <f>D62-(D62*10/100)</f>
        <v>9000</v>
      </c>
      <c r="F62" s="54">
        <f>D62-(D62*20/100)</f>
        <v>8000</v>
      </c>
      <c r="G62" s="54">
        <f>D62-(D62*30/100)</f>
        <v>7000</v>
      </c>
      <c r="H62" s="54">
        <f>D62-(D62*20/100)</f>
        <v>8000</v>
      </c>
      <c r="I62" s="54"/>
      <c r="J62" s="54"/>
      <c r="K62" s="54"/>
      <c r="L62" s="54">
        <f>D62-(D62*40/100)</f>
        <v>6000</v>
      </c>
      <c r="M62" s="54"/>
      <c r="N62" s="54"/>
      <c r="O62" s="54"/>
      <c r="P62" s="34" t="s">
        <v>9</v>
      </c>
      <c r="Q62" s="34" t="s">
        <v>53</v>
      </c>
      <c r="R62" s="34" t="s">
        <v>481</v>
      </c>
    </row>
    <row r="63" spans="1:18" ht="43.5" x14ac:dyDescent="0.2">
      <c r="A63" s="22" t="s">
        <v>302</v>
      </c>
      <c r="B63" s="34" t="s">
        <v>268</v>
      </c>
      <c r="C63" s="34" t="s">
        <v>57</v>
      </c>
      <c r="D63" s="54">
        <v>15000</v>
      </c>
      <c r="E63" s="54"/>
      <c r="F63" s="54"/>
      <c r="G63" s="54"/>
      <c r="H63" s="54">
        <v>12000</v>
      </c>
      <c r="I63" s="54"/>
      <c r="J63" s="54"/>
      <c r="K63" s="54"/>
      <c r="L63" s="54">
        <v>9600</v>
      </c>
      <c r="M63" s="54"/>
      <c r="N63" s="54"/>
      <c r="O63" s="54"/>
      <c r="P63" s="34" t="s">
        <v>9</v>
      </c>
      <c r="Q63" s="34" t="s">
        <v>53</v>
      </c>
      <c r="R63" s="34" t="s">
        <v>481</v>
      </c>
    </row>
    <row r="64" spans="1:18" ht="33" customHeight="1" x14ac:dyDescent="0.2">
      <c r="A64" s="22" t="s">
        <v>303</v>
      </c>
      <c r="B64" s="34" t="s">
        <v>154</v>
      </c>
      <c r="C64" s="34" t="s">
        <v>57</v>
      </c>
      <c r="D64" s="54">
        <v>40000</v>
      </c>
      <c r="E64" s="54"/>
      <c r="F64" s="54"/>
      <c r="G64" s="54"/>
      <c r="H64" s="54">
        <v>32000</v>
      </c>
      <c r="I64" s="54"/>
      <c r="J64" s="54"/>
      <c r="K64" s="54"/>
      <c r="L64" s="54">
        <v>25600</v>
      </c>
      <c r="M64" s="54"/>
      <c r="N64" s="54"/>
      <c r="O64" s="54"/>
      <c r="P64" s="34" t="s">
        <v>9</v>
      </c>
      <c r="Q64" s="34" t="s">
        <v>53</v>
      </c>
      <c r="R64" s="34" t="s">
        <v>481</v>
      </c>
    </row>
    <row r="65" spans="1:18" ht="43.5" x14ac:dyDescent="0.2">
      <c r="A65" s="22" t="s">
        <v>304</v>
      </c>
      <c r="B65" s="34" t="s">
        <v>28</v>
      </c>
      <c r="C65" s="34" t="s">
        <v>57</v>
      </c>
      <c r="D65" s="54">
        <v>15000</v>
      </c>
      <c r="E65" s="54"/>
      <c r="F65" s="54"/>
      <c r="G65" s="54"/>
      <c r="H65" s="54">
        <v>12000</v>
      </c>
      <c r="I65" s="54"/>
      <c r="J65" s="54"/>
      <c r="K65" s="54"/>
      <c r="L65" s="54">
        <v>9600</v>
      </c>
      <c r="M65" s="54"/>
      <c r="N65" s="54"/>
      <c r="O65" s="54"/>
      <c r="P65" s="34" t="s">
        <v>9</v>
      </c>
      <c r="Q65" s="34" t="s">
        <v>53</v>
      </c>
      <c r="R65" s="34" t="s">
        <v>481</v>
      </c>
    </row>
    <row r="66" spans="1:18" s="2" customFormat="1" ht="39.950000000000003" customHeight="1" x14ac:dyDescent="0.2">
      <c r="A66" s="22" t="s">
        <v>305</v>
      </c>
      <c r="B66" s="34" t="s">
        <v>100</v>
      </c>
      <c r="C66" s="34" t="s">
        <v>57</v>
      </c>
      <c r="D66" s="54">
        <v>5000</v>
      </c>
      <c r="E66" s="54">
        <f>D66-(D66*10/100)</f>
        <v>4500</v>
      </c>
      <c r="F66" s="54">
        <f>D66-(D66*20/100)</f>
        <v>4000</v>
      </c>
      <c r="G66" s="54">
        <f>D66-(D66*30/100)</f>
        <v>3500</v>
      </c>
      <c r="H66" s="54">
        <f>D66-(D66*20/100)</f>
        <v>4000</v>
      </c>
      <c r="I66" s="54"/>
      <c r="J66" s="54"/>
      <c r="K66" s="54"/>
      <c r="L66" s="54">
        <f>D66-(D66*40/100)</f>
        <v>3000</v>
      </c>
      <c r="M66" s="54"/>
      <c r="N66" s="54"/>
      <c r="O66" s="54"/>
      <c r="P66" s="34" t="s">
        <v>9</v>
      </c>
      <c r="Q66" s="34" t="s">
        <v>505</v>
      </c>
      <c r="R66" s="48" t="s">
        <v>495</v>
      </c>
    </row>
    <row r="67" spans="1:18" s="7" customFormat="1" ht="39.950000000000003" customHeight="1" x14ac:dyDescent="0.2">
      <c r="A67" s="22" t="s">
        <v>306</v>
      </c>
      <c r="B67" s="34" t="s">
        <v>101</v>
      </c>
      <c r="C67" s="34" t="s">
        <v>57</v>
      </c>
      <c r="D67" s="54">
        <v>5000</v>
      </c>
      <c r="E67" s="54">
        <f>D67-(D67*10/100)</f>
        <v>4500</v>
      </c>
      <c r="F67" s="54">
        <f>D67-(D67*20/100)</f>
        <v>4000</v>
      </c>
      <c r="G67" s="54">
        <f>D67-(D67*30/100)</f>
        <v>3500</v>
      </c>
      <c r="H67" s="54">
        <f>D67-(D67*20/100)</f>
        <v>4000</v>
      </c>
      <c r="I67" s="54"/>
      <c r="J67" s="54"/>
      <c r="K67" s="54"/>
      <c r="L67" s="54">
        <f>D67-(D67*40/100)</f>
        <v>3000</v>
      </c>
      <c r="M67" s="54"/>
      <c r="N67" s="54"/>
      <c r="O67" s="54"/>
      <c r="P67" s="34" t="s">
        <v>9</v>
      </c>
      <c r="Q67" s="34" t="s">
        <v>505</v>
      </c>
      <c r="R67" s="48" t="s">
        <v>495</v>
      </c>
    </row>
    <row r="68" spans="1:18" ht="21.75" x14ac:dyDescent="0.2">
      <c r="A68" s="55" t="s">
        <v>307</v>
      </c>
      <c r="B68" s="54" t="s">
        <v>155</v>
      </c>
      <c r="C68" s="34" t="s">
        <v>40</v>
      </c>
      <c r="D68" s="34">
        <v>1000</v>
      </c>
      <c r="E68" s="34">
        <f>MROUND(D68-(D68*10/100),50)</f>
        <v>900</v>
      </c>
      <c r="F68" s="34">
        <f>MROUND(D68-(D68*20/100),50)</f>
        <v>800</v>
      </c>
      <c r="G68" s="34">
        <f>MROUND(D68-(D68*30/100),50)</f>
        <v>700</v>
      </c>
      <c r="H68" s="34">
        <f>MROUND(D68-(D68*10/100),50)</f>
        <v>900</v>
      </c>
      <c r="I68" s="34">
        <f>MROUND(H68-(H68*10/100),50)</f>
        <v>800</v>
      </c>
      <c r="J68" s="34">
        <f>MROUND(H68-(H68*20/100),50)</f>
        <v>700</v>
      </c>
      <c r="K68" s="34">
        <f>MROUND(H68-(H68*30/100),50)</f>
        <v>650</v>
      </c>
      <c r="L68" s="34">
        <f>MROUND(D68-(D68*20/100),50)</f>
        <v>800</v>
      </c>
      <c r="M68" s="34">
        <f>MROUND(L68-(L68*10/100),50)</f>
        <v>700</v>
      </c>
      <c r="N68" s="34">
        <f>MROUND(L68-(L68*20/100),50)</f>
        <v>650</v>
      </c>
      <c r="O68" s="34">
        <f>MROUND(L68-(L68*30/100),50)</f>
        <v>550</v>
      </c>
      <c r="P68" s="54" t="s">
        <v>10</v>
      </c>
      <c r="Q68" s="54" t="s">
        <v>506</v>
      </c>
      <c r="R68" s="71" t="s">
        <v>495</v>
      </c>
    </row>
    <row r="69" spans="1:18" ht="21.75" x14ac:dyDescent="0.2">
      <c r="A69" s="55"/>
      <c r="B69" s="54"/>
      <c r="C69" s="34" t="s">
        <v>41</v>
      </c>
      <c r="D69" s="34">
        <f>D68*50/100</f>
        <v>500</v>
      </c>
      <c r="E69" s="34">
        <f t="shared" ref="E69:O69" si="16">MROUND(E68*50/100,50)</f>
        <v>450</v>
      </c>
      <c r="F69" s="34">
        <f t="shared" si="16"/>
        <v>400</v>
      </c>
      <c r="G69" s="34">
        <f t="shared" si="16"/>
        <v>350</v>
      </c>
      <c r="H69" s="34">
        <f t="shared" si="16"/>
        <v>450</v>
      </c>
      <c r="I69" s="34">
        <f t="shared" si="16"/>
        <v>400</v>
      </c>
      <c r="J69" s="34">
        <f t="shared" si="16"/>
        <v>350</v>
      </c>
      <c r="K69" s="34">
        <f t="shared" si="16"/>
        <v>350</v>
      </c>
      <c r="L69" s="34">
        <f t="shared" si="16"/>
        <v>400</v>
      </c>
      <c r="M69" s="34">
        <f t="shared" si="16"/>
        <v>350</v>
      </c>
      <c r="N69" s="34">
        <f t="shared" si="16"/>
        <v>350</v>
      </c>
      <c r="O69" s="34">
        <f t="shared" si="16"/>
        <v>300</v>
      </c>
      <c r="P69" s="54"/>
      <c r="Q69" s="54"/>
      <c r="R69" s="72"/>
    </row>
    <row r="70" spans="1:18" ht="43.5" customHeight="1" x14ac:dyDescent="0.2">
      <c r="A70" s="22" t="s">
        <v>308</v>
      </c>
      <c r="B70" s="34" t="s">
        <v>172</v>
      </c>
      <c r="C70" s="34" t="s">
        <v>57</v>
      </c>
      <c r="D70" s="54">
        <v>5000</v>
      </c>
      <c r="E70" s="54">
        <f>D70-(D70*10/100)</f>
        <v>4500</v>
      </c>
      <c r="F70" s="54">
        <f>D70-(D70*20/100)</f>
        <v>4000</v>
      </c>
      <c r="G70" s="54">
        <f>D70-(D70*30/100)</f>
        <v>3500</v>
      </c>
      <c r="H70" s="54">
        <f>D70-(D70*20/100)</f>
        <v>4000</v>
      </c>
      <c r="I70" s="54"/>
      <c r="J70" s="54"/>
      <c r="K70" s="54"/>
      <c r="L70" s="54">
        <f>D70-(D70*40/100)</f>
        <v>3000</v>
      </c>
      <c r="M70" s="54"/>
      <c r="N70" s="54"/>
      <c r="O70" s="54"/>
      <c r="P70" s="34" t="s">
        <v>9</v>
      </c>
      <c r="Q70" s="34" t="s">
        <v>507</v>
      </c>
      <c r="R70" s="34" t="s">
        <v>495</v>
      </c>
    </row>
    <row r="71" spans="1:18" ht="32.25" customHeight="1" x14ac:dyDescent="0.2">
      <c r="A71" s="22" t="s">
        <v>309</v>
      </c>
      <c r="B71" s="34" t="s">
        <v>84</v>
      </c>
      <c r="C71" s="34" t="s">
        <v>57</v>
      </c>
      <c r="D71" s="54">
        <v>20000</v>
      </c>
      <c r="E71" s="54">
        <f>D71-(D71*10/100)</f>
        <v>18000</v>
      </c>
      <c r="F71" s="54">
        <f>D71-(D71*20/100)</f>
        <v>16000</v>
      </c>
      <c r="G71" s="54">
        <f>D71-(D71*30/100)</f>
        <v>14000</v>
      </c>
      <c r="H71" s="54">
        <f>D71-(D71*20/100)</f>
        <v>16000</v>
      </c>
      <c r="I71" s="54"/>
      <c r="J71" s="54"/>
      <c r="K71" s="54"/>
      <c r="L71" s="54">
        <f>D71-(D71*40/100)</f>
        <v>12000</v>
      </c>
      <c r="M71" s="54"/>
      <c r="N71" s="54"/>
      <c r="O71" s="54"/>
      <c r="P71" s="34" t="s">
        <v>9</v>
      </c>
      <c r="Q71" s="34" t="s">
        <v>53</v>
      </c>
      <c r="R71" s="34" t="s">
        <v>495</v>
      </c>
    </row>
    <row r="72" spans="1:18" ht="32.25" customHeight="1" x14ac:dyDescent="0.2">
      <c r="A72" s="22" t="s">
        <v>310</v>
      </c>
      <c r="B72" s="34" t="s">
        <v>269</v>
      </c>
      <c r="C72" s="34" t="s">
        <v>57</v>
      </c>
      <c r="D72" s="54">
        <v>10000</v>
      </c>
      <c r="E72" s="54">
        <f>D72-(D72*10/100)</f>
        <v>9000</v>
      </c>
      <c r="F72" s="54">
        <f>D72-(D72*20/100)</f>
        <v>8000</v>
      </c>
      <c r="G72" s="54">
        <f>D72-(D72*30/100)</f>
        <v>7000</v>
      </c>
      <c r="H72" s="54">
        <f>D72-(D72*20/100)</f>
        <v>8000</v>
      </c>
      <c r="I72" s="54"/>
      <c r="J72" s="54"/>
      <c r="K72" s="54"/>
      <c r="L72" s="54">
        <f>D72-(D72*40/100)</f>
        <v>6000</v>
      </c>
      <c r="M72" s="54"/>
      <c r="N72" s="54"/>
      <c r="O72" s="54"/>
      <c r="P72" s="34" t="s">
        <v>9</v>
      </c>
      <c r="Q72" s="34" t="s">
        <v>53</v>
      </c>
      <c r="R72" s="34" t="s">
        <v>495</v>
      </c>
    </row>
    <row r="73" spans="1:18" ht="31.5" customHeight="1" x14ac:dyDescent="0.2">
      <c r="A73" s="22" t="s">
        <v>311</v>
      </c>
      <c r="B73" s="34" t="s">
        <v>270</v>
      </c>
      <c r="C73" s="34" t="s">
        <v>57</v>
      </c>
      <c r="D73" s="54">
        <v>5000</v>
      </c>
      <c r="E73" s="54">
        <f>D73-(D73*10/100)</f>
        <v>4500</v>
      </c>
      <c r="F73" s="54">
        <f>D73-(D73*20/100)</f>
        <v>4000</v>
      </c>
      <c r="G73" s="54">
        <f>D73-(D73*30/100)</f>
        <v>3500</v>
      </c>
      <c r="H73" s="54">
        <f>D73-(D73*20/100)</f>
        <v>4000</v>
      </c>
      <c r="I73" s="54"/>
      <c r="J73" s="54"/>
      <c r="K73" s="54"/>
      <c r="L73" s="54">
        <f>D73-(D73*40/100)</f>
        <v>3000</v>
      </c>
      <c r="M73" s="54"/>
      <c r="N73" s="54"/>
      <c r="O73" s="54"/>
      <c r="P73" s="34" t="s">
        <v>9</v>
      </c>
      <c r="Q73" s="34" t="s">
        <v>53</v>
      </c>
      <c r="R73" s="34" t="s">
        <v>495</v>
      </c>
    </row>
    <row r="74" spans="1:18" ht="21.75" x14ac:dyDescent="0.2">
      <c r="A74" s="55" t="s">
        <v>321</v>
      </c>
      <c r="B74" s="54" t="s">
        <v>31</v>
      </c>
      <c r="C74" s="34" t="s">
        <v>40</v>
      </c>
      <c r="D74" s="34">
        <v>5000</v>
      </c>
      <c r="E74" s="34">
        <f>MROUND(D74-(D74*10/100),50)</f>
        <v>4500</v>
      </c>
      <c r="F74" s="34">
        <f>MROUND(D74-(D74*20/100),50)</f>
        <v>4000</v>
      </c>
      <c r="G74" s="34">
        <f>MROUND(D74-(D74*30/100),50)</f>
        <v>3500</v>
      </c>
      <c r="H74" s="34">
        <f>MROUND(D74-(D74*10/100),50)</f>
        <v>4500</v>
      </c>
      <c r="I74" s="34">
        <f>MROUND(H74-(H74*10/100),50)</f>
        <v>4050</v>
      </c>
      <c r="J74" s="34">
        <f>MROUND(H74-(H74*20/100),50)</f>
        <v>3600</v>
      </c>
      <c r="K74" s="34">
        <f>MROUND(H74-(H74*30/100),50)</f>
        <v>3150</v>
      </c>
      <c r="L74" s="34">
        <f>MROUND(D74-(D74*20/100),50)</f>
        <v>4000</v>
      </c>
      <c r="M74" s="34">
        <f>MROUND(L74-(L74*10/100),50)</f>
        <v>3600</v>
      </c>
      <c r="N74" s="34">
        <f>MROUND(L74-(L74*20/100),50)</f>
        <v>3200</v>
      </c>
      <c r="O74" s="34">
        <f>MROUND(L74-(L74*30/100),50)</f>
        <v>2800</v>
      </c>
      <c r="P74" s="54" t="s">
        <v>10</v>
      </c>
      <c r="Q74" s="54" t="s">
        <v>53</v>
      </c>
      <c r="R74" s="71" t="s">
        <v>495</v>
      </c>
    </row>
    <row r="75" spans="1:18" ht="21.75" x14ac:dyDescent="0.2">
      <c r="A75" s="55"/>
      <c r="B75" s="54"/>
      <c r="C75" s="34" t="s">
        <v>41</v>
      </c>
      <c r="D75" s="34">
        <f>D74*50/100</f>
        <v>2500</v>
      </c>
      <c r="E75" s="34">
        <f t="shared" ref="E75:O75" si="17">MROUND(E74*50/100,50)</f>
        <v>2250</v>
      </c>
      <c r="F75" s="34">
        <f t="shared" si="17"/>
        <v>2000</v>
      </c>
      <c r="G75" s="34">
        <f t="shared" si="17"/>
        <v>1750</v>
      </c>
      <c r="H75" s="34">
        <f t="shared" si="17"/>
        <v>2250</v>
      </c>
      <c r="I75" s="34">
        <f t="shared" si="17"/>
        <v>2050</v>
      </c>
      <c r="J75" s="34">
        <f t="shared" si="17"/>
        <v>1800</v>
      </c>
      <c r="K75" s="34">
        <f t="shared" si="17"/>
        <v>1600</v>
      </c>
      <c r="L75" s="34">
        <f t="shared" si="17"/>
        <v>2000</v>
      </c>
      <c r="M75" s="34">
        <f t="shared" si="17"/>
        <v>1800</v>
      </c>
      <c r="N75" s="34">
        <f t="shared" si="17"/>
        <v>1600</v>
      </c>
      <c r="O75" s="34">
        <f t="shared" si="17"/>
        <v>1400</v>
      </c>
      <c r="P75" s="54"/>
      <c r="Q75" s="54"/>
      <c r="R75" s="72"/>
    </row>
    <row r="76" spans="1:18" ht="30" customHeight="1" x14ac:dyDescent="0.2">
      <c r="A76" s="55" t="s">
        <v>312</v>
      </c>
      <c r="B76" s="54" t="s">
        <v>156</v>
      </c>
      <c r="C76" s="34" t="s">
        <v>40</v>
      </c>
      <c r="D76" s="34">
        <v>5000</v>
      </c>
      <c r="E76" s="34">
        <f>MROUND(D76-(D76*10/100),50)</f>
        <v>4500</v>
      </c>
      <c r="F76" s="34">
        <f>MROUND(D76-(D76*20/100),50)</f>
        <v>4000</v>
      </c>
      <c r="G76" s="34">
        <f>MROUND(D76-(D76*30/100),50)</f>
        <v>3500</v>
      </c>
      <c r="H76" s="34">
        <f>MROUND(D76-(D76*10/100),50)</f>
        <v>4500</v>
      </c>
      <c r="I76" s="34">
        <f>MROUND(H76-(H76*10/100),50)</f>
        <v>4050</v>
      </c>
      <c r="J76" s="34">
        <f>MROUND(H76-(H76*20/100),50)</f>
        <v>3600</v>
      </c>
      <c r="K76" s="34">
        <f>MROUND(H76-(H76*30/100),50)</f>
        <v>3150</v>
      </c>
      <c r="L76" s="34">
        <f>MROUND(D76-(D76*20/100),50)</f>
        <v>4000</v>
      </c>
      <c r="M76" s="34">
        <f>MROUND(L76-(L76*10/100),50)</f>
        <v>3600</v>
      </c>
      <c r="N76" s="34">
        <f>MROUND(L76-(L76*20/100),50)</f>
        <v>3200</v>
      </c>
      <c r="O76" s="34">
        <f>MROUND(L76-(L76*30/100),50)</f>
        <v>2800</v>
      </c>
      <c r="P76" s="54" t="s">
        <v>10</v>
      </c>
      <c r="Q76" s="54" t="s">
        <v>53</v>
      </c>
      <c r="R76" s="71" t="s">
        <v>495</v>
      </c>
    </row>
    <row r="77" spans="1:18" ht="31.5" customHeight="1" x14ac:dyDescent="0.2">
      <c r="A77" s="55"/>
      <c r="B77" s="54"/>
      <c r="C77" s="34" t="s">
        <v>41</v>
      </c>
      <c r="D77" s="34">
        <f>D76*50/100</f>
        <v>2500</v>
      </c>
      <c r="E77" s="34">
        <f t="shared" ref="E77:O77" si="18">MROUND(E76*50/100,50)</f>
        <v>2250</v>
      </c>
      <c r="F77" s="34">
        <f t="shared" si="18"/>
        <v>2000</v>
      </c>
      <c r="G77" s="34">
        <f t="shared" si="18"/>
        <v>1750</v>
      </c>
      <c r="H77" s="34">
        <f t="shared" si="18"/>
        <v>2250</v>
      </c>
      <c r="I77" s="34">
        <f t="shared" si="18"/>
        <v>2050</v>
      </c>
      <c r="J77" s="34">
        <f t="shared" si="18"/>
        <v>1800</v>
      </c>
      <c r="K77" s="34">
        <f t="shared" si="18"/>
        <v>1600</v>
      </c>
      <c r="L77" s="34">
        <f t="shared" si="18"/>
        <v>2000</v>
      </c>
      <c r="M77" s="34">
        <f t="shared" si="18"/>
        <v>1800</v>
      </c>
      <c r="N77" s="34">
        <f t="shared" si="18"/>
        <v>1600</v>
      </c>
      <c r="O77" s="34">
        <f t="shared" si="18"/>
        <v>1400</v>
      </c>
      <c r="P77" s="54"/>
      <c r="Q77" s="54"/>
      <c r="R77" s="72"/>
    </row>
    <row r="78" spans="1:18" s="14" customFormat="1" ht="42.75" customHeight="1" x14ac:dyDescent="0.2">
      <c r="A78" s="22" t="s">
        <v>313</v>
      </c>
      <c r="B78" s="34" t="s">
        <v>271</v>
      </c>
      <c r="C78" s="34" t="s">
        <v>57</v>
      </c>
      <c r="D78" s="54">
        <v>5000</v>
      </c>
      <c r="E78" s="54"/>
      <c r="F78" s="54"/>
      <c r="G78" s="54"/>
      <c r="H78" s="54">
        <f>D78-(D78*20/100)</f>
        <v>4000</v>
      </c>
      <c r="I78" s="54"/>
      <c r="J78" s="54"/>
      <c r="K78" s="54"/>
      <c r="L78" s="54">
        <f>D78-(D78*40/100)</f>
        <v>3000</v>
      </c>
      <c r="M78" s="54"/>
      <c r="N78" s="54"/>
      <c r="O78" s="54"/>
      <c r="P78" s="34" t="s">
        <v>9</v>
      </c>
      <c r="Q78" s="34" t="s">
        <v>508</v>
      </c>
      <c r="R78" s="34" t="s">
        <v>482</v>
      </c>
    </row>
    <row r="79" spans="1:18" s="14" customFormat="1" ht="21.75" x14ac:dyDescent="0.2">
      <c r="A79" s="55" t="s">
        <v>314</v>
      </c>
      <c r="B79" s="54" t="s">
        <v>140</v>
      </c>
      <c r="C79" s="34" t="s">
        <v>40</v>
      </c>
      <c r="D79" s="34">
        <v>5000</v>
      </c>
      <c r="E79" s="34">
        <f>MROUND(D79-(D79*10/100),50)</f>
        <v>4500</v>
      </c>
      <c r="F79" s="34">
        <f>MROUND(D79-(D79*20/100),50)</f>
        <v>4000</v>
      </c>
      <c r="G79" s="34">
        <f>MROUND(D79-(D79*30/100),50)</f>
        <v>3500</v>
      </c>
      <c r="H79" s="34">
        <f>MROUND(D79-(D79*10/100),50)</f>
        <v>4500</v>
      </c>
      <c r="I79" s="34">
        <f>MROUND(H79-(H79*10/100),50)</f>
        <v>4050</v>
      </c>
      <c r="J79" s="34">
        <f>MROUND(H79-(H79*20/100),50)</f>
        <v>3600</v>
      </c>
      <c r="K79" s="34">
        <f>MROUND(H79-(H79*30/100),50)</f>
        <v>3150</v>
      </c>
      <c r="L79" s="34">
        <f>MROUND(D79-(D79*20/100),50)</f>
        <v>4000</v>
      </c>
      <c r="M79" s="34">
        <f>MROUND(L79-(L79*10/100),50)</f>
        <v>3600</v>
      </c>
      <c r="N79" s="34">
        <f>MROUND(L79-(L79*20/100),50)</f>
        <v>3200</v>
      </c>
      <c r="O79" s="34">
        <f>MROUND(L79-(L79*30/100),50)</f>
        <v>2800</v>
      </c>
      <c r="P79" s="54" t="s">
        <v>10</v>
      </c>
      <c r="Q79" s="54" t="s">
        <v>53</v>
      </c>
      <c r="R79" s="71" t="s">
        <v>501</v>
      </c>
    </row>
    <row r="80" spans="1:18" s="14" customFormat="1" ht="21.75" x14ac:dyDescent="0.2">
      <c r="A80" s="55"/>
      <c r="B80" s="54"/>
      <c r="C80" s="34" t="s">
        <v>41</v>
      </c>
      <c r="D80" s="34">
        <f>D79*50/100</f>
        <v>2500</v>
      </c>
      <c r="E80" s="34">
        <f t="shared" ref="E80:O80" si="19">MROUND(E79*50/100,50)</f>
        <v>2250</v>
      </c>
      <c r="F80" s="34">
        <f t="shared" si="19"/>
        <v>2000</v>
      </c>
      <c r="G80" s="34">
        <f t="shared" si="19"/>
        <v>1750</v>
      </c>
      <c r="H80" s="34">
        <f t="shared" si="19"/>
        <v>2250</v>
      </c>
      <c r="I80" s="34">
        <f t="shared" si="19"/>
        <v>2050</v>
      </c>
      <c r="J80" s="34">
        <f t="shared" si="19"/>
        <v>1800</v>
      </c>
      <c r="K80" s="34">
        <f t="shared" si="19"/>
        <v>1600</v>
      </c>
      <c r="L80" s="34">
        <f t="shared" si="19"/>
        <v>2000</v>
      </c>
      <c r="M80" s="34">
        <f t="shared" si="19"/>
        <v>1800</v>
      </c>
      <c r="N80" s="34">
        <f t="shared" si="19"/>
        <v>1600</v>
      </c>
      <c r="O80" s="34">
        <f t="shared" si="19"/>
        <v>1400</v>
      </c>
      <c r="P80" s="54"/>
      <c r="Q80" s="54"/>
      <c r="R80" s="72"/>
    </row>
    <row r="81" spans="1:18" ht="21.75" customHeight="1" x14ac:dyDescent="0.2">
      <c r="A81" s="55" t="s">
        <v>315</v>
      </c>
      <c r="B81" s="54" t="s">
        <v>112</v>
      </c>
      <c r="C81" s="34" t="s">
        <v>40</v>
      </c>
      <c r="D81" s="34">
        <v>4000</v>
      </c>
      <c r="E81" s="34">
        <f>MROUND(D81-(D81*10/100),50)</f>
        <v>3600</v>
      </c>
      <c r="F81" s="34">
        <f>MROUND(D81-(D81*20/100),50)</f>
        <v>3200</v>
      </c>
      <c r="G81" s="34">
        <f>MROUND(D81-(D81*30/100),50)</f>
        <v>2800</v>
      </c>
      <c r="H81" s="34">
        <f>MROUND(D81-(D81*10/100),50)</f>
        <v>3600</v>
      </c>
      <c r="I81" s="34">
        <f>MROUND(H81-(H81*10/100),50)</f>
        <v>3250</v>
      </c>
      <c r="J81" s="34">
        <f>MROUND(H81-(H81*20/100),50)</f>
        <v>2900</v>
      </c>
      <c r="K81" s="34">
        <f>MROUND(H81-(H81*30/100),50)</f>
        <v>2500</v>
      </c>
      <c r="L81" s="34">
        <f>MROUND(D81-(D81*20/100),50)</f>
        <v>3200</v>
      </c>
      <c r="M81" s="34">
        <f>MROUND(L81-(L81*10/100),50)</f>
        <v>2900</v>
      </c>
      <c r="N81" s="34">
        <f>MROUND(L81-(L81*20/100),50)</f>
        <v>2550</v>
      </c>
      <c r="O81" s="34">
        <f>MROUND(L81-(L81*30/100),50)</f>
        <v>2250</v>
      </c>
      <c r="P81" s="54" t="s">
        <v>10</v>
      </c>
      <c r="Q81" s="54" t="s">
        <v>241</v>
      </c>
      <c r="R81" s="71" t="s">
        <v>495</v>
      </c>
    </row>
    <row r="82" spans="1:18" ht="21.75" x14ac:dyDescent="0.2">
      <c r="A82" s="55"/>
      <c r="B82" s="54"/>
      <c r="C82" s="34" t="s">
        <v>41</v>
      </c>
      <c r="D82" s="34">
        <f>D81*50/100</f>
        <v>2000</v>
      </c>
      <c r="E82" s="34">
        <f t="shared" ref="E82:O82" si="20">MROUND(E81*50/100,50)</f>
        <v>1800</v>
      </c>
      <c r="F82" s="34">
        <f t="shared" si="20"/>
        <v>1600</v>
      </c>
      <c r="G82" s="34">
        <f t="shared" si="20"/>
        <v>1400</v>
      </c>
      <c r="H82" s="34">
        <f t="shared" si="20"/>
        <v>1800</v>
      </c>
      <c r="I82" s="34">
        <f t="shared" si="20"/>
        <v>1650</v>
      </c>
      <c r="J82" s="34">
        <f t="shared" si="20"/>
        <v>1450</v>
      </c>
      <c r="K82" s="34">
        <f t="shared" si="20"/>
        <v>1250</v>
      </c>
      <c r="L82" s="34">
        <f t="shared" si="20"/>
        <v>1600</v>
      </c>
      <c r="M82" s="34">
        <f t="shared" si="20"/>
        <v>1450</v>
      </c>
      <c r="N82" s="34">
        <f t="shared" si="20"/>
        <v>1300</v>
      </c>
      <c r="O82" s="34">
        <f t="shared" si="20"/>
        <v>1150</v>
      </c>
      <c r="P82" s="54"/>
      <c r="Q82" s="54"/>
      <c r="R82" s="72"/>
    </row>
    <row r="83" spans="1:18" s="2" customFormat="1" ht="21.75" customHeight="1" x14ac:dyDescent="0.2">
      <c r="A83" s="55" t="s">
        <v>316</v>
      </c>
      <c r="B83" s="54" t="s">
        <v>113</v>
      </c>
      <c r="C83" s="34" t="s">
        <v>40</v>
      </c>
      <c r="D83" s="34">
        <v>5000</v>
      </c>
      <c r="E83" s="34">
        <f>MROUND(D83-(D83*10/100),50)</f>
        <v>4500</v>
      </c>
      <c r="F83" s="34">
        <f>MROUND(D83-(D83*20/100),50)</f>
        <v>4000</v>
      </c>
      <c r="G83" s="34">
        <f>MROUND(D83-(D83*30/100),50)</f>
        <v>3500</v>
      </c>
      <c r="H83" s="34">
        <f>MROUND(D83-(D83*10/100),50)</f>
        <v>4500</v>
      </c>
      <c r="I83" s="34">
        <f>MROUND(H83-(H83*10/100),50)</f>
        <v>4050</v>
      </c>
      <c r="J83" s="34">
        <f>MROUND(H83-(H83*20/100),50)</f>
        <v>3600</v>
      </c>
      <c r="K83" s="34">
        <f>MROUND(H83-(H83*30/100),50)</f>
        <v>3150</v>
      </c>
      <c r="L83" s="34">
        <f>MROUND(D83-(D83*20/100),50)</f>
        <v>4000</v>
      </c>
      <c r="M83" s="34">
        <f>MROUND(L83-(L83*10/100),50)</f>
        <v>3600</v>
      </c>
      <c r="N83" s="34">
        <f>MROUND(L83-(L83*20/100),50)</f>
        <v>3200</v>
      </c>
      <c r="O83" s="34">
        <f>MROUND(L83-(L83*30/100),50)</f>
        <v>2800</v>
      </c>
      <c r="P83" s="54" t="s">
        <v>10</v>
      </c>
      <c r="Q83" s="54" t="s">
        <v>241</v>
      </c>
      <c r="R83" s="54" t="s">
        <v>481</v>
      </c>
    </row>
    <row r="84" spans="1:18" s="2" customFormat="1" ht="21.75" customHeight="1" x14ac:dyDescent="0.2">
      <c r="A84" s="55"/>
      <c r="B84" s="54"/>
      <c r="C84" s="34" t="s">
        <v>41</v>
      </c>
      <c r="D84" s="34">
        <f>D83*50/100</f>
        <v>2500</v>
      </c>
      <c r="E84" s="34">
        <f t="shared" ref="E84:O84" si="21">MROUND(E83*50/100,50)</f>
        <v>2250</v>
      </c>
      <c r="F84" s="34">
        <f t="shared" si="21"/>
        <v>2000</v>
      </c>
      <c r="G84" s="34">
        <f t="shared" si="21"/>
        <v>1750</v>
      </c>
      <c r="H84" s="34">
        <f t="shared" si="21"/>
        <v>2250</v>
      </c>
      <c r="I84" s="34">
        <f t="shared" si="21"/>
        <v>2050</v>
      </c>
      <c r="J84" s="34">
        <f t="shared" si="21"/>
        <v>1800</v>
      </c>
      <c r="K84" s="34">
        <f t="shared" si="21"/>
        <v>1600</v>
      </c>
      <c r="L84" s="34">
        <f t="shared" si="21"/>
        <v>2000</v>
      </c>
      <c r="M84" s="34">
        <f t="shared" si="21"/>
        <v>1800</v>
      </c>
      <c r="N84" s="34">
        <f t="shared" si="21"/>
        <v>1600</v>
      </c>
      <c r="O84" s="34">
        <f t="shared" si="21"/>
        <v>1400</v>
      </c>
      <c r="P84" s="54"/>
      <c r="Q84" s="54"/>
      <c r="R84" s="54"/>
    </row>
    <row r="85" spans="1:18" ht="43.5" x14ac:dyDescent="0.2">
      <c r="A85" s="22" t="s">
        <v>317</v>
      </c>
      <c r="B85" s="34" t="s">
        <v>111</v>
      </c>
      <c r="C85" s="34" t="s">
        <v>57</v>
      </c>
      <c r="D85" s="54">
        <v>5000</v>
      </c>
      <c r="E85" s="54"/>
      <c r="F85" s="54"/>
      <c r="G85" s="54"/>
      <c r="H85" s="54">
        <f>D85-(D85*20/100)</f>
        <v>4000</v>
      </c>
      <c r="I85" s="54"/>
      <c r="J85" s="54"/>
      <c r="K85" s="54"/>
      <c r="L85" s="54">
        <f>D85-(D85*40/100)</f>
        <v>3000</v>
      </c>
      <c r="M85" s="54"/>
      <c r="N85" s="54"/>
      <c r="O85" s="54"/>
      <c r="P85" s="34" t="s">
        <v>9</v>
      </c>
      <c r="Q85" s="34" t="s">
        <v>276</v>
      </c>
      <c r="R85" s="34" t="s">
        <v>495</v>
      </c>
    </row>
    <row r="86" spans="1:18" ht="21.75" customHeight="1" x14ac:dyDescent="0.2">
      <c r="A86" s="55" t="s">
        <v>318</v>
      </c>
      <c r="B86" s="54" t="s">
        <v>109</v>
      </c>
      <c r="C86" s="34" t="s">
        <v>40</v>
      </c>
      <c r="D86" s="34">
        <v>3000</v>
      </c>
      <c r="E86" s="34">
        <f>MROUND(D86-(D86*10/100),50)</f>
        <v>2700</v>
      </c>
      <c r="F86" s="34">
        <f>MROUND(D86-(D86*20/100),50)</f>
        <v>2400</v>
      </c>
      <c r="G86" s="34">
        <f>MROUND(D86-(D86*30/100),50)</f>
        <v>2100</v>
      </c>
      <c r="H86" s="34">
        <f>MROUND(D86-(D86*10/100),50)</f>
        <v>2700</v>
      </c>
      <c r="I86" s="34">
        <f>MROUND(H86-(H86*10/100),50)</f>
        <v>2450</v>
      </c>
      <c r="J86" s="34">
        <f>MROUND(H86-(H86*20/100),50)</f>
        <v>2150</v>
      </c>
      <c r="K86" s="34">
        <f>MROUND(H86-(H86*30/100),50)</f>
        <v>1900</v>
      </c>
      <c r="L86" s="34">
        <f>MROUND(D86-(D86*20/100),50)</f>
        <v>2400</v>
      </c>
      <c r="M86" s="34">
        <f>MROUND(L86-(L86*10/100),50)</f>
        <v>2150</v>
      </c>
      <c r="N86" s="34">
        <f>MROUND(L86-(L86*20/100),50)</f>
        <v>1900</v>
      </c>
      <c r="O86" s="34">
        <f>MROUND(L86-(L86*30/100),50)</f>
        <v>1700</v>
      </c>
      <c r="P86" s="54" t="s">
        <v>10</v>
      </c>
      <c r="Q86" s="54" t="s">
        <v>241</v>
      </c>
      <c r="R86" s="77" t="s">
        <v>486</v>
      </c>
    </row>
    <row r="87" spans="1:18" ht="21.75" x14ac:dyDescent="0.2">
      <c r="A87" s="55"/>
      <c r="B87" s="54"/>
      <c r="C87" s="34" t="s">
        <v>41</v>
      </c>
      <c r="D87" s="34">
        <f>D86*50/100</f>
        <v>1500</v>
      </c>
      <c r="E87" s="34">
        <f t="shared" ref="E87:O87" si="22">MROUND(E86*50/100,50)</f>
        <v>1350</v>
      </c>
      <c r="F87" s="34">
        <f t="shared" si="22"/>
        <v>1200</v>
      </c>
      <c r="G87" s="34">
        <f t="shared" si="22"/>
        <v>1050</v>
      </c>
      <c r="H87" s="34">
        <f t="shared" si="22"/>
        <v>1350</v>
      </c>
      <c r="I87" s="34">
        <f t="shared" si="22"/>
        <v>1250</v>
      </c>
      <c r="J87" s="34">
        <f t="shared" si="22"/>
        <v>1100</v>
      </c>
      <c r="K87" s="34">
        <f t="shared" si="22"/>
        <v>950</v>
      </c>
      <c r="L87" s="34">
        <f t="shared" si="22"/>
        <v>1200</v>
      </c>
      <c r="M87" s="34">
        <f t="shared" si="22"/>
        <v>1100</v>
      </c>
      <c r="N87" s="34">
        <f t="shared" si="22"/>
        <v>950</v>
      </c>
      <c r="O87" s="34">
        <f t="shared" si="22"/>
        <v>850</v>
      </c>
      <c r="P87" s="54"/>
      <c r="Q87" s="54"/>
      <c r="R87" s="72"/>
    </row>
    <row r="88" spans="1:18" ht="21.75" customHeight="1" x14ac:dyDescent="0.2">
      <c r="A88" s="55" t="s">
        <v>319</v>
      </c>
      <c r="B88" s="54" t="s">
        <v>110</v>
      </c>
      <c r="C88" s="34" t="s">
        <v>40</v>
      </c>
      <c r="D88" s="34">
        <v>2000</v>
      </c>
      <c r="E88" s="34">
        <f>MROUND(D88-(D88*10/100),50)</f>
        <v>1800</v>
      </c>
      <c r="F88" s="34">
        <f>MROUND(D88-(D88*20/100),50)</f>
        <v>1600</v>
      </c>
      <c r="G88" s="34">
        <f>MROUND(D88-(D88*30/100),50)</f>
        <v>1400</v>
      </c>
      <c r="H88" s="34">
        <f>MROUND(D88-(D88*10/100),50)</f>
        <v>1800</v>
      </c>
      <c r="I88" s="34">
        <f>MROUND(H88-(H88*10/100),50)</f>
        <v>1600</v>
      </c>
      <c r="J88" s="34">
        <f>MROUND(H88-(H88*20/100),50)</f>
        <v>1450</v>
      </c>
      <c r="K88" s="34">
        <f>MROUND(H88-(H88*30/100),50)</f>
        <v>1250</v>
      </c>
      <c r="L88" s="34">
        <f>MROUND(D88-(D88*20/100),50)</f>
        <v>1600</v>
      </c>
      <c r="M88" s="34">
        <f>MROUND(L88-(L88*10/100),50)</f>
        <v>1450</v>
      </c>
      <c r="N88" s="34">
        <f>MROUND(L88-(L88*20/100),50)</f>
        <v>1300</v>
      </c>
      <c r="O88" s="34">
        <f>MROUND(L88-(L88*30/100),50)</f>
        <v>1100</v>
      </c>
      <c r="P88" s="54" t="s">
        <v>10</v>
      </c>
      <c r="Q88" s="54" t="s">
        <v>241</v>
      </c>
      <c r="R88" s="54" t="s">
        <v>482</v>
      </c>
    </row>
    <row r="89" spans="1:18" ht="21.75" x14ac:dyDescent="0.2">
      <c r="A89" s="55"/>
      <c r="B89" s="54"/>
      <c r="C89" s="34" t="s">
        <v>41</v>
      </c>
      <c r="D89" s="34">
        <f>D88*50/100</f>
        <v>1000</v>
      </c>
      <c r="E89" s="34">
        <f t="shared" ref="E89:O89" si="23">MROUND(E88*50/100,50)</f>
        <v>900</v>
      </c>
      <c r="F89" s="34">
        <f t="shared" si="23"/>
        <v>800</v>
      </c>
      <c r="G89" s="34">
        <f t="shared" si="23"/>
        <v>700</v>
      </c>
      <c r="H89" s="34">
        <f t="shared" si="23"/>
        <v>900</v>
      </c>
      <c r="I89" s="34">
        <f t="shared" si="23"/>
        <v>800</v>
      </c>
      <c r="J89" s="34">
        <f t="shared" si="23"/>
        <v>750</v>
      </c>
      <c r="K89" s="34">
        <f t="shared" si="23"/>
        <v>650</v>
      </c>
      <c r="L89" s="34">
        <f t="shared" si="23"/>
        <v>800</v>
      </c>
      <c r="M89" s="34">
        <f t="shared" si="23"/>
        <v>750</v>
      </c>
      <c r="N89" s="34">
        <f t="shared" si="23"/>
        <v>650</v>
      </c>
      <c r="O89" s="34">
        <f t="shared" si="23"/>
        <v>550</v>
      </c>
      <c r="P89" s="54"/>
      <c r="Q89" s="54"/>
      <c r="R89" s="54"/>
    </row>
    <row r="90" spans="1:18" s="2" customFormat="1" ht="21.75" customHeight="1" x14ac:dyDescent="0.2">
      <c r="A90" s="55" t="s">
        <v>320</v>
      </c>
      <c r="B90" s="54" t="s">
        <v>114</v>
      </c>
      <c r="C90" s="34" t="s">
        <v>40</v>
      </c>
      <c r="D90" s="34">
        <v>3000</v>
      </c>
      <c r="E90" s="34">
        <f>MROUND(D90-(D90*10/100),50)</f>
        <v>2700</v>
      </c>
      <c r="F90" s="34">
        <f>MROUND(D90-(D90*20/100),50)</f>
        <v>2400</v>
      </c>
      <c r="G90" s="34">
        <f>MROUND(D90-(D90*30/100),50)</f>
        <v>2100</v>
      </c>
      <c r="H90" s="34">
        <f>MROUND(D90-(D90*10/100),50)</f>
        <v>2700</v>
      </c>
      <c r="I90" s="34">
        <f>MROUND(H90-(H90*10/100),50)</f>
        <v>2450</v>
      </c>
      <c r="J90" s="34">
        <f>MROUND(H90-(H90*20/100),50)</f>
        <v>2150</v>
      </c>
      <c r="K90" s="34">
        <f>MROUND(H90-(H90*30/100),50)</f>
        <v>1900</v>
      </c>
      <c r="L90" s="34">
        <f>MROUND(D90-(D90*20/100),50)</f>
        <v>2400</v>
      </c>
      <c r="M90" s="34">
        <f>MROUND(L90-(L90*10/100),50)</f>
        <v>2150</v>
      </c>
      <c r="N90" s="34">
        <f>MROUND(L90-(L90*20/100),50)</f>
        <v>1900</v>
      </c>
      <c r="O90" s="34">
        <f>MROUND(L90-(L90*30/100),50)</f>
        <v>1700</v>
      </c>
      <c r="P90" s="54" t="s">
        <v>10</v>
      </c>
      <c r="Q90" s="54" t="s">
        <v>241</v>
      </c>
      <c r="R90" s="54" t="s">
        <v>502</v>
      </c>
    </row>
    <row r="91" spans="1:18" s="2" customFormat="1" ht="35.25" customHeight="1" x14ac:dyDescent="0.2">
      <c r="A91" s="55"/>
      <c r="B91" s="54"/>
      <c r="C91" s="34" t="s">
        <v>41</v>
      </c>
      <c r="D91" s="34">
        <f>D90*50/100</f>
        <v>1500</v>
      </c>
      <c r="E91" s="34">
        <f t="shared" ref="E91:O91" si="24">MROUND(E90*50/100,50)</f>
        <v>1350</v>
      </c>
      <c r="F91" s="34">
        <f t="shared" si="24"/>
        <v>1200</v>
      </c>
      <c r="G91" s="34">
        <f t="shared" si="24"/>
        <v>1050</v>
      </c>
      <c r="H91" s="34">
        <f t="shared" si="24"/>
        <v>1350</v>
      </c>
      <c r="I91" s="34">
        <f t="shared" si="24"/>
        <v>1250</v>
      </c>
      <c r="J91" s="34">
        <f t="shared" si="24"/>
        <v>1100</v>
      </c>
      <c r="K91" s="34">
        <f t="shared" si="24"/>
        <v>950</v>
      </c>
      <c r="L91" s="34">
        <f t="shared" si="24"/>
        <v>1200</v>
      </c>
      <c r="M91" s="34">
        <f t="shared" si="24"/>
        <v>1100</v>
      </c>
      <c r="N91" s="34">
        <f t="shared" si="24"/>
        <v>950</v>
      </c>
      <c r="O91" s="34">
        <f t="shared" si="24"/>
        <v>850</v>
      </c>
      <c r="P91" s="54"/>
      <c r="Q91" s="54"/>
      <c r="R91" s="54"/>
    </row>
    <row r="92" spans="1:18" ht="38.25" customHeight="1" x14ac:dyDescent="0.2">
      <c r="A92" s="52" t="s">
        <v>157</v>
      </c>
      <c r="B92" s="78" t="s">
        <v>512</v>
      </c>
      <c r="C92" s="79"/>
      <c r="D92" s="79"/>
      <c r="E92" s="79"/>
      <c r="F92" s="79"/>
      <c r="G92" s="79"/>
      <c r="H92" s="79"/>
      <c r="I92" s="79"/>
      <c r="J92" s="79"/>
      <c r="K92" s="79"/>
      <c r="L92" s="79"/>
      <c r="M92" s="79"/>
      <c r="N92" s="79"/>
      <c r="O92" s="79"/>
      <c r="P92" s="79"/>
      <c r="Q92" s="79"/>
      <c r="R92" s="80"/>
    </row>
    <row r="93" spans="1:18" ht="21.75" x14ac:dyDescent="0.2">
      <c r="A93" s="35" t="s">
        <v>187</v>
      </c>
      <c r="B93" s="34" t="s">
        <v>32</v>
      </c>
      <c r="C93" s="34" t="s">
        <v>57</v>
      </c>
      <c r="D93" s="54">
        <v>15000</v>
      </c>
      <c r="E93" s="54"/>
      <c r="F93" s="54"/>
      <c r="G93" s="54"/>
      <c r="H93" s="54">
        <f t="shared" ref="H93:H100" si="25">D93-(D93*20/100)</f>
        <v>12000</v>
      </c>
      <c r="I93" s="54"/>
      <c r="J93" s="54"/>
      <c r="K93" s="54"/>
      <c r="L93" s="54">
        <f t="shared" ref="L93:L100" si="26">D93-(D93*40/100)</f>
        <v>9000</v>
      </c>
      <c r="M93" s="54"/>
      <c r="N93" s="54"/>
      <c r="O93" s="54"/>
      <c r="P93" s="34" t="s">
        <v>9</v>
      </c>
      <c r="Q93" s="34" t="s">
        <v>53</v>
      </c>
      <c r="R93" s="34" t="s">
        <v>503</v>
      </c>
    </row>
    <row r="94" spans="1:18" ht="43.5" x14ac:dyDescent="0.2">
      <c r="A94" s="22" t="s">
        <v>204</v>
      </c>
      <c r="B94" s="34" t="s">
        <v>125</v>
      </c>
      <c r="C94" s="34" t="s">
        <v>57</v>
      </c>
      <c r="D94" s="54">
        <v>5000</v>
      </c>
      <c r="E94" s="54"/>
      <c r="F94" s="54"/>
      <c r="G94" s="54"/>
      <c r="H94" s="54">
        <f t="shared" si="25"/>
        <v>4000</v>
      </c>
      <c r="I94" s="54"/>
      <c r="J94" s="54"/>
      <c r="K94" s="54"/>
      <c r="L94" s="54">
        <f t="shared" si="26"/>
        <v>3000</v>
      </c>
      <c r="M94" s="54"/>
      <c r="N94" s="54"/>
      <c r="O94" s="54"/>
      <c r="P94" s="34" t="s">
        <v>9</v>
      </c>
      <c r="Q94" s="34" t="s">
        <v>53</v>
      </c>
      <c r="R94" s="34" t="s">
        <v>503</v>
      </c>
    </row>
    <row r="95" spans="1:18" ht="43.5" x14ac:dyDescent="0.2">
      <c r="A95" s="35" t="s">
        <v>322</v>
      </c>
      <c r="B95" s="34" t="s">
        <v>126</v>
      </c>
      <c r="C95" s="34" t="s">
        <v>57</v>
      </c>
      <c r="D95" s="54">
        <v>10000</v>
      </c>
      <c r="E95" s="54">
        <f>D95-(D95*10/100)</f>
        <v>9000</v>
      </c>
      <c r="F95" s="54">
        <f>D95-(D95*20/100)</f>
        <v>8000</v>
      </c>
      <c r="G95" s="54">
        <f>D95-(D95*30/100)</f>
        <v>7000</v>
      </c>
      <c r="H95" s="54">
        <f t="shared" si="25"/>
        <v>8000</v>
      </c>
      <c r="I95" s="54"/>
      <c r="J95" s="54"/>
      <c r="K95" s="54"/>
      <c r="L95" s="54">
        <f t="shared" si="26"/>
        <v>6000</v>
      </c>
      <c r="M95" s="54"/>
      <c r="N95" s="54"/>
      <c r="O95" s="54"/>
      <c r="P95" s="34" t="s">
        <v>9</v>
      </c>
      <c r="Q95" s="34" t="s">
        <v>53</v>
      </c>
      <c r="R95" s="34" t="s">
        <v>503</v>
      </c>
    </row>
    <row r="96" spans="1:18" ht="43.5" x14ac:dyDescent="0.2">
      <c r="A96" s="35" t="s">
        <v>323</v>
      </c>
      <c r="B96" s="34" t="s">
        <v>158</v>
      </c>
      <c r="C96" s="34" t="s">
        <v>57</v>
      </c>
      <c r="D96" s="54">
        <v>10000</v>
      </c>
      <c r="E96" s="54">
        <f>D96-(D96*10/100)</f>
        <v>9000</v>
      </c>
      <c r="F96" s="54">
        <f>D96-(D96*20/100)</f>
        <v>8000</v>
      </c>
      <c r="G96" s="54">
        <f>D96-(D96*30/100)</f>
        <v>7000</v>
      </c>
      <c r="H96" s="54">
        <f t="shared" si="25"/>
        <v>8000</v>
      </c>
      <c r="I96" s="54"/>
      <c r="J96" s="54"/>
      <c r="K96" s="54"/>
      <c r="L96" s="54">
        <f t="shared" si="26"/>
        <v>6000</v>
      </c>
      <c r="M96" s="54"/>
      <c r="N96" s="54"/>
      <c r="O96" s="54"/>
      <c r="P96" s="34" t="s">
        <v>9</v>
      </c>
      <c r="Q96" s="34" t="s">
        <v>53</v>
      </c>
      <c r="R96" s="34" t="s">
        <v>503</v>
      </c>
    </row>
    <row r="97" spans="1:18" ht="43.5" x14ac:dyDescent="0.2">
      <c r="A97" s="35" t="s">
        <v>324</v>
      </c>
      <c r="B97" s="34" t="s">
        <v>159</v>
      </c>
      <c r="C97" s="34" t="s">
        <v>57</v>
      </c>
      <c r="D97" s="54">
        <v>5000</v>
      </c>
      <c r="E97" s="54">
        <f>D97-(D97*10/100)</f>
        <v>4500</v>
      </c>
      <c r="F97" s="54">
        <f>D97-(D97*20/100)</f>
        <v>4000</v>
      </c>
      <c r="G97" s="54">
        <f>D97-(D97*30/100)</f>
        <v>3500</v>
      </c>
      <c r="H97" s="54">
        <f t="shared" si="25"/>
        <v>4000</v>
      </c>
      <c r="I97" s="54"/>
      <c r="J97" s="54"/>
      <c r="K97" s="54"/>
      <c r="L97" s="54">
        <f t="shared" si="26"/>
        <v>3000</v>
      </c>
      <c r="M97" s="54"/>
      <c r="N97" s="54"/>
      <c r="O97" s="54"/>
      <c r="P97" s="34" t="s">
        <v>9</v>
      </c>
      <c r="Q97" s="34" t="s">
        <v>53</v>
      </c>
      <c r="R97" s="34" t="s">
        <v>503</v>
      </c>
    </row>
    <row r="98" spans="1:18" ht="37.5" customHeight="1" x14ac:dyDescent="0.2">
      <c r="A98" s="35" t="s">
        <v>325</v>
      </c>
      <c r="B98" s="34" t="s">
        <v>82</v>
      </c>
      <c r="C98" s="34" t="s">
        <v>57</v>
      </c>
      <c r="D98" s="54">
        <v>5000</v>
      </c>
      <c r="E98" s="54"/>
      <c r="F98" s="54"/>
      <c r="G98" s="54"/>
      <c r="H98" s="54">
        <f t="shared" si="25"/>
        <v>4000</v>
      </c>
      <c r="I98" s="54"/>
      <c r="J98" s="54"/>
      <c r="K98" s="54"/>
      <c r="L98" s="54">
        <f t="shared" si="26"/>
        <v>3000</v>
      </c>
      <c r="M98" s="54"/>
      <c r="N98" s="54"/>
      <c r="O98" s="54"/>
      <c r="P98" s="34" t="s">
        <v>9</v>
      </c>
      <c r="Q98" s="34" t="s">
        <v>53</v>
      </c>
      <c r="R98" s="34" t="s">
        <v>503</v>
      </c>
    </row>
    <row r="99" spans="1:18" ht="43.5" x14ac:dyDescent="0.2">
      <c r="A99" s="35" t="s">
        <v>326</v>
      </c>
      <c r="B99" s="34" t="s">
        <v>81</v>
      </c>
      <c r="C99" s="34" t="s">
        <v>57</v>
      </c>
      <c r="D99" s="54">
        <v>5000</v>
      </c>
      <c r="E99" s="54">
        <f>D99-(D99*10/100)</f>
        <v>4500</v>
      </c>
      <c r="F99" s="54">
        <f>D99-(D99*20/100)</f>
        <v>4000</v>
      </c>
      <c r="G99" s="54">
        <f>D99-(D99*30/100)</f>
        <v>3500</v>
      </c>
      <c r="H99" s="54">
        <f t="shared" si="25"/>
        <v>4000</v>
      </c>
      <c r="I99" s="54"/>
      <c r="J99" s="54"/>
      <c r="K99" s="54"/>
      <c r="L99" s="54">
        <f t="shared" si="26"/>
        <v>3000</v>
      </c>
      <c r="M99" s="54"/>
      <c r="N99" s="54"/>
      <c r="O99" s="54"/>
      <c r="P99" s="34" t="s">
        <v>9</v>
      </c>
      <c r="Q99" s="34" t="s">
        <v>53</v>
      </c>
      <c r="R99" s="34" t="s">
        <v>503</v>
      </c>
    </row>
    <row r="100" spans="1:18" ht="43.5" x14ac:dyDescent="0.2">
      <c r="A100" s="35" t="s">
        <v>327</v>
      </c>
      <c r="B100" s="34" t="s">
        <v>59</v>
      </c>
      <c r="C100" s="34" t="s">
        <v>57</v>
      </c>
      <c r="D100" s="54">
        <v>2000</v>
      </c>
      <c r="E100" s="54"/>
      <c r="F100" s="54"/>
      <c r="G100" s="54"/>
      <c r="H100" s="54">
        <f t="shared" si="25"/>
        <v>1600</v>
      </c>
      <c r="I100" s="54"/>
      <c r="J100" s="54"/>
      <c r="K100" s="54"/>
      <c r="L100" s="54">
        <f t="shared" si="26"/>
        <v>1200</v>
      </c>
      <c r="M100" s="54"/>
      <c r="N100" s="54"/>
      <c r="O100" s="54"/>
      <c r="P100" s="34" t="s">
        <v>9</v>
      </c>
      <c r="Q100" s="34" t="s">
        <v>277</v>
      </c>
      <c r="R100" s="34" t="s">
        <v>513</v>
      </c>
    </row>
    <row r="101" spans="1:18" ht="21.75" x14ac:dyDescent="0.2">
      <c r="A101" s="55" t="s">
        <v>328</v>
      </c>
      <c r="B101" s="54" t="s">
        <v>60</v>
      </c>
      <c r="C101" s="34" t="s">
        <v>40</v>
      </c>
      <c r="D101" s="34">
        <v>1000</v>
      </c>
      <c r="E101" s="34">
        <f>MROUND(D101-(D101*10/100),50)</f>
        <v>900</v>
      </c>
      <c r="F101" s="34">
        <f>MROUND(D101-(D101*20/100),50)</f>
        <v>800</v>
      </c>
      <c r="G101" s="34">
        <f>MROUND(D101-(D101*30/100),50)</f>
        <v>700</v>
      </c>
      <c r="H101" s="34">
        <f>MROUND(D101-(D101*10/100),50)</f>
        <v>900</v>
      </c>
      <c r="I101" s="34">
        <f>MROUND(H101-(H101*10/100),50)</f>
        <v>800</v>
      </c>
      <c r="J101" s="34">
        <f>MROUND(H101-(H101*20/100),50)</f>
        <v>700</v>
      </c>
      <c r="K101" s="34">
        <f>MROUND(H101-(H101*30/100),50)</f>
        <v>650</v>
      </c>
      <c r="L101" s="34">
        <f>MROUND(D101-(D101*20/100),50)</f>
        <v>800</v>
      </c>
      <c r="M101" s="34">
        <f>MROUND(L101-(L101*10/100),50)</f>
        <v>700</v>
      </c>
      <c r="N101" s="34">
        <f>MROUND(L101-(L101*20/100),50)</f>
        <v>650</v>
      </c>
      <c r="O101" s="34">
        <f>MROUND(L101-(L101*30/100),50)</f>
        <v>550</v>
      </c>
      <c r="P101" s="54" t="s">
        <v>10</v>
      </c>
      <c r="Q101" s="54" t="s">
        <v>278</v>
      </c>
      <c r="R101" s="71" t="s">
        <v>485</v>
      </c>
    </row>
    <row r="102" spans="1:18" ht="21.75" x14ac:dyDescent="0.2">
      <c r="A102" s="55"/>
      <c r="B102" s="54"/>
      <c r="C102" s="34" t="s">
        <v>41</v>
      </c>
      <c r="D102" s="34">
        <f>D101*50/100</f>
        <v>500</v>
      </c>
      <c r="E102" s="34">
        <f t="shared" ref="E102:O102" si="27">MROUND(E101*50/100,50)</f>
        <v>450</v>
      </c>
      <c r="F102" s="34">
        <f t="shared" si="27"/>
        <v>400</v>
      </c>
      <c r="G102" s="34">
        <f t="shared" si="27"/>
        <v>350</v>
      </c>
      <c r="H102" s="34">
        <f t="shared" si="27"/>
        <v>450</v>
      </c>
      <c r="I102" s="34">
        <f t="shared" si="27"/>
        <v>400</v>
      </c>
      <c r="J102" s="34">
        <f t="shared" si="27"/>
        <v>350</v>
      </c>
      <c r="K102" s="34">
        <f t="shared" si="27"/>
        <v>350</v>
      </c>
      <c r="L102" s="34">
        <f t="shared" si="27"/>
        <v>400</v>
      </c>
      <c r="M102" s="34">
        <f t="shared" si="27"/>
        <v>350</v>
      </c>
      <c r="N102" s="34">
        <f t="shared" si="27"/>
        <v>350</v>
      </c>
      <c r="O102" s="34">
        <f t="shared" si="27"/>
        <v>300</v>
      </c>
      <c r="P102" s="54"/>
      <c r="Q102" s="54"/>
      <c r="R102" s="72"/>
    </row>
    <row r="103" spans="1:18" ht="43.5" x14ac:dyDescent="0.2">
      <c r="A103" s="35" t="s">
        <v>329</v>
      </c>
      <c r="B103" s="34" t="s">
        <v>51</v>
      </c>
      <c r="C103" s="34" t="s">
        <v>57</v>
      </c>
      <c r="D103" s="54">
        <v>1000</v>
      </c>
      <c r="E103" s="54"/>
      <c r="F103" s="54"/>
      <c r="G103" s="54"/>
      <c r="H103" s="54">
        <f>D103-(D103*20/100)</f>
        <v>800</v>
      </c>
      <c r="I103" s="54"/>
      <c r="J103" s="54"/>
      <c r="K103" s="54"/>
      <c r="L103" s="54">
        <f>D103-(D103*40/100)</f>
        <v>600</v>
      </c>
      <c r="M103" s="54"/>
      <c r="N103" s="54"/>
      <c r="O103" s="54"/>
      <c r="P103" s="34" t="s">
        <v>9</v>
      </c>
      <c r="Q103" s="34" t="s">
        <v>53</v>
      </c>
      <c r="R103" s="34" t="s">
        <v>503</v>
      </c>
    </row>
    <row r="104" spans="1:18" ht="43.5" x14ac:dyDescent="0.2">
      <c r="A104" s="35" t="s">
        <v>330</v>
      </c>
      <c r="B104" s="34" t="s">
        <v>144</v>
      </c>
      <c r="C104" s="34" t="s">
        <v>57</v>
      </c>
      <c r="D104" s="54">
        <v>2000</v>
      </c>
      <c r="E104" s="54">
        <f>D104-(D104*10/100)</f>
        <v>1800</v>
      </c>
      <c r="F104" s="54">
        <f>D104-(D104*20/100)</f>
        <v>1600</v>
      </c>
      <c r="G104" s="54">
        <f>D104-(D104*30/100)</f>
        <v>1400</v>
      </c>
      <c r="H104" s="54">
        <f>D104-(D104*20/100)</f>
        <v>1600</v>
      </c>
      <c r="I104" s="54"/>
      <c r="J104" s="54"/>
      <c r="K104" s="54"/>
      <c r="L104" s="54">
        <f>D104-(D104*40/100)</f>
        <v>1200</v>
      </c>
      <c r="M104" s="54"/>
      <c r="N104" s="54"/>
      <c r="O104" s="54"/>
      <c r="P104" s="34" t="s">
        <v>9</v>
      </c>
      <c r="Q104" s="34" t="s">
        <v>53</v>
      </c>
      <c r="R104" s="34" t="s">
        <v>503</v>
      </c>
    </row>
    <row r="105" spans="1:18" ht="43.5" customHeight="1" x14ac:dyDescent="0.2">
      <c r="A105" s="35" t="s">
        <v>331</v>
      </c>
      <c r="B105" s="34" t="s">
        <v>145</v>
      </c>
      <c r="C105" s="34" t="s">
        <v>57</v>
      </c>
      <c r="D105" s="54">
        <v>2000</v>
      </c>
      <c r="E105" s="54">
        <f>D105-(D105*10/100)</f>
        <v>1800</v>
      </c>
      <c r="F105" s="54">
        <f>D105-(D105*20/100)</f>
        <v>1600</v>
      </c>
      <c r="G105" s="54">
        <f>D105-(D105*30/100)</f>
        <v>1400</v>
      </c>
      <c r="H105" s="54">
        <f>D105-(D105*20/100)</f>
        <v>1600</v>
      </c>
      <c r="I105" s="54"/>
      <c r="J105" s="54"/>
      <c r="K105" s="54"/>
      <c r="L105" s="54">
        <f>D105-(D105*40/100)</f>
        <v>1200</v>
      </c>
      <c r="M105" s="54"/>
      <c r="N105" s="54"/>
      <c r="O105" s="54"/>
      <c r="P105" s="34" t="s">
        <v>9</v>
      </c>
      <c r="Q105" s="34" t="s">
        <v>53</v>
      </c>
      <c r="R105" s="34" t="s">
        <v>503</v>
      </c>
    </row>
    <row r="106" spans="1:18" ht="21.75" x14ac:dyDescent="0.2">
      <c r="A106" s="55" t="s">
        <v>332</v>
      </c>
      <c r="B106" s="54" t="s">
        <v>160</v>
      </c>
      <c r="C106" s="34" t="s">
        <v>40</v>
      </c>
      <c r="D106" s="34">
        <v>2000</v>
      </c>
      <c r="E106" s="34">
        <f>MROUND(D106-(D106*10/100),50)</f>
        <v>1800</v>
      </c>
      <c r="F106" s="34">
        <f>MROUND(D106-(D106*20/100),50)</f>
        <v>1600</v>
      </c>
      <c r="G106" s="34">
        <f>MROUND(D106-(D106*30/100),50)</f>
        <v>1400</v>
      </c>
      <c r="H106" s="34">
        <f>MROUND(D106-(D106*10/100),50)</f>
        <v>1800</v>
      </c>
      <c r="I106" s="34">
        <f>MROUND(H106-(H106*10/100),50)</f>
        <v>1600</v>
      </c>
      <c r="J106" s="34">
        <f>MROUND(H106-(H106*20/100),50)</f>
        <v>1450</v>
      </c>
      <c r="K106" s="34">
        <f>MROUND(H106-(H106*30/100),50)</f>
        <v>1250</v>
      </c>
      <c r="L106" s="34">
        <f>MROUND(D106-(D106*20/100),50)</f>
        <v>1600</v>
      </c>
      <c r="M106" s="34">
        <f>MROUND(L106-(L106*10/100),50)</f>
        <v>1450</v>
      </c>
      <c r="N106" s="34">
        <f>MROUND(L106-(L106*20/100),50)</f>
        <v>1300</v>
      </c>
      <c r="O106" s="34">
        <f>MROUND(L106-(L106*30/100),50)</f>
        <v>1100</v>
      </c>
      <c r="P106" s="54" t="s">
        <v>10</v>
      </c>
      <c r="Q106" s="54" t="s">
        <v>53</v>
      </c>
      <c r="R106" s="71" t="s">
        <v>503</v>
      </c>
    </row>
    <row r="107" spans="1:18" ht="21.75" x14ac:dyDescent="0.2">
      <c r="A107" s="55"/>
      <c r="B107" s="54"/>
      <c r="C107" s="34" t="s">
        <v>41</v>
      </c>
      <c r="D107" s="34">
        <f>D106*50/100</f>
        <v>1000</v>
      </c>
      <c r="E107" s="34">
        <f t="shared" ref="E107:O107" si="28">MROUND(E106*50/100,50)</f>
        <v>900</v>
      </c>
      <c r="F107" s="34">
        <f t="shared" si="28"/>
        <v>800</v>
      </c>
      <c r="G107" s="34">
        <f t="shared" si="28"/>
        <v>700</v>
      </c>
      <c r="H107" s="34">
        <f t="shared" si="28"/>
        <v>900</v>
      </c>
      <c r="I107" s="34">
        <f t="shared" si="28"/>
        <v>800</v>
      </c>
      <c r="J107" s="34">
        <f t="shared" si="28"/>
        <v>750</v>
      </c>
      <c r="K107" s="34">
        <f t="shared" si="28"/>
        <v>650</v>
      </c>
      <c r="L107" s="34">
        <f t="shared" si="28"/>
        <v>800</v>
      </c>
      <c r="M107" s="34">
        <f t="shared" si="28"/>
        <v>750</v>
      </c>
      <c r="N107" s="34">
        <f t="shared" si="28"/>
        <v>650</v>
      </c>
      <c r="O107" s="34">
        <f t="shared" si="28"/>
        <v>550</v>
      </c>
      <c r="P107" s="54"/>
      <c r="Q107" s="54"/>
      <c r="R107" s="72"/>
    </row>
    <row r="108" spans="1:18" ht="43.5" x14ac:dyDescent="0.2">
      <c r="A108" s="35" t="s">
        <v>333</v>
      </c>
      <c r="B108" s="34" t="s">
        <v>56</v>
      </c>
      <c r="C108" s="34" t="s">
        <v>57</v>
      </c>
      <c r="D108" s="54">
        <v>3000</v>
      </c>
      <c r="E108" s="54">
        <f>D108-(D108*10/100)</f>
        <v>2700</v>
      </c>
      <c r="F108" s="54">
        <f>D108-(D108*20/100)</f>
        <v>2400</v>
      </c>
      <c r="G108" s="54">
        <f>D108-(D108*30/100)</f>
        <v>2100</v>
      </c>
      <c r="H108" s="54">
        <f>D108-(D108*20/100)</f>
        <v>2400</v>
      </c>
      <c r="I108" s="54"/>
      <c r="J108" s="54"/>
      <c r="K108" s="54"/>
      <c r="L108" s="54">
        <f>D108-(D108*40/100)</f>
        <v>1800</v>
      </c>
      <c r="M108" s="54"/>
      <c r="N108" s="54"/>
      <c r="O108" s="54"/>
      <c r="P108" s="34" t="s">
        <v>9</v>
      </c>
      <c r="Q108" s="34" t="s">
        <v>53</v>
      </c>
      <c r="R108" s="34" t="s">
        <v>503</v>
      </c>
    </row>
    <row r="109" spans="1:18" ht="33" customHeight="1" x14ac:dyDescent="0.2">
      <c r="A109" s="55" t="s">
        <v>334</v>
      </c>
      <c r="B109" s="54" t="s">
        <v>115</v>
      </c>
      <c r="C109" s="34" t="s">
        <v>40</v>
      </c>
      <c r="D109" s="34">
        <v>2000</v>
      </c>
      <c r="E109" s="34">
        <f>MROUND(D109-(D109*10/100),50)</f>
        <v>1800</v>
      </c>
      <c r="F109" s="34">
        <f>MROUND(D109-(D109*20/100),50)</f>
        <v>1600</v>
      </c>
      <c r="G109" s="34">
        <f>MROUND(D109-(D109*30/100),50)</f>
        <v>1400</v>
      </c>
      <c r="H109" s="34">
        <f>MROUND(D109-(D109*10/100),50)</f>
        <v>1800</v>
      </c>
      <c r="I109" s="34">
        <f>MROUND(H109-(H109*10/100),50)</f>
        <v>1600</v>
      </c>
      <c r="J109" s="34">
        <f>MROUND(H109-(H109*20/100),50)</f>
        <v>1450</v>
      </c>
      <c r="K109" s="34">
        <f>MROUND(H109-(H109*30/100),50)</f>
        <v>1250</v>
      </c>
      <c r="L109" s="34">
        <f>MROUND(D109-(D109*20/100),50)</f>
        <v>1600</v>
      </c>
      <c r="M109" s="34">
        <f>MROUND(L109-(L109*10/100),50)</f>
        <v>1450</v>
      </c>
      <c r="N109" s="34">
        <f>MROUND(L109-(L109*20/100),50)</f>
        <v>1300</v>
      </c>
      <c r="O109" s="34">
        <f>MROUND(L109-(L109*30/100),50)</f>
        <v>1100</v>
      </c>
      <c r="P109" s="54" t="s">
        <v>10</v>
      </c>
      <c r="Q109" s="54" t="s">
        <v>241</v>
      </c>
      <c r="R109" s="71" t="s">
        <v>485</v>
      </c>
    </row>
    <row r="110" spans="1:18" s="2" customFormat="1" ht="36" customHeight="1" x14ac:dyDescent="0.2">
      <c r="A110" s="55"/>
      <c r="B110" s="54"/>
      <c r="C110" s="34" t="s">
        <v>41</v>
      </c>
      <c r="D110" s="34">
        <f>D109*50/100</f>
        <v>1000</v>
      </c>
      <c r="E110" s="34">
        <f t="shared" ref="E110:O110" si="29">MROUND(E109*50/100,50)</f>
        <v>900</v>
      </c>
      <c r="F110" s="34">
        <f t="shared" si="29"/>
        <v>800</v>
      </c>
      <c r="G110" s="34">
        <f t="shared" si="29"/>
        <v>700</v>
      </c>
      <c r="H110" s="34">
        <f t="shared" si="29"/>
        <v>900</v>
      </c>
      <c r="I110" s="34">
        <f t="shared" si="29"/>
        <v>800</v>
      </c>
      <c r="J110" s="34">
        <f t="shared" si="29"/>
        <v>750</v>
      </c>
      <c r="K110" s="34">
        <f t="shared" si="29"/>
        <v>650</v>
      </c>
      <c r="L110" s="34">
        <f t="shared" si="29"/>
        <v>800</v>
      </c>
      <c r="M110" s="34">
        <f t="shared" si="29"/>
        <v>750</v>
      </c>
      <c r="N110" s="34">
        <f t="shared" si="29"/>
        <v>650</v>
      </c>
      <c r="O110" s="34">
        <f t="shared" si="29"/>
        <v>550</v>
      </c>
      <c r="P110" s="54"/>
      <c r="Q110" s="54"/>
      <c r="R110" s="72"/>
    </row>
    <row r="111" spans="1:18" ht="37.5" customHeight="1" x14ac:dyDescent="0.2">
      <c r="A111" s="55" t="s">
        <v>335</v>
      </c>
      <c r="B111" s="54" t="s">
        <v>119</v>
      </c>
      <c r="C111" s="34" t="s">
        <v>40</v>
      </c>
      <c r="D111" s="34">
        <v>2000</v>
      </c>
      <c r="E111" s="34">
        <f>MROUND(D111-(D111*10/100),50)</f>
        <v>1800</v>
      </c>
      <c r="F111" s="34">
        <f>MROUND(D111-(D111*20/100),50)</f>
        <v>1600</v>
      </c>
      <c r="G111" s="34">
        <f>MROUND(D111-(D111*30/100),50)</f>
        <v>1400</v>
      </c>
      <c r="H111" s="34">
        <f>MROUND(D111-(D111*10/100),50)</f>
        <v>1800</v>
      </c>
      <c r="I111" s="34">
        <f>MROUND(H111-(H111*10/100),50)</f>
        <v>1600</v>
      </c>
      <c r="J111" s="34">
        <f>MROUND(H111-(H111*20/100),50)</f>
        <v>1450</v>
      </c>
      <c r="K111" s="34">
        <f>MROUND(H111-(H111*30/100),50)</f>
        <v>1250</v>
      </c>
      <c r="L111" s="34">
        <f>MROUND(D111-(D111*20/100),50)</f>
        <v>1600</v>
      </c>
      <c r="M111" s="34">
        <f>MROUND(L111-(L111*10/100),50)</f>
        <v>1450</v>
      </c>
      <c r="N111" s="34">
        <f>MROUND(L111-(L111*20/100),50)</f>
        <v>1300</v>
      </c>
      <c r="O111" s="34">
        <f>MROUND(L111-(L111*30/100),50)</f>
        <v>1100</v>
      </c>
      <c r="P111" s="54" t="s">
        <v>10</v>
      </c>
      <c r="Q111" s="54" t="s">
        <v>241</v>
      </c>
      <c r="R111" s="71" t="s">
        <v>485</v>
      </c>
    </row>
    <row r="112" spans="1:18" ht="35.25" customHeight="1" x14ac:dyDescent="0.2">
      <c r="A112" s="55"/>
      <c r="B112" s="54"/>
      <c r="C112" s="34" t="s">
        <v>41</v>
      </c>
      <c r="D112" s="34">
        <f>D111*50/100</f>
        <v>1000</v>
      </c>
      <c r="E112" s="34">
        <f t="shared" ref="E112:O112" si="30">MROUND(E111*50/100,50)</f>
        <v>900</v>
      </c>
      <c r="F112" s="34">
        <f t="shared" si="30"/>
        <v>800</v>
      </c>
      <c r="G112" s="34">
        <f t="shared" si="30"/>
        <v>700</v>
      </c>
      <c r="H112" s="34">
        <f t="shared" si="30"/>
        <v>900</v>
      </c>
      <c r="I112" s="34">
        <f t="shared" si="30"/>
        <v>800</v>
      </c>
      <c r="J112" s="34">
        <f t="shared" si="30"/>
        <v>750</v>
      </c>
      <c r="K112" s="34">
        <f t="shared" si="30"/>
        <v>650</v>
      </c>
      <c r="L112" s="34">
        <f t="shared" si="30"/>
        <v>800</v>
      </c>
      <c r="M112" s="34">
        <f t="shared" si="30"/>
        <v>750</v>
      </c>
      <c r="N112" s="34">
        <f t="shared" si="30"/>
        <v>650</v>
      </c>
      <c r="O112" s="34">
        <f t="shared" si="30"/>
        <v>550</v>
      </c>
      <c r="P112" s="54"/>
      <c r="Q112" s="54"/>
      <c r="R112" s="72"/>
    </row>
    <row r="113" spans="1:18" ht="21.75" customHeight="1" x14ac:dyDescent="0.2">
      <c r="A113" s="55" t="s">
        <v>336</v>
      </c>
      <c r="B113" s="54" t="s">
        <v>117</v>
      </c>
      <c r="C113" s="34" t="s">
        <v>40</v>
      </c>
      <c r="D113" s="34">
        <v>2000</v>
      </c>
      <c r="E113" s="34">
        <f>MROUND(D113-(D113*10/100),50)</f>
        <v>1800</v>
      </c>
      <c r="F113" s="34">
        <f>MROUND(D113-(D113*20/100),50)</f>
        <v>1600</v>
      </c>
      <c r="G113" s="34">
        <f>MROUND(D113-(D113*30/100),50)</f>
        <v>1400</v>
      </c>
      <c r="H113" s="34">
        <f>MROUND(D113-(D113*10/100),50)</f>
        <v>1800</v>
      </c>
      <c r="I113" s="34">
        <f>MROUND(H113-(H113*10/100),50)</f>
        <v>1600</v>
      </c>
      <c r="J113" s="34">
        <f>MROUND(H113-(H113*20/100),50)</f>
        <v>1450</v>
      </c>
      <c r="K113" s="34">
        <f>MROUND(H113-(H113*30/100),50)</f>
        <v>1250</v>
      </c>
      <c r="L113" s="34">
        <f>MROUND(D113-(D113*20/100),50)</f>
        <v>1600</v>
      </c>
      <c r="M113" s="34">
        <f>MROUND(L113-(L113*10/100),50)</f>
        <v>1450</v>
      </c>
      <c r="N113" s="34">
        <f>MROUND(L113-(L113*20/100),50)</f>
        <v>1300</v>
      </c>
      <c r="O113" s="34">
        <f>MROUND(L113-(L113*30/100),50)</f>
        <v>1100</v>
      </c>
      <c r="P113" s="54" t="s">
        <v>10</v>
      </c>
      <c r="Q113" s="54" t="s">
        <v>241</v>
      </c>
      <c r="R113" s="54" t="s">
        <v>503</v>
      </c>
    </row>
    <row r="114" spans="1:18" ht="21.75" x14ac:dyDescent="0.2">
      <c r="A114" s="55"/>
      <c r="B114" s="54"/>
      <c r="C114" s="34" t="s">
        <v>41</v>
      </c>
      <c r="D114" s="34">
        <f>D113*50/100</f>
        <v>1000</v>
      </c>
      <c r="E114" s="34">
        <f t="shared" ref="E114:O114" si="31">MROUND(E113*50/100,50)</f>
        <v>900</v>
      </c>
      <c r="F114" s="34">
        <f t="shared" si="31"/>
        <v>800</v>
      </c>
      <c r="G114" s="34">
        <f t="shared" si="31"/>
        <v>700</v>
      </c>
      <c r="H114" s="34">
        <f t="shared" si="31"/>
        <v>900</v>
      </c>
      <c r="I114" s="34">
        <f t="shared" si="31"/>
        <v>800</v>
      </c>
      <c r="J114" s="34">
        <f t="shared" si="31"/>
        <v>750</v>
      </c>
      <c r="K114" s="34">
        <f t="shared" si="31"/>
        <v>650</v>
      </c>
      <c r="L114" s="34">
        <f t="shared" si="31"/>
        <v>800</v>
      </c>
      <c r="M114" s="34">
        <f t="shared" si="31"/>
        <v>750</v>
      </c>
      <c r="N114" s="34">
        <f t="shared" si="31"/>
        <v>650</v>
      </c>
      <c r="O114" s="34">
        <f t="shared" si="31"/>
        <v>550</v>
      </c>
      <c r="P114" s="54"/>
      <c r="Q114" s="54"/>
      <c r="R114" s="54"/>
    </row>
    <row r="115" spans="1:18" ht="18" customHeight="1" x14ac:dyDescent="0.2">
      <c r="A115" s="55" t="s">
        <v>337</v>
      </c>
      <c r="B115" s="54" t="s">
        <v>132</v>
      </c>
      <c r="C115" s="34" t="s">
        <v>40</v>
      </c>
      <c r="D115" s="34">
        <v>2000</v>
      </c>
      <c r="E115" s="34">
        <f>MROUND(D115-(D115*10/100),50)</f>
        <v>1800</v>
      </c>
      <c r="F115" s="34">
        <f>MROUND(D115-(D115*20/100),50)</f>
        <v>1600</v>
      </c>
      <c r="G115" s="34">
        <f>MROUND(D115-(D115*30/100),50)</f>
        <v>1400</v>
      </c>
      <c r="H115" s="34">
        <f>MROUND(D115-(D115*10/100),50)</f>
        <v>1800</v>
      </c>
      <c r="I115" s="34">
        <f>MROUND(H115-(H115*10/100),50)</f>
        <v>1600</v>
      </c>
      <c r="J115" s="34">
        <f>MROUND(H115-(H115*20/100),50)</f>
        <v>1450</v>
      </c>
      <c r="K115" s="34">
        <f>MROUND(H115-(H115*30/100),50)</f>
        <v>1250</v>
      </c>
      <c r="L115" s="34">
        <f>MROUND(D115-(D115*20/100),50)</f>
        <v>1600</v>
      </c>
      <c r="M115" s="34">
        <f>MROUND(L115-(L115*10/100),50)</f>
        <v>1450</v>
      </c>
      <c r="N115" s="34">
        <f>MROUND(L115-(L115*20/100),50)</f>
        <v>1300</v>
      </c>
      <c r="O115" s="34">
        <f>MROUND(L115-(L115*30/100),50)</f>
        <v>1100</v>
      </c>
      <c r="P115" s="54" t="s">
        <v>10</v>
      </c>
      <c r="Q115" s="54" t="s">
        <v>241</v>
      </c>
      <c r="R115" s="54" t="s">
        <v>503</v>
      </c>
    </row>
    <row r="116" spans="1:18" ht="18" customHeight="1" x14ac:dyDescent="0.2">
      <c r="A116" s="55"/>
      <c r="B116" s="54"/>
      <c r="C116" s="34" t="s">
        <v>41</v>
      </c>
      <c r="D116" s="34">
        <f>D115*50/100</f>
        <v>1000</v>
      </c>
      <c r="E116" s="34">
        <f t="shared" ref="E116:O116" si="32">MROUND(E115*50/100,50)</f>
        <v>900</v>
      </c>
      <c r="F116" s="34">
        <f t="shared" si="32"/>
        <v>800</v>
      </c>
      <c r="G116" s="34">
        <f t="shared" si="32"/>
        <v>700</v>
      </c>
      <c r="H116" s="34">
        <f t="shared" si="32"/>
        <v>900</v>
      </c>
      <c r="I116" s="34">
        <f t="shared" si="32"/>
        <v>800</v>
      </c>
      <c r="J116" s="34">
        <f t="shared" si="32"/>
        <v>750</v>
      </c>
      <c r="K116" s="34">
        <f t="shared" si="32"/>
        <v>650</v>
      </c>
      <c r="L116" s="34">
        <f t="shared" si="32"/>
        <v>800</v>
      </c>
      <c r="M116" s="34">
        <f t="shared" si="32"/>
        <v>750</v>
      </c>
      <c r="N116" s="34">
        <f t="shared" si="32"/>
        <v>650</v>
      </c>
      <c r="O116" s="34">
        <f t="shared" si="32"/>
        <v>550</v>
      </c>
      <c r="P116" s="54"/>
      <c r="Q116" s="54"/>
      <c r="R116" s="54"/>
    </row>
    <row r="117" spans="1:18" ht="45" customHeight="1" x14ac:dyDescent="0.2">
      <c r="A117" s="74" t="s">
        <v>86</v>
      </c>
      <c r="B117" s="75"/>
      <c r="C117" s="75"/>
      <c r="D117" s="75"/>
      <c r="E117" s="75"/>
      <c r="F117" s="75"/>
      <c r="G117" s="75"/>
      <c r="H117" s="75"/>
      <c r="I117" s="75"/>
      <c r="J117" s="75"/>
      <c r="K117" s="75"/>
      <c r="L117" s="75"/>
      <c r="M117" s="75"/>
      <c r="N117" s="75"/>
      <c r="O117" s="75"/>
      <c r="P117" s="75"/>
      <c r="Q117" s="75"/>
      <c r="R117" s="76"/>
    </row>
    <row r="118" spans="1:18" ht="65.25" x14ac:dyDescent="0.2">
      <c r="A118" s="35" t="s">
        <v>189</v>
      </c>
      <c r="B118" s="34" t="s">
        <v>161</v>
      </c>
      <c r="C118" s="34" t="s">
        <v>57</v>
      </c>
      <c r="D118" s="54">
        <v>100000</v>
      </c>
      <c r="E118" s="54"/>
      <c r="F118" s="54"/>
      <c r="G118" s="54"/>
      <c r="H118" s="54">
        <f t="shared" ref="H118:H123" si="33">D118-(D118*20/100)</f>
        <v>80000</v>
      </c>
      <c r="I118" s="54"/>
      <c r="J118" s="54"/>
      <c r="K118" s="54"/>
      <c r="L118" s="54">
        <f t="shared" ref="L118:L123" si="34">D118-(D118*40/100)</f>
        <v>60000</v>
      </c>
      <c r="M118" s="54"/>
      <c r="N118" s="54"/>
      <c r="O118" s="54"/>
      <c r="P118" s="34" t="s">
        <v>9</v>
      </c>
      <c r="Q118" s="34" t="s">
        <v>53</v>
      </c>
      <c r="R118" s="34" t="s">
        <v>527</v>
      </c>
    </row>
    <row r="119" spans="1:18" ht="43.5" x14ac:dyDescent="0.2">
      <c r="A119" s="114" t="s">
        <v>338</v>
      </c>
      <c r="B119" s="45" t="s">
        <v>127</v>
      </c>
      <c r="C119" s="45" t="s">
        <v>57</v>
      </c>
      <c r="D119" s="65">
        <v>100000</v>
      </c>
      <c r="E119" s="65"/>
      <c r="F119" s="65"/>
      <c r="G119" s="65"/>
      <c r="H119" s="65">
        <f t="shared" si="33"/>
        <v>80000</v>
      </c>
      <c r="I119" s="65"/>
      <c r="J119" s="65"/>
      <c r="K119" s="65"/>
      <c r="L119" s="65">
        <f t="shared" si="34"/>
        <v>60000</v>
      </c>
      <c r="M119" s="65"/>
      <c r="N119" s="65"/>
      <c r="O119" s="65"/>
      <c r="P119" s="45" t="s">
        <v>9</v>
      </c>
      <c r="Q119" s="45" t="s">
        <v>53</v>
      </c>
      <c r="R119" s="34" t="s">
        <v>528</v>
      </c>
    </row>
    <row r="120" spans="1:18" s="2" customFormat="1" ht="43.5" x14ac:dyDescent="0.2">
      <c r="A120" s="35" t="s">
        <v>339</v>
      </c>
      <c r="B120" s="34" t="s">
        <v>29</v>
      </c>
      <c r="C120" s="34" t="s">
        <v>57</v>
      </c>
      <c r="D120" s="54">
        <v>10000</v>
      </c>
      <c r="E120" s="54">
        <f>D120-(D120*10/100)</f>
        <v>9000</v>
      </c>
      <c r="F120" s="54">
        <f>D120-(D120*20/100)</f>
        <v>8000</v>
      </c>
      <c r="G120" s="54">
        <f>D120-(D120*30/100)</f>
        <v>7000</v>
      </c>
      <c r="H120" s="54">
        <f t="shared" si="33"/>
        <v>8000</v>
      </c>
      <c r="I120" s="54"/>
      <c r="J120" s="54"/>
      <c r="K120" s="54"/>
      <c r="L120" s="54">
        <f t="shared" si="34"/>
        <v>6000</v>
      </c>
      <c r="M120" s="54"/>
      <c r="N120" s="54"/>
      <c r="O120" s="54"/>
      <c r="P120" s="34" t="s">
        <v>9</v>
      </c>
      <c r="Q120" s="34" t="s">
        <v>53</v>
      </c>
      <c r="R120" s="34" t="s">
        <v>528</v>
      </c>
    </row>
    <row r="121" spans="1:18" ht="44.25" customHeight="1" x14ac:dyDescent="0.2">
      <c r="A121" s="35" t="s">
        <v>340</v>
      </c>
      <c r="B121" s="34" t="s">
        <v>63</v>
      </c>
      <c r="C121" s="34" t="s">
        <v>57</v>
      </c>
      <c r="D121" s="54">
        <v>30000</v>
      </c>
      <c r="E121" s="54">
        <f>D121-(D121*10/100)</f>
        <v>27000</v>
      </c>
      <c r="F121" s="54">
        <f>D121-(D121*20/100)</f>
        <v>24000</v>
      </c>
      <c r="G121" s="54">
        <f>D121-(D121*30/100)</f>
        <v>21000</v>
      </c>
      <c r="H121" s="54">
        <f t="shared" si="33"/>
        <v>24000</v>
      </c>
      <c r="I121" s="54"/>
      <c r="J121" s="54"/>
      <c r="K121" s="54"/>
      <c r="L121" s="54">
        <f t="shared" si="34"/>
        <v>18000</v>
      </c>
      <c r="M121" s="54"/>
      <c r="N121" s="54"/>
      <c r="O121" s="54"/>
      <c r="P121" s="34" t="s">
        <v>9</v>
      </c>
      <c r="Q121" s="34" t="s">
        <v>53</v>
      </c>
      <c r="R121" s="34" t="s">
        <v>483</v>
      </c>
    </row>
    <row r="122" spans="1:18" ht="51.75" customHeight="1" x14ac:dyDescent="0.2">
      <c r="A122" s="35" t="s">
        <v>341</v>
      </c>
      <c r="B122" s="34" t="s">
        <v>168</v>
      </c>
      <c r="C122" s="34" t="s">
        <v>57</v>
      </c>
      <c r="D122" s="54">
        <v>20000</v>
      </c>
      <c r="E122" s="54">
        <f>D122-(D122*10/100)</f>
        <v>18000</v>
      </c>
      <c r="F122" s="54">
        <f>D122-(D122*20/100)</f>
        <v>16000</v>
      </c>
      <c r="G122" s="54">
        <f>D122-(D122*30/100)</f>
        <v>14000</v>
      </c>
      <c r="H122" s="54">
        <f t="shared" si="33"/>
        <v>16000</v>
      </c>
      <c r="I122" s="54"/>
      <c r="J122" s="54"/>
      <c r="K122" s="54"/>
      <c r="L122" s="54">
        <f t="shared" si="34"/>
        <v>12000</v>
      </c>
      <c r="M122" s="54"/>
      <c r="N122" s="54"/>
      <c r="O122" s="54"/>
      <c r="P122" s="34" t="s">
        <v>9</v>
      </c>
      <c r="Q122" s="34" t="s">
        <v>53</v>
      </c>
      <c r="R122" s="34" t="s">
        <v>483</v>
      </c>
    </row>
    <row r="123" spans="1:18" ht="53.25" customHeight="1" x14ac:dyDescent="0.2">
      <c r="A123" s="35" t="s">
        <v>342</v>
      </c>
      <c r="B123" s="34" t="s">
        <v>130</v>
      </c>
      <c r="C123" s="34" t="s">
        <v>57</v>
      </c>
      <c r="D123" s="54">
        <v>15000</v>
      </c>
      <c r="E123" s="54"/>
      <c r="F123" s="54"/>
      <c r="G123" s="54"/>
      <c r="H123" s="54">
        <f t="shared" si="33"/>
        <v>12000</v>
      </c>
      <c r="I123" s="54"/>
      <c r="J123" s="54"/>
      <c r="K123" s="54"/>
      <c r="L123" s="54">
        <f t="shared" si="34"/>
        <v>9000</v>
      </c>
      <c r="M123" s="54"/>
      <c r="N123" s="54"/>
      <c r="O123" s="54"/>
      <c r="P123" s="34" t="s">
        <v>9</v>
      </c>
      <c r="Q123" s="34" t="s">
        <v>53</v>
      </c>
      <c r="R123" s="34" t="s">
        <v>484</v>
      </c>
    </row>
    <row r="124" spans="1:18" ht="43.5" x14ac:dyDescent="0.2">
      <c r="A124" s="35" t="s">
        <v>343</v>
      </c>
      <c r="B124" s="34" t="s">
        <v>136</v>
      </c>
      <c r="C124" s="34" t="s">
        <v>57</v>
      </c>
      <c r="D124" s="54">
        <v>50000</v>
      </c>
      <c r="E124" s="54">
        <f>D124-(D124*10/100)</f>
        <v>45000</v>
      </c>
      <c r="F124" s="54">
        <f>D124-(D124*20/100)</f>
        <v>40000</v>
      </c>
      <c r="G124" s="54">
        <f>D124-(D124*30/100)</f>
        <v>35000</v>
      </c>
      <c r="H124" s="54">
        <f>D124-(D124*20/100)</f>
        <v>40000</v>
      </c>
      <c r="I124" s="54"/>
      <c r="J124" s="54"/>
      <c r="K124" s="54"/>
      <c r="L124" s="54">
        <f>D124-(D124*40/100)</f>
        <v>30000</v>
      </c>
      <c r="M124" s="54"/>
      <c r="N124" s="54"/>
      <c r="O124" s="54"/>
      <c r="P124" s="34" t="s">
        <v>9</v>
      </c>
      <c r="Q124" s="34" t="s">
        <v>53</v>
      </c>
      <c r="R124" s="34" t="s">
        <v>514</v>
      </c>
    </row>
    <row r="125" spans="1:18" ht="32.25" customHeight="1" x14ac:dyDescent="0.2">
      <c r="A125" s="35" t="s">
        <v>344</v>
      </c>
      <c r="B125" s="34" t="s">
        <v>272</v>
      </c>
      <c r="C125" s="34" t="s">
        <v>57</v>
      </c>
      <c r="D125" s="54">
        <v>5000</v>
      </c>
      <c r="E125" s="54">
        <f>D125-(D125*10/100)</f>
        <v>4500</v>
      </c>
      <c r="F125" s="54">
        <f>D125-(D125*20/100)</f>
        <v>4000</v>
      </c>
      <c r="G125" s="54">
        <f>D125-(D125*30/100)</f>
        <v>3500</v>
      </c>
      <c r="H125" s="54">
        <f>D125-(D125*20/100)</f>
        <v>4000</v>
      </c>
      <c r="I125" s="54"/>
      <c r="J125" s="54"/>
      <c r="K125" s="54"/>
      <c r="L125" s="54">
        <f>D125-(D125*40/100)</f>
        <v>3000</v>
      </c>
      <c r="M125" s="54"/>
      <c r="N125" s="54"/>
      <c r="O125" s="54"/>
      <c r="P125" s="34" t="s">
        <v>9</v>
      </c>
      <c r="Q125" s="34" t="s">
        <v>53</v>
      </c>
      <c r="R125" s="34" t="s">
        <v>515</v>
      </c>
    </row>
  </sheetData>
  <autoFilter ref="A2:R125" xr:uid="{00000000-0009-0000-0000-000000000000}">
    <filterColumn colId="3" showButton="0"/>
    <filterColumn colId="4" showButton="0"/>
    <filterColumn colId="5" showButton="0"/>
    <filterColumn colId="7" showButton="0"/>
    <filterColumn colId="8" showButton="0"/>
    <filterColumn colId="9" showButton="0"/>
    <filterColumn colId="11" showButton="0"/>
    <filterColumn colId="12" showButton="0"/>
    <filterColumn colId="13" showButton="0"/>
  </autoFilter>
  <mergeCells count="339">
    <mergeCell ref="R106:R107"/>
    <mergeCell ref="R109:R110"/>
    <mergeCell ref="R86:R87"/>
    <mergeCell ref="R79:R80"/>
    <mergeCell ref="R74:R75"/>
    <mergeCell ref="R52:R53"/>
    <mergeCell ref="R59:R60"/>
    <mergeCell ref="R68:R69"/>
    <mergeCell ref="B92:R92"/>
    <mergeCell ref="R101:R102"/>
    <mergeCell ref="P90:P91"/>
    <mergeCell ref="P83:P84"/>
    <mergeCell ref="P68:P69"/>
    <mergeCell ref="P59:P60"/>
    <mergeCell ref="D67:G67"/>
    <mergeCell ref="Q54:Q55"/>
    <mergeCell ref="P81:P82"/>
    <mergeCell ref="Q106:Q107"/>
    <mergeCell ref="P113:P114"/>
    <mergeCell ref="Q111:Q112"/>
    <mergeCell ref="Q109:Q110"/>
    <mergeCell ref="Q113:Q114"/>
    <mergeCell ref="Q101:Q102"/>
    <mergeCell ref="A1:R1"/>
    <mergeCell ref="A4:R4"/>
    <mergeCell ref="A16:R16"/>
    <mergeCell ref="A32:R32"/>
    <mergeCell ref="R88:R89"/>
    <mergeCell ref="R90:R91"/>
    <mergeCell ref="R111:R112"/>
    <mergeCell ref="R113:R114"/>
    <mergeCell ref="R115:R116"/>
    <mergeCell ref="R43:R44"/>
    <mergeCell ref="R54:R55"/>
    <mergeCell ref="R76:R77"/>
    <mergeCell ref="R81:R82"/>
    <mergeCell ref="R83:R84"/>
    <mergeCell ref="R2:R3"/>
    <mergeCell ref="R7:R8"/>
    <mergeCell ref="R12:R13"/>
    <mergeCell ref="R14:R15"/>
    <mergeCell ref="R17:R18"/>
    <mergeCell ref="R20:R21"/>
    <mergeCell ref="R22:R23"/>
    <mergeCell ref="R28:R29"/>
    <mergeCell ref="R30:R31"/>
    <mergeCell ref="A17:A18"/>
    <mergeCell ref="A30:A31"/>
    <mergeCell ref="A22:A23"/>
    <mergeCell ref="B28:B29"/>
    <mergeCell ref="B17:B18"/>
    <mergeCell ref="B43:B44"/>
    <mergeCell ref="A20:A21"/>
    <mergeCell ref="A59:A60"/>
    <mergeCell ref="H64:K64"/>
    <mergeCell ref="D78:G78"/>
    <mergeCell ref="H78:K78"/>
    <mergeCell ref="D46:G46"/>
    <mergeCell ref="H46:K46"/>
    <mergeCell ref="D51:G51"/>
    <mergeCell ref="H51:K51"/>
    <mergeCell ref="D56:G56"/>
    <mergeCell ref="H56:K56"/>
    <mergeCell ref="D58:G58"/>
    <mergeCell ref="H58:K58"/>
    <mergeCell ref="A52:A53"/>
    <mergeCell ref="B52:B53"/>
    <mergeCell ref="A74:A75"/>
    <mergeCell ref="A68:A69"/>
    <mergeCell ref="D19:G19"/>
    <mergeCell ref="B74:B75"/>
    <mergeCell ref="A101:A102"/>
    <mergeCell ref="D97:G97"/>
    <mergeCell ref="H97:K97"/>
    <mergeCell ref="L97:O97"/>
    <mergeCell ref="B101:B102"/>
    <mergeCell ref="A90:A91"/>
    <mergeCell ref="A79:A80"/>
    <mergeCell ref="B79:B80"/>
    <mergeCell ref="L93:O93"/>
    <mergeCell ref="D94:G94"/>
    <mergeCell ref="H94:K94"/>
    <mergeCell ref="B83:B84"/>
    <mergeCell ref="B88:B89"/>
    <mergeCell ref="A88:A89"/>
    <mergeCell ref="B90:B91"/>
    <mergeCell ref="A83:A84"/>
    <mergeCell ref="A106:A107"/>
    <mergeCell ref="D71:G71"/>
    <mergeCell ref="H49:K49"/>
    <mergeCell ref="L58:O58"/>
    <mergeCell ref="B86:B87"/>
    <mergeCell ref="D104:G104"/>
    <mergeCell ref="D93:G93"/>
    <mergeCell ref="H93:K93"/>
    <mergeCell ref="L100:O100"/>
    <mergeCell ref="D103:G103"/>
    <mergeCell ref="H103:K103"/>
    <mergeCell ref="D98:G98"/>
    <mergeCell ref="A86:A87"/>
    <mergeCell ref="L67:O67"/>
    <mergeCell ref="H71:K71"/>
    <mergeCell ref="D65:G65"/>
    <mergeCell ref="H65:K65"/>
    <mergeCell ref="L65:O65"/>
    <mergeCell ref="D72:G72"/>
    <mergeCell ref="B106:B107"/>
    <mergeCell ref="D63:G63"/>
    <mergeCell ref="H63:K63"/>
    <mergeCell ref="D73:G73"/>
    <mergeCell ref="D66:G66"/>
    <mergeCell ref="D85:G85"/>
    <mergeCell ref="H104:K104"/>
    <mergeCell ref="L104:O104"/>
    <mergeCell ref="H119:K119"/>
    <mergeCell ref="L119:O119"/>
    <mergeCell ref="L118:O118"/>
    <mergeCell ref="D118:G118"/>
    <mergeCell ref="H118:K118"/>
    <mergeCell ref="D105:G105"/>
    <mergeCell ref="L103:O103"/>
    <mergeCell ref="D119:G119"/>
    <mergeCell ref="H105:K105"/>
    <mergeCell ref="L105:O105"/>
    <mergeCell ref="H108:K108"/>
    <mergeCell ref="L108:O108"/>
    <mergeCell ref="A117:R117"/>
    <mergeCell ref="P43:P44"/>
    <mergeCell ref="H57:K57"/>
    <mergeCell ref="L50:O50"/>
    <mergeCell ref="H45:K45"/>
    <mergeCell ref="H36:K36"/>
    <mergeCell ref="H40:K40"/>
    <mergeCell ref="H38:K38"/>
    <mergeCell ref="H121:K121"/>
    <mergeCell ref="L121:O121"/>
    <mergeCell ref="H85:K85"/>
    <mergeCell ref="L85:O85"/>
    <mergeCell ref="D62:G62"/>
    <mergeCell ref="H62:K62"/>
    <mergeCell ref="L62:O62"/>
    <mergeCell ref="L45:O45"/>
    <mergeCell ref="D49:G49"/>
    <mergeCell ref="P54:P55"/>
    <mergeCell ref="L47:O47"/>
    <mergeCell ref="D48:G48"/>
    <mergeCell ref="H48:K48"/>
    <mergeCell ref="L48:O48"/>
    <mergeCell ref="P52:P53"/>
    <mergeCell ref="L57:O57"/>
    <mergeCell ref="Q90:Q91"/>
    <mergeCell ref="H72:K72"/>
    <mergeCell ref="L72:O72"/>
    <mergeCell ref="L66:O66"/>
    <mergeCell ref="H67:K67"/>
    <mergeCell ref="L63:O63"/>
    <mergeCell ref="P101:P102"/>
    <mergeCell ref="P86:P87"/>
    <mergeCell ref="P111:P112"/>
    <mergeCell ref="P109:P110"/>
    <mergeCell ref="H73:K73"/>
    <mergeCell ref="L64:O64"/>
    <mergeCell ref="P106:P107"/>
    <mergeCell ref="L78:O78"/>
    <mergeCell ref="A14:A15"/>
    <mergeCell ref="B14:B15"/>
    <mergeCell ref="D26:G26"/>
    <mergeCell ref="L24:O24"/>
    <mergeCell ref="L35:O35"/>
    <mergeCell ref="L37:O37"/>
    <mergeCell ref="D24:G24"/>
    <mergeCell ref="D45:G45"/>
    <mergeCell ref="A76:A77"/>
    <mergeCell ref="B76:B77"/>
    <mergeCell ref="H24:K24"/>
    <mergeCell ref="D37:G37"/>
    <mergeCell ref="H37:K37"/>
    <mergeCell ref="D50:G50"/>
    <mergeCell ref="A43:A44"/>
    <mergeCell ref="D47:G47"/>
    <mergeCell ref="H47:K47"/>
    <mergeCell ref="B20:B21"/>
    <mergeCell ref="B54:B55"/>
    <mergeCell ref="B59:B60"/>
    <mergeCell ref="L36:O36"/>
    <mergeCell ref="L33:O33"/>
    <mergeCell ref="B22:B23"/>
    <mergeCell ref="D36:G36"/>
    <mergeCell ref="L25:O25"/>
    <mergeCell ref="L40:O40"/>
    <mergeCell ref="D41:G41"/>
    <mergeCell ref="H41:K41"/>
    <mergeCell ref="B68:B69"/>
    <mergeCell ref="H66:K66"/>
    <mergeCell ref="H39:K39"/>
    <mergeCell ref="L39:O39"/>
    <mergeCell ref="D38:G38"/>
    <mergeCell ref="L38:O38"/>
    <mergeCell ref="D40:G40"/>
    <mergeCell ref="L61:O61"/>
    <mergeCell ref="D61:G61"/>
    <mergeCell ref="H61:K61"/>
    <mergeCell ref="H25:K25"/>
    <mergeCell ref="D39:G39"/>
    <mergeCell ref="B30:B31"/>
    <mergeCell ref="L46:O46"/>
    <mergeCell ref="L51:O51"/>
    <mergeCell ref="L56:O56"/>
    <mergeCell ref="D57:G57"/>
    <mergeCell ref="L41:O41"/>
    <mergeCell ref="D42:G42"/>
    <mergeCell ref="H42:K42"/>
    <mergeCell ref="A28:A29"/>
    <mergeCell ref="Q68:Q69"/>
    <mergeCell ref="Q86:Q87"/>
    <mergeCell ref="Q74:Q75"/>
    <mergeCell ref="Q76:Q77"/>
    <mergeCell ref="Q79:Q80"/>
    <mergeCell ref="P79:P80"/>
    <mergeCell ref="Q59:Q60"/>
    <mergeCell ref="Q81:Q82"/>
    <mergeCell ref="Q52:Q53"/>
    <mergeCell ref="Q83:Q84"/>
    <mergeCell ref="P74:P75"/>
    <mergeCell ref="P76:P77"/>
    <mergeCell ref="A54:A55"/>
    <mergeCell ref="L49:O49"/>
    <mergeCell ref="D64:G64"/>
    <mergeCell ref="Q43:Q44"/>
    <mergeCell ref="D35:G35"/>
    <mergeCell ref="B81:B82"/>
    <mergeCell ref="A81:A82"/>
    <mergeCell ref="H50:K50"/>
    <mergeCell ref="H35:K35"/>
    <mergeCell ref="P30:P31"/>
    <mergeCell ref="L42:O42"/>
    <mergeCell ref="Q14:Q15"/>
    <mergeCell ref="H26:K26"/>
    <mergeCell ref="L26:O26"/>
    <mergeCell ref="D27:G27"/>
    <mergeCell ref="H27:K27"/>
    <mergeCell ref="L27:O27"/>
    <mergeCell ref="D34:G34"/>
    <mergeCell ref="H34:K34"/>
    <mergeCell ref="L34:O34"/>
    <mergeCell ref="D33:G33"/>
    <mergeCell ref="H33:K33"/>
    <mergeCell ref="D25:G25"/>
    <mergeCell ref="Q28:Q29"/>
    <mergeCell ref="Q30:Q31"/>
    <mergeCell ref="Q17:Q18"/>
    <mergeCell ref="Q20:Q21"/>
    <mergeCell ref="Q22:Q23"/>
    <mergeCell ref="H19:K19"/>
    <mergeCell ref="L19:O19"/>
    <mergeCell ref="P28:P29"/>
    <mergeCell ref="P22:P23"/>
    <mergeCell ref="P20:P21"/>
    <mergeCell ref="P14:P15"/>
    <mergeCell ref="P17:P18"/>
    <mergeCell ref="Q7:Q8"/>
    <mergeCell ref="Q12:Q13"/>
    <mergeCell ref="A7:A8"/>
    <mergeCell ref="A12:A13"/>
    <mergeCell ref="B12:B13"/>
    <mergeCell ref="B7:B8"/>
    <mergeCell ref="P7:P8"/>
    <mergeCell ref="L11:O11"/>
    <mergeCell ref="P12:P13"/>
    <mergeCell ref="L9:O9"/>
    <mergeCell ref="D11:G11"/>
    <mergeCell ref="H11:K11"/>
    <mergeCell ref="D10:G10"/>
    <mergeCell ref="H10:K10"/>
    <mergeCell ref="L10:O10"/>
    <mergeCell ref="D9:G9"/>
    <mergeCell ref="H9:K9"/>
    <mergeCell ref="Q2:Q3"/>
    <mergeCell ref="P2:P3"/>
    <mergeCell ref="D5:G5"/>
    <mergeCell ref="H5:K5"/>
    <mergeCell ref="L5:O5"/>
    <mergeCell ref="D6:G6"/>
    <mergeCell ref="H6:K6"/>
    <mergeCell ref="L6:O6"/>
    <mergeCell ref="A2:A3"/>
    <mergeCell ref="D2:G2"/>
    <mergeCell ref="H2:K2"/>
    <mergeCell ref="L2:O2"/>
    <mergeCell ref="B2:B3"/>
    <mergeCell ref="C2:C3"/>
    <mergeCell ref="A115:A116"/>
    <mergeCell ref="B115:B116"/>
    <mergeCell ref="P115:P116"/>
    <mergeCell ref="Q115:Q116"/>
    <mergeCell ref="B109:B110"/>
    <mergeCell ref="A109:A110"/>
    <mergeCell ref="A111:A112"/>
    <mergeCell ref="B111:B112"/>
    <mergeCell ref="Q88:Q89"/>
    <mergeCell ref="P88:P89"/>
    <mergeCell ref="B113:B114"/>
    <mergeCell ref="A113:A114"/>
    <mergeCell ref="L94:O94"/>
    <mergeCell ref="D95:G95"/>
    <mergeCell ref="H95:K95"/>
    <mergeCell ref="L95:O95"/>
    <mergeCell ref="D96:G96"/>
    <mergeCell ref="H96:K96"/>
    <mergeCell ref="L96:O96"/>
    <mergeCell ref="H98:K98"/>
    <mergeCell ref="L98:O98"/>
    <mergeCell ref="D99:G99"/>
    <mergeCell ref="H99:K99"/>
    <mergeCell ref="D108:G108"/>
    <mergeCell ref="D125:G125"/>
    <mergeCell ref="H125:K125"/>
    <mergeCell ref="L125:O125"/>
    <mergeCell ref="D70:G70"/>
    <mergeCell ref="H70:K70"/>
    <mergeCell ref="L70:O70"/>
    <mergeCell ref="D123:G123"/>
    <mergeCell ref="H123:K123"/>
    <mergeCell ref="L123:O123"/>
    <mergeCell ref="L99:O99"/>
    <mergeCell ref="D124:G124"/>
    <mergeCell ref="H124:K124"/>
    <mergeCell ref="L120:O120"/>
    <mergeCell ref="L71:O71"/>
    <mergeCell ref="L73:O73"/>
    <mergeCell ref="L124:O124"/>
    <mergeCell ref="D122:G122"/>
    <mergeCell ref="H122:K122"/>
    <mergeCell ref="L122:O122"/>
    <mergeCell ref="D100:G100"/>
    <mergeCell ref="H100:K100"/>
    <mergeCell ref="D120:G120"/>
    <mergeCell ref="H120:K120"/>
    <mergeCell ref="D121:G121"/>
  </mergeCells>
  <pageMargins left="0.7" right="0.7" top="0.75" bottom="0.75" header="0.3" footer="0.3"/>
  <pageSetup scale="56" fitToHeight="0" orientation="landscape" horizontalDpi="90" verticalDpi="90" r:id="rId1"/>
  <ignoredErrors>
    <ignoredError sqref="A5" twoDigitTextYea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R109"/>
  <sheetViews>
    <sheetView rightToLeft="1" topLeftCell="A55" zoomScale="80" zoomScaleNormal="80" workbookViewId="0">
      <selection activeCell="B42" sqref="B42"/>
    </sheetView>
  </sheetViews>
  <sheetFormatPr defaultColWidth="9.125" defaultRowHeight="14.25" x14ac:dyDescent="0.2"/>
  <cols>
    <col min="1" max="1" width="8.875" style="3" customWidth="1"/>
    <col min="2" max="2" width="71.75" style="3" customWidth="1"/>
    <col min="3" max="3" width="10.625" style="3" customWidth="1"/>
    <col min="4" max="4" width="5.75" style="3" customWidth="1"/>
    <col min="5" max="5" width="6.75" style="3" bestFit="1" customWidth="1"/>
    <col min="6" max="6" width="6.625" style="3" bestFit="1" customWidth="1"/>
    <col min="7" max="7" width="6.125" style="3" bestFit="1" customWidth="1"/>
    <col min="8" max="8" width="6.875" style="3" customWidth="1"/>
    <col min="9" max="9" width="6.75" style="3" bestFit="1" customWidth="1"/>
    <col min="10" max="10" width="6.625" style="3" bestFit="1" customWidth="1"/>
    <col min="11" max="11" width="6.125" style="3" bestFit="1" customWidth="1"/>
    <col min="12" max="12" width="8.625" style="3" customWidth="1"/>
    <col min="13" max="13" width="6.75" style="3" bestFit="1" customWidth="1"/>
    <col min="14" max="14" width="6.625" style="3" bestFit="1" customWidth="1"/>
    <col min="15" max="15" width="6.125" style="3" bestFit="1" customWidth="1"/>
    <col min="16" max="16" width="9.75" style="3" bestFit="1" customWidth="1"/>
    <col min="17" max="17" width="23" style="3" bestFit="1" customWidth="1"/>
    <col min="18" max="18" width="35.625" style="13" customWidth="1"/>
    <col min="19" max="16384" width="9.125" style="3"/>
  </cols>
  <sheetData>
    <row r="1" spans="1:18" ht="24" customHeight="1" x14ac:dyDescent="0.2">
      <c r="A1" s="68" t="s">
        <v>142</v>
      </c>
      <c r="B1" s="68"/>
      <c r="C1" s="68"/>
      <c r="D1" s="68"/>
      <c r="E1" s="68"/>
      <c r="F1" s="68"/>
      <c r="G1" s="68"/>
      <c r="H1" s="68"/>
      <c r="I1" s="68"/>
      <c r="J1" s="68"/>
      <c r="K1" s="68"/>
      <c r="L1" s="68"/>
      <c r="M1" s="68"/>
      <c r="N1" s="68"/>
      <c r="O1" s="68"/>
      <c r="P1" s="68"/>
      <c r="Q1" s="68"/>
      <c r="R1" s="68"/>
    </row>
    <row r="2" spans="1:18" ht="41.25" customHeight="1" x14ac:dyDescent="0.2">
      <c r="A2" s="56" t="s">
        <v>4</v>
      </c>
      <c r="B2" s="56" t="s">
        <v>3</v>
      </c>
      <c r="C2" s="56" t="s">
        <v>141</v>
      </c>
      <c r="D2" s="56" t="s">
        <v>2</v>
      </c>
      <c r="E2" s="56"/>
      <c r="F2" s="56"/>
      <c r="G2" s="56"/>
      <c r="H2" s="56" t="s">
        <v>1</v>
      </c>
      <c r="I2" s="56"/>
      <c r="J2" s="56"/>
      <c r="K2" s="56"/>
      <c r="L2" s="56" t="s">
        <v>0</v>
      </c>
      <c r="M2" s="56"/>
      <c r="N2" s="56"/>
      <c r="O2" s="56"/>
      <c r="P2" s="56" t="s">
        <v>11</v>
      </c>
      <c r="Q2" s="56" t="s">
        <v>52</v>
      </c>
      <c r="R2" s="56" t="s">
        <v>477</v>
      </c>
    </row>
    <row r="3" spans="1:18" ht="46.5" x14ac:dyDescent="0.2">
      <c r="A3" s="56"/>
      <c r="B3" s="56"/>
      <c r="C3" s="56"/>
      <c r="D3" s="25" t="s">
        <v>8</v>
      </c>
      <c r="E3" s="25" t="s">
        <v>7</v>
      </c>
      <c r="F3" s="25" t="s">
        <v>6</v>
      </c>
      <c r="G3" s="25" t="s">
        <v>5</v>
      </c>
      <c r="H3" s="25" t="s">
        <v>8</v>
      </c>
      <c r="I3" s="25" t="s">
        <v>7</v>
      </c>
      <c r="J3" s="25" t="s">
        <v>6</v>
      </c>
      <c r="K3" s="25" t="s">
        <v>5</v>
      </c>
      <c r="L3" s="25" t="s">
        <v>8</v>
      </c>
      <c r="M3" s="25" t="s">
        <v>7</v>
      </c>
      <c r="N3" s="25" t="s">
        <v>6</v>
      </c>
      <c r="O3" s="25" t="s">
        <v>5</v>
      </c>
      <c r="P3" s="56"/>
      <c r="Q3" s="56"/>
      <c r="R3" s="56"/>
    </row>
    <row r="4" spans="1:18" ht="24" customHeight="1" x14ac:dyDescent="0.2">
      <c r="A4" s="69" t="s">
        <v>134</v>
      </c>
      <c r="B4" s="69"/>
      <c r="C4" s="69"/>
      <c r="D4" s="69"/>
      <c r="E4" s="69"/>
      <c r="F4" s="69"/>
      <c r="G4" s="69"/>
      <c r="H4" s="69"/>
      <c r="I4" s="69"/>
      <c r="J4" s="69"/>
      <c r="K4" s="69"/>
      <c r="L4" s="69"/>
      <c r="M4" s="69"/>
      <c r="N4" s="69"/>
      <c r="O4" s="69"/>
      <c r="P4" s="69"/>
      <c r="Q4" s="69"/>
      <c r="R4" s="69"/>
    </row>
    <row r="5" spans="1:18" ht="32.25" customHeight="1" x14ac:dyDescent="0.2">
      <c r="A5" s="35" t="s">
        <v>174</v>
      </c>
      <c r="B5" s="34" t="s">
        <v>99</v>
      </c>
      <c r="C5" s="34" t="s">
        <v>48</v>
      </c>
      <c r="D5" s="54">
        <v>24000</v>
      </c>
      <c r="E5" s="54"/>
      <c r="F5" s="54"/>
      <c r="G5" s="54"/>
      <c r="H5" s="54">
        <f>D5-(D5*20/100)</f>
        <v>19200</v>
      </c>
      <c r="I5" s="54"/>
      <c r="J5" s="54"/>
      <c r="K5" s="54"/>
      <c r="L5" s="54">
        <f>D5-(D5*40/100)</f>
        <v>14400</v>
      </c>
      <c r="M5" s="54"/>
      <c r="N5" s="54"/>
      <c r="O5" s="54"/>
      <c r="P5" s="34" t="s">
        <v>9</v>
      </c>
      <c r="Q5" s="34" t="s">
        <v>53</v>
      </c>
      <c r="R5" s="34" t="s">
        <v>478</v>
      </c>
    </row>
    <row r="6" spans="1:18" ht="33" customHeight="1" x14ac:dyDescent="0.2">
      <c r="A6" s="35" t="s">
        <v>191</v>
      </c>
      <c r="B6" s="34" t="s">
        <v>90</v>
      </c>
      <c r="C6" s="34" t="s">
        <v>48</v>
      </c>
      <c r="D6" s="54">
        <v>3000</v>
      </c>
      <c r="E6" s="54"/>
      <c r="F6" s="54"/>
      <c r="G6" s="54"/>
      <c r="H6" s="54">
        <f>D6-(D6*20/100)</f>
        <v>2400</v>
      </c>
      <c r="I6" s="54"/>
      <c r="J6" s="54"/>
      <c r="K6" s="54"/>
      <c r="L6" s="54">
        <f>D6-(D6*40/100)</f>
        <v>1800</v>
      </c>
      <c r="M6" s="54"/>
      <c r="N6" s="54"/>
      <c r="O6" s="54"/>
      <c r="P6" s="34" t="s">
        <v>9</v>
      </c>
      <c r="Q6" s="34" t="s">
        <v>53</v>
      </c>
      <c r="R6" s="34" t="s">
        <v>478</v>
      </c>
    </row>
    <row r="7" spans="1:18" s="1" customFormat="1" ht="24.75" customHeight="1" x14ac:dyDescent="0.2">
      <c r="A7" s="35" t="s">
        <v>207</v>
      </c>
      <c r="B7" s="34" t="s">
        <v>97</v>
      </c>
      <c r="C7" s="34" t="s">
        <v>57</v>
      </c>
      <c r="D7" s="54">
        <v>7000</v>
      </c>
      <c r="E7" s="54"/>
      <c r="F7" s="54"/>
      <c r="G7" s="54"/>
      <c r="H7" s="54">
        <f>D7-(D7*20/100)</f>
        <v>5600</v>
      </c>
      <c r="I7" s="54"/>
      <c r="J7" s="54"/>
      <c r="K7" s="54"/>
      <c r="L7" s="54">
        <f>D7-(D7*40/100)</f>
        <v>4200</v>
      </c>
      <c r="M7" s="54"/>
      <c r="N7" s="54"/>
      <c r="O7" s="54"/>
      <c r="P7" s="34" t="s">
        <v>9</v>
      </c>
      <c r="Q7" s="34" t="s">
        <v>53</v>
      </c>
      <c r="R7" s="34" t="s">
        <v>478</v>
      </c>
    </row>
    <row r="8" spans="1:18" ht="30" customHeight="1" x14ac:dyDescent="0.2">
      <c r="A8" s="55" t="s">
        <v>221</v>
      </c>
      <c r="B8" s="54" t="s">
        <v>91</v>
      </c>
      <c r="C8" s="34" t="s">
        <v>40</v>
      </c>
      <c r="D8" s="34">
        <v>5000</v>
      </c>
      <c r="E8" s="34">
        <f>MROUND(D8-(D8*10/100),50)</f>
        <v>4500</v>
      </c>
      <c r="F8" s="34">
        <f>MROUND(D8-(D8*20/100),50)</f>
        <v>4000</v>
      </c>
      <c r="G8" s="34">
        <f>MROUND(D8-(D8*30/100),50)</f>
        <v>3500</v>
      </c>
      <c r="H8" s="34">
        <f>MROUND(D8-(D8*10/100),50)</f>
        <v>4500</v>
      </c>
      <c r="I8" s="34">
        <f>MROUND(H8-(H8*10/100),50)</f>
        <v>4050</v>
      </c>
      <c r="J8" s="34">
        <f>MROUND(H8-(H8*20/100),50)</f>
        <v>3600</v>
      </c>
      <c r="K8" s="34">
        <f>MROUND(H8-(H8*30/100),50)</f>
        <v>3150</v>
      </c>
      <c r="L8" s="34">
        <f>MROUND(D8-(D8*20/100),50)</f>
        <v>4000</v>
      </c>
      <c r="M8" s="34">
        <f>MROUND(L8-(L8*10/100),50)</f>
        <v>3600</v>
      </c>
      <c r="N8" s="34">
        <f>MROUND(L8-(L8*20/100),50)</f>
        <v>3200</v>
      </c>
      <c r="O8" s="34">
        <f>MROUND(L8-(L8*30/100),50)</f>
        <v>2800</v>
      </c>
      <c r="P8" s="54" t="s">
        <v>10</v>
      </c>
      <c r="Q8" s="54" t="s">
        <v>53</v>
      </c>
      <c r="R8" s="54" t="s">
        <v>478</v>
      </c>
    </row>
    <row r="9" spans="1:18" ht="21.75" x14ac:dyDescent="0.2">
      <c r="A9" s="55"/>
      <c r="B9" s="54"/>
      <c r="C9" s="34" t="s">
        <v>41</v>
      </c>
      <c r="D9" s="34">
        <f>D8*50/100</f>
        <v>2500</v>
      </c>
      <c r="E9" s="34">
        <f t="shared" ref="E9:O9" si="0">MROUND(E8*50/100,50)</f>
        <v>2250</v>
      </c>
      <c r="F9" s="34">
        <f t="shared" si="0"/>
        <v>2000</v>
      </c>
      <c r="G9" s="34">
        <f t="shared" si="0"/>
        <v>1750</v>
      </c>
      <c r="H9" s="34">
        <f t="shared" si="0"/>
        <v>2250</v>
      </c>
      <c r="I9" s="34">
        <f t="shared" si="0"/>
        <v>2050</v>
      </c>
      <c r="J9" s="34">
        <f t="shared" si="0"/>
        <v>1800</v>
      </c>
      <c r="K9" s="34">
        <f t="shared" si="0"/>
        <v>1600</v>
      </c>
      <c r="L9" s="34">
        <f t="shared" si="0"/>
        <v>2000</v>
      </c>
      <c r="M9" s="34">
        <f t="shared" si="0"/>
        <v>1800</v>
      </c>
      <c r="N9" s="34">
        <f t="shared" si="0"/>
        <v>1600</v>
      </c>
      <c r="O9" s="34">
        <f t="shared" si="0"/>
        <v>1400</v>
      </c>
      <c r="P9" s="54"/>
      <c r="Q9" s="54"/>
      <c r="R9" s="54"/>
    </row>
    <row r="10" spans="1:18" s="1" customFormat="1" ht="31.5" customHeight="1" x14ac:dyDescent="0.2">
      <c r="A10" s="35" t="s">
        <v>239</v>
      </c>
      <c r="B10" s="34" t="s">
        <v>92</v>
      </c>
      <c r="C10" s="34" t="s">
        <v>57</v>
      </c>
      <c r="D10" s="54">
        <v>2000</v>
      </c>
      <c r="E10" s="54"/>
      <c r="F10" s="54"/>
      <c r="G10" s="54"/>
      <c r="H10" s="54">
        <f>D10-(D10*20/100)</f>
        <v>1600</v>
      </c>
      <c r="I10" s="54"/>
      <c r="J10" s="54"/>
      <c r="K10" s="54"/>
      <c r="L10" s="54">
        <f>D10-(D10*40/100)</f>
        <v>1200</v>
      </c>
      <c r="M10" s="54"/>
      <c r="N10" s="54"/>
      <c r="O10" s="54"/>
      <c r="P10" s="34" t="s">
        <v>9</v>
      </c>
      <c r="Q10" s="34" t="s">
        <v>53</v>
      </c>
      <c r="R10" s="34" t="s">
        <v>478</v>
      </c>
    </row>
    <row r="11" spans="1:18" s="1" customFormat="1" ht="43.5" x14ac:dyDescent="0.2">
      <c r="A11" s="35" t="s">
        <v>346</v>
      </c>
      <c r="B11" s="34" t="s">
        <v>103</v>
      </c>
      <c r="C11" s="34" t="s">
        <v>57</v>
      </c>
      <c r="D11" s="54">
        <v>5000</v>
      </c>
      <c r="E11" s="54"/>
      <c r="F11" s="54"/>
      <c r="G11" s="54"/>
      <c r="H11" s="54">
        <f>D11-(D11*20/100)</f>
        <v>4000</v>
      </c>
      <c r="I11" s="54"/>
      <c r="J11" s="54"/>
      <c r="K11" s="54"/>
      <c r="L11" s="54">
        <f>D11-(D11*40/100)</f>
        <v>3000</v>
      </c>
      <c r="M11" s="54"/>
      <c r="N11" s="54"/>
      <c r="O11" s="54"/>
      <c r="P11" s="34" t="s">
        <v>9</v>
      </c>
      <c r="Q11" s="34" t="s">
        <v>242</v>
      </c>
      <c r="R11" s="34" t="s">
        <v>479</v>
      </c>
    </row>
    <row r="12" spans="1:18" s="1" customFormat="1" ht="43.5" x14ac:dyDescent="0.2">
      <c r="A12" s="35" t="s">
        <v>345</v>
      </c>
      <c r="B12" s="34" t="s">
        <v>104</v>
      </c>
      <c r="C12" s="34" t="s">
        <v>57</v>
      </c>
      <c r="D12" s="54">
        <v>1000</v>
      </c>
      <c r="E12" s="54"/>
      <c r="F12" s="54"/>
      <c r="G12" s="54"/>
      <c r="H12" s="54">
        <f>D12-(D12*20/100)</f>
        <v>800</v>
      </c>
      <c r="I12" s="54"/>
      <c r="J12" s="54"/>
      <c r="K12" s="54"/>
      <c r="L12" s="54">
        <f>D12-(D12*40/100)</f>
        <v>600</v>
      </c>
      <c r="M12" s="54"/>
      <c r="N12" s="54"/>
      <c r="O12" s="54"/>
      <c r="P12" s="34" t="s">
        <v>9</v>
      </c>
      <c r="Q12" s="34" t="s">
        <v>243</v>
      </c>
      <c r="R12" s="34" t="s">
        <v>479</v>
      </c>
    </row>
    <row r="13" spans="1:18" s="1" customFormat="1" ht="18" customHeight="1" x14ac:dyDescent="0.2">
      <c r="A13" s="110" t="s">
        <v>347</v>
      </c>
      <c r="B13" s="54" t="s">
        <v>105</v>
      </c>
      <c r="C13" s="34" t="s">
        <v>45</v>
      </c>
      <c r="D13" s="34">
        <v>2000</v>
      </c>
      <c r="E13" s="34">
        <f>MROUND(D13-(D13*10/100),50)</f>
        <v>1800</v>
      </c>
      <c r="F13" s="34">
        <f>MROUND(D13-(D13*20/100),50)</f>
        <v>1600</v>
      </c>
      <c r="G13" s="34">
        <f>MROUND(D13-(D13*30/100),50)</f>
        <v>1400</v>
      </c>
      <c r="H13" s="34">
        <f>MROUND(D13-(D13*10/100),50)</f>
        <v>1800</v>
      </c>
      <c r="I13" s="34">
        <f>MROUND(H13-(H13*10/100),50)</f>
        <v>1600</v>
      </c>
      <c r="J13" s="34">
        <f>MROUND(H13-(H13*20/100),50)</f>
        <v>1450</v>
      </c>
      <c r="K13" s="34">
        <f>MROUND(H13-(H13*30/100),50)</f>
        <v>1250</v>
      </c>
      <c r="L13" s="34">
        <f>MROUND(D13-(D13*20/100),50)</f>
        <v>1600</v>
      </c>
      <c r="M13" s="34">
        <f>MROUND(L13-(L13*10/100),50)</f>
        <v>1450</v>
      </c>
      <c r="N13" s="34">
        <f>MROUND(L13-(L13*20/100),50)</f>
        <v>1300</v>
      </c>
      <c r="O13" s="34">
        <f>MROUND(L13-(L13*30/100),50)</f>
        <v>1100</v>
      </c>
      <c r="P13" s="54" t="s">
        <v>10</v>
      </c>
      <c r="Q13" s="54" t="s">
        <v>53</v>
      </c>
      <c r="R13" s="73" t="s">
        <v>487</v>
      </c>
    </row>
    <row r="14" spans="1:18" s="1" customFormat="1" ht="18" customHeight="1" x14ac:dyDescent="0.2">
      <c r="A14" s="111"/>
      <c r="B14" s="54"/>
      <c r="C14" s="34" t="s">
        <v>41</v>
      </c>
      <c r="D14" s="34">
        <f>D13*50/100</f>
        <v>1000</v>
      </c>
      <c r="E14" s="34">
        <f t="shared" ref="E14:O14" si="1">MROUND(E13*50/100,50)</f>
        <v>900</v>
      </c>
      <c r="F14" s="34">
        <f t="shared" si="1"/>
        <v>800</v>
      </c>
      <c r="G14" s="34">
        <f t="shared" si="1"/>
        <v>700</v>
      </c>
      <c r="H14" s="34">
        <f t="shared" si="1"/>
        <v>900</v>
      </c>
      <c r="I14" s="34">
        <f t="shared" si="1"/>
        <v>800</v>
      </c>
      <c r="J14" s="34">
        <f t="shared" si="1"/>
        <v>750</v>
      </c>
      <c r="K14" s="34">
        <f t="shared" si="1"/>
        <v>650</v>
      </c>
      <c r="L14" s="34">
        <f t="shared" si="1"/>
        <v>800</v>
      </c>
      <c r="M14" s="34">
        <f t="shared" si="1"/>
        <v>750</v>
      </c>
      <c r="N14" s="34">
        <f t="shared" si="1"/>
        <v>650</v>
      </c>
      <c r="O14" s="34">
        <f t="shared" si="1"/>
        <v>550</v>
      </c>
      <c r="P14" s="54"/>
      <c r="Q14" s="54"/>
      <c r="R14" s="73"/>
    </row>
    <row r="15" spans="1:18" ht="18.75" customHeight="1" x14ac:dyDescent="0.2">
      <c r="A15" s="55" t="s">
        <v>348</v>
      </c>
      <c r="B15" s="54" t="s">
        <v>106</v>
      </c>
      <c r="C15" s="34" t="s">
        <v>40</v>
      </c>
      <c r="D15" s="34">
        <v>3000</v>
      </c>
      <c r="E15" s="34">
        <f>MROUND(D15-(D15*10/100),50)</f>
        <v>2700</v>
      </c>
      <c r="F15" s="34">
        <f>MROUND(D15-(D15*20/100),50)</f>
        <v>2400</v>
      </c>
      <c r="G15" s="34">
        <f>MROUND(D15-(D15*30/100),50)</f>
        <v>2100</v>
      </c>
      <c r="H15" s="34">
        <f>MROUND(D15-(D15*10/100),50)</f>
        <v>2700</v>
      </c>
      <c r="I15" s="34">
        <f>MROUND(H15-(H15*10/100),50)</f>
        <v>2450</v>
      </c>
      <c r="J15" s="34">
        <f>MROUND(H15-(H15*20/100),50)</f>
        <v>2150</v>
      </c>
      <c r="K15" s="34">
        <f>MROUND(H15-(H15*30/100),50)</f>
        <v>1900</v>
      </c>
      <c r="L15" s="34">
        <f>MROUND(D15-(D15*20/100),50)</f>
        <v>2400</v>
      </c>
      <c r="M15" s="34">
        <f>MROUND(L15-(L15*10/100),50)</f>
        <v>2150</v>
      </c>
      <c r="N15" s="34">
        <f>MROUND(L15-(L15*20/100),50)</f>
        <v>1900</v>
      </c>
      <c r="O15" s="34">
        <f>MROUND(L15-(L15*30/100),50)</f>
        <v>1700</v>
      </c>
      <c r="P15" s="54" t="s">
        <v>10</v>
      </c>
      <c r="Q15" s="54" t="s">
        <v>241</v>
      </c>
      <c r="R15" s="54" t="s">
        <v>489</v>
      </c>
    </row>
    <row r="16" spans="1:18" ht="21.75" x14ac:dyDescent="0.2">
      <c r="A16" s="55"/>
      <c r="B16" s="54"/>
      <c r="C16" s="34" t="s">
        <v>41</v>
      </c>
      <c r="D16" s="34">
        <f>D15*50/100</f>
        <v>1500</v>
      </c>
      <c r="E16" s="34">
        <f t="shared" ref="E16:O16" si="2">MROUND(E15*50/100,50)</f>
        <v>1350</v>
      </c>
      <c r="F16" s="34">
        <f t="shared" si="2"/>
        <v>1200</v>
      </c>
      <c r="G16" s="34">
        <f t="shared" si="2"/>
        <v>1050</v>
      </c>
      <c r="H16" s="34">
        <f t="shared" si="2"/>
        <v>1350</v>
      </c>
      <c r="I16" s="34">
        <f t="shared" si="2"/>
        <v>1250</v>
      </c>
      <c r="J16" s="34">
        <f t="shared" si="2"/>
        <v>1100</v>
      </c>
      <c r="K16" s="34">
        <f t="shared" si="2"/>
        <v>950</v>
      </c>
      <c r="L16" s="34">
        <f t="shared" si="2"/>
        <v>1200</v>
      </c>
      <c r="M16" s="34">
        <f t="shared" si="2"/>
        <v>1100</v>
      </c>
      <c r="N16" s="34">
        <f t="shared" si="2"/>
        <v>950</v>
      </c>
      <c r="O16" s="34">
        <f t="shared" si="2"/>
        <v>850</v>
      </c>
      <c r="P16" s="54"/>
      <c r="Q16" s="54"/>
      <c r="R16" s="54"/>
    </row>
    <row r="17" spans="1:18" ht="23.25" customHeight="1" x14ac:dyDescent="0.2">
      <c r="A17" s="69" t="s">
        <v>70</v>
      </c>
      <c r="B17" s="69"/>
      <c r="C17" s="69"/>
      <c r="D17" s="69"/>
      <c r="E17" s="69"/>
      <c r="F17" s="69"/>
      <c r="G17" s="69"/>
      <c r="H17" s="69"/>
      <c r="I17" s="69"/>
      <c r="J17" s="69"/>
      <c r="K17" s="69"/>
      <c r="L17" s="69"/>
      <c r="M17" s="69"/>
      <c r="N17" s="69"/>
      <c r="O17" s="69"/>
      <c r="P17" s="69"/>
      <c r="Q17" s="69"/>
      <c r="R17" s="69"/>
    </row>
    <row r="18" spans="1:18" ht="43.5" x14ac:dyDescent="0.2">
      <c r="A18" s="22" t="s">
        <v>179</v>
      </c>
      <c r="B18" s="34" t="s">
        <v>78</v>
      </c>
      <c r="C18" s="34" t="s">
        <v>48</v>
      </c>
      <c r="D18" s="54">
        <v>80000</v>
      </c>
      <c r="E18" s="54"/>
      <c r="F18" s="54"/>
      <c r="G18" s="54"/>
      <c r="H18" s="54">
        <f t="shared" ref="H18:H24" si="3">D18-(D18*20/100)</f>
        <v>64000</v>
      </c>
      <c r="I18" s="54"/>
      <c r="J18" s="54"/>
      <c r="K18" s="54"/>
      <c r="L18" s="54">
        <f t="shared" ref="L18:L24" si="4">D18-(D18*40/100)</f>
        <v>48000</v>
      </c>
      <c r="M18" s="54"/>
      <c r="N18" s="54"/>
      <c r="O18" s="54"/>
      <c r="P18" s="34" t="s">
        <v>9</v>
      </c>
      <c r="Q18" s="34" t="s">
        <v>245</v>
      </c>
      <c r="R18" s="34" t="s">
        <v>495</v>
      </c>
    </row>
    <row r="19" spans="1:18" ht="43.5" x14ac:dyDescent="0.2">
      <c r="A19" s="22" t="s">
        <v>196</v>
      </c>
      <c r="B19" s="34" t="s">
        <v>37</v>
      </c>
      <c r="C19" s="34" t="s">
        <v>48</v>
      </c>
      <c r="D19" s="54">
        <v>500000</v>
      </c>
      <c r="E19" s="54">
        <v>500000</v>
      </c>
      <c r="F19" s="54">
        <v>500000</v>
      </c>
      <c r="G19" s="54">
        <v>500000</v>
      </c>
      <c r="H19" s="54">
        <f t="shared" si="3"/>
        <v>400000</v>
      </c>
      <c r="I19" s="54"/>
      <c r="J19" s="54"/>
      <c r="K19" s="54"/>
      <c r="L19" s="54">
        <f t="shared" si="4"/>
        <v>300000</v>
      </c>
      <c r="M19" s="54"/>
      <c r="N19" s="54"/>
      <c r="O19" s="54"/>
      <c r="P19" s="34" t="s">
        <v>9</v>
      </c>
      <c r="Q19" s="34" t="s">
        <v>246</v>
      </c>
      <c r="R19" s="34" t="s">
        <v>495</v>
      </c>
    </row>
    <row r="20" spans="1:18" ht="43.5" x14ac:dyDescent="0.2">
      <c r="A20" s="22" t="s">
        <v>212</v>
      </c>
      <c r="B20" s="34" t="s">
        <v>44</v>
      </c>
      <c r="C20" s="34" t="s">
        <v>48</v>
      </c>
      <c r="D20" s="54">
        <v>48000</v>
      </c>
      <c r="E20" s="54"/>
      <c r="F20" s="54"/>
      <c r="G20" s="54"/>
      <c r="H20" s="54">
        <f t="shared" si="3"/>
        <v>38400</v>
      </c>
      <c r="I20" s="54"/>
      <c r="J20" s="54"/>
      <c r="K20" s="54"/>
      <c r="L20" s="54">
        <f t="shared" si="4"/>
        <v>28800</v>
      </c>
      <c r="M20" s="54"/>
      <c r="N20" s="54"/>
      <c r="O20" s="54"/>
      <c r="P20" s="34" t="s">
        <v>9</v>
      </c>
      <c r="Q20" s="34" t="s">
        <v>248</v>
      </c>
      <c r="R20" s="34" t="s">
        <v>480</v>
      </c>
    </row>
    <row r="21" spans="1:18" ht="43.5" x14ac:dyDescent="0.2">
      <c r="A21" s="22" t="s">
        <v>225</v>
      </c>
      <c r="B21" s="34" t="s">
        <v>87</v>
      </c>
      <c r="C21" s="34" t="s">
        <v>48</v>
      </c>
      <c r="D21" s="54">
        <v>27000</v>
      </c>
      <c r="E21" s="54">
        <v>30000</v>
      </c>
      <c r="F21" s="54">
        <v>30000</v>
      </c>
      <c r="G21" s="54">
        <v>30000</v>
      </c>
      <c r="H21" s="54">
        <f t="shared" si="3"/>
        <v>21600</v>
      </c>
      <c r="I21" s="54"/>
      <c r="J21" s="54"/>
      <c r="K21" s="54"/>
      <c r="L21" s="54">
        <f t="shared" si="4"/>
        <v>16200</v>
      </c>
      <c r="M21" s="54"/>
      <c r="N21" s="54"/>
      <c r="O21" s="54"/>
      <c r="P21" s="34" t="s">
        <v>9</v>
      </c>
      <c r="Q21" s="34" t="s">
        <v>247</v>
      </c>
      <c r="R21" s="34" t="s">
        <v>495</v>
      </c>
    </row>
    <row r="22" spans="1:18" ht="43.5" x14ac:dyDescent="0.2">
      <c r="A22" s="22" t="s">
        <v>234</v>
      </c>
      <c r="B22" s="34" t="s">
        <v>64</v>
      </c>
      <c r="C22" s="34" t="s">
        <v>48</v>
      </c>
      <c r="D22" s="54">
        <v>22000</v>
      </c>
      <c r="E22" s="54"/>
      <c r="F22" s="54"/>
      <c r="G22" s="54"/>
      <c r="H22" s="54">
        <f t="shared" si="3"/>
        <v>17600</v>
      </c>
      <c r="I22" s="54"/>
      <c r="J22" s="54"/>
      <c r="K22" s="54"/>
      <c r="L22" s="54">
        <f t="shared" si="4"/>
        <v>13200</v>
      </c>
      <c r="M22" s="54"/>
      <c r="N22" s="54"/>
      <c r="O22" s="54"/>
      <c r="P22" s="34" t="s">
        <v>9</v>
      </c>
      <c r="Q22" s="34" t="s">
        <v>248</v>
      </c>
      <c r="R22" s="34" t="s">
        <v>495</v>
      </c>
    </row>
    <row r="23" spans="1:18" ht="43.5" x14ac:dyDescent="0.2">
      <c r="A23" s="22" t="s">
        <v>349</v>
      </c>
      <c r="B23" s="34" t="s">
        <v>38</v>
      </c>
      <c r="C23" s="34" t="s">
        <v>48</v>
      </c>
      <c r="D23" s="54">
        <v>18000</v>
      </c>
      <c r="E23" s="54"/>
      <c r="F23" s="54"/>
      <c r="G23" s="54"/>
      <c r="H23" s="54">
        <f t="shared" si="3"/>
        <v>14400</v>
      </c>
      <c r="I23" s="54"/>
      <c r="J23" s="54"/>
      <c r="K23" s="54"/>
      <c r="L23" s="54">
        <f t="shared" si="4"/>
        <v>10800</v>
      </c>
      <c r="M23" s="54"/>
      <c r="N23" s="54"/>
      <c r="O23" s="54"/>
      <c r="P23" s="34" t="s">
        <v>9</v>
      </c>
      <c r="Q23" s="34" t="s">
        <v>250</v>
      </c>
      <c r="R23" s="34" t="s">
        <v>495</v>
      </c>
    </row>
    <row r="24" spans="1:18" s="13" customFormat="1" ht="39.75" customHeight="1" x14ac:dyDescent="0.2">
      <c r="A24" s="49" t="s">
        <v>350</v>
      </c>
      <c r="B24" s="50" t="s">
        <v>137</v>
      </c>
      <c r="C24" s="50" t="s">
        <v>57</v>
      </c>
      <c r="D24" s="81">
        <v>100000</v>
      </c>
      <c r="E24" s="81"/>
      <c r="F24" s="81"/>
      <c r="G24" s="81"/>
      <c r="H24" s="81">
        <f t="shared" si="3"/>
        <v>80000</v>
      </c>
      <c r="I24" s="81"/>
      <c r="J24" s="81"/>
      <c r="K24" s="81"/>
      <c r="L24" s="81">
        <f t="shared" si="4"/>
        <v>60000</v>
      </c>
      <c r="M24" s="81"/>
      <c r="N24" s="81"/>
      <c r="O24" s="81"/>
      <c r="P24" s="50" t="s">
        <v>9</v>
      </c>
      <c r="Q24" s="50" t="s">
        <v>53</v>
      </c>
      <c r="R24" s="34" t="s">
        <v>494</v>
      </c>
    </row>
    <row r="25" spans="1:18" ht="43.5" x14ac:dyDescent="0.2">
      <c r="A25" s="35" t="s">
        <v>351</v>
      </c>
      <c r="B25" s="34" t="s">
        <v>148</v>
      </c>
      <c r="C25" s="34" t="s">
        <v>48</v>
      </c>
      <c r="D25" s="54">
        <v>18000</v>
      </c>
      <c r="E25" s="54">
        <v>20000</v>
      </c>
      <c r="F25" s="54">
        <v>20000</v>
      </c>
      <c r="G25" s="54">
        <v>20000</v>
      </c>
      <c r="H25" s="54">
        <f>D25-(D25*20/100)</f>
        <v>14400</v>
      </c>
      <c r="I25" s="54"/>
      <c r="J25" s="54"/>
      <c r="K25" s="54"/>
      <c r="L25" s="54">
        <f>D25-(D25*40/100)</f>
        <v>10800</v>
      </c>
      <c r="M25" s="54"/>
      <c r="N25" s="54"/>
      <c r="O25" s="54"/>
      <c r="P25" s="34" t="s">
        <v>9</v>
      </c>
      <c r="Q25" s="34" t="s">
        <v>249</v>
      </c>
      <c r="R25" s="34" t="s">
        <v>495</v>
      </c>
    </row>
    <row r="26" spans="1:18" ht="43.5" x14ac:dyDescent="0.2">
      <c r="A26" s="22" t="s">
        <v>357</v>
      </c>
      <c r="B26" s="34" t="s">
        <v>65</v>
      </c>
      <c r="C26" s="34" t="s">
        <v>48</v>
      </c>
      <c r="D26" s="54">
        <v>18000</v>
      </c>
      <c r="E26" s="54">
        <v>20000</v>
      </c>
      <c r="F26" s="54">
        <v>20000</v>
      </c>
      <c r="G26" s="54">
        <v>20000</v>
      </c>
      <c r="H26" s="54">
        <f>D26-(D26*20/100)</f>
        <v>14400</v>
      </c>
      <c r="I26" s="54"/>
      <c r="J26" s="54"/>
      <c r="K26" s="54"/>
      <c r="L26" s="54">
        <f>D26-(D26*40/100)</f>
        <v>10800</v>
      </c>
      <c r="M26" s="54"/>
      <c r="N26" s="54"/>
      <c r="O26" s="54"/>
      <c r="P26" s="34" t="s">
        <v>9</v>
      </c>
      <c r="Q26" s="34" t="s">
        <v>249</v>
      </c>
      <c r="R26" s="34" t="s">
        <v>496</v>
      </c>
    </row>
    <row r="27" spans="1:18" ht="43.5" x14ac:dyDescent="0.2">
      <c r="A27" s="35" t="s">
        <v>358</v>
      </c>
      <c r="B27" s="34" t="s">
        <v>54</v>
      </c>
      <c r="C27" s="34" t="s">
        <v>48</v>
      </c>
      <c r="D27" s="54">
        <v>13000</v>
      </c>
      <c r="E27" s="54"/>
      <c r="F27" s="54"/>
      <c r="G27" s="54"/>
      <c r="H27" s="54">
        <f>D27-(D27*20/100)</f>
        <v>10400</v>
      </c>
      <c r="I27" s="54"/>
      <c r="J27" s="54"/>
      <c r="K27" s="54"/>
      <c r="L27" s="54">
        <f>D27-(D27*40/100)</f>
        <v>7800</v>
      </c>
      <c r="M27" s="54"/>
      <c r="N27" s="54"/>
      <c r="O27" s="54"/>
      <c r="P27" s="34" t="s">
        <v>9</v>
      </c>
      <c r="Q27" s="34" t="s">
        <v>250</v>
      </c>
      <c r="R27" s="34" t="s">
        <v>495</v>
      </c>
    </row>
    <row r="28" spans="1:18" ht="21.75" x14ac:dyDescent="0.2">
      <c r="A28" s="55" t="s">
        <v>359</v>
      </c>
      <c r="B28" s="54" t="s">
        <v>35</v>
      </c>
      <c r="C28" s="34" t="s">
        <v>40</v>
      </c>
      <c r="D28" s="34">
        <v>3000</v>
      </c>
      <c r="E28" s="34">
        <f>MROUND(D28-(D28*10/100),50)</f>
        <v>2700</v>
      </c>
      <c r="F28" s="34">
        <f>MROUND(D28-(D28*20/100),50)</f>
        <v>2400</v>
      </c>
      <c r="G28" s="34">
        <f>MROUND(D28-(D28*30/100),50)</f>
        <v>2100</v>
      </c>
      <c r="H28" s="34">
        <f>MROUND(D28-(D28*10/100),50)</f>
        <v>2700</v>
      </c>
      <c r="I28" s="34">
        <f>MROUND(H28-(H28*10/100),50)</f>
        <v>2450</v>
      </c>
      <c r="J28" s="34">
        <f>MROUND(H28-(H28*20/100),50)</f>
        <v>2150</v>
      </c>
      <c r="K28" s="34">
        <f>MROUND(H28-(H28*30/100),50)</f>
        <v>1900</v>
      </c>
      <c r="L28" s="34">
        <f>MROUND(D28-(D28*20/100),50)</f>
        <v>2400</v>
      </c>
      <c r="M28" s="34">
        <f>MROUND(L28-(L28*10/100),50)</f>
        <v>2150</v>
      </c>
      <c r="N28" s="34">
        <f>MROUND(L28-(L28*20/100),50)</f>
        <v>1900</v>
      </c>
      <c r="O28" s="34">
        <f>MROUND(L28-(L28*30/100),50)</f>
        <v>1700</v>
      </c>
      <c r="P28" s="54" t="s">
        <v>10</v>
      </c>
      <c r="Q28" s="54" t="s">
        <v>53</v>
      </c>
      <c r="R28" s="54" t="s">
        <v>516</v>
      </c>
    </row>
    <row r="29" spans="1:18" ht="21.75" x14ac:dyDescent="0.2">
      <c r="A29" s="55"/>
      <c r="B29" s="54"/>
      <c r="C29" s="34" t="s">
        <v>41</v>
      </c>
      <c r="D29" s="34">
        <f>D28*50/100</f>
        <v>1500</v>
      </c>
      <c r="E29" s="34">
        <f t="shared" ref="E29:O29" si="5">MROUND(E28*50/100,50)</f>
        <v>1350</v>
      </c>
      <c r="F29" s="34">
        <f t="shared" si="5"/>
        <v>1200</v>
      </c>
      <c r="G29" s="34">
        <f t="shared" si="5"/>
        <v>1050</v>
      </c>
      <c r="H29" s="34">
        <f t="shared" si="5"/>
        <v>1350</v>
      </c>
      <c r="I29" s="34">
        <f t="shared" si="5"/>
        <v>1250</v>
      </c>
      <c r="J29" s="34">
        <f t="shared" si="5"/>
        <v>1100</v>
      </c>
      <c r="K29" s="34">
        <f t="shared" si="5"/>
        <v>950</v>
      </c>
      <c r="L29" s="34">
        <f t="shared" si="5"/>
        <v>1200</v>
      </c>
      <c r="M29" s="34">
        <f t="shared" si="5"/>
        <v>1100</v>
      </c>
      <c r="N29" s="34">
        <f t="shared" si="5"/>
        <v>950</v>
      </c>
      <c r="O29" s="34">
        <f t="shared" si="5"/>
        <v>850</v>
      </c>
      <c r="P29" s="54"/>
      <c r="Q29" s="54"/>
      <c r="R29" s="54"/>
    </row>
    <row r="30" spans="1:18" s="1" customFormat="1" ht="21.75" x14ac:dyDescent="0.2">
      <c r="A30" s="22" t="s">
        <v>360</v>
      </c>
      <c r="B30" s="34" t="s">
        <v>122</v>
      </c>
      <c r="C30" s="34" t="s">
        <v>57</v>
      </c>
      <c r="D30" s="54">
        <v>27000</v>
      </c>
      <c r="E30" s="54">
        <v>30000</v>
      </c>
      <c r="F30" s="54">
        <v>30000</v>
      </c>
      <c r="G30" s="54">
        <v>30000</v>
      </c>
      <c r="H30" s="54">
        <f>D30-(D30*20/100)</f>
        <v>21600</v>
      </c>
      <c r="I30" s="54"/>
      <c r="J30" s="54"/>
      <c r="K30" s="54"/>
      <c r="L30" s="54">
        <f>D30-(D30*40/100)</f>
        <v>16200</v>
      </c>
      <c r="M30" s="54"/>
      <c r="N30" s="54"/>
      <c r="O30" s="54"/>
      <c r="P30" s="34" t="s">
        <v>9</v>
      </c>
      <c r="Q30" s="34" t="s">
        <v>53</v>
      </c>
      <c r="R30" s="34" t="s">
        <v>496</v>
      </c>
    </row>
    <row r="31" spans="1:18" s="1" customFormat="1" ht="21.75" x14ac:dyDescent="0.2">
      <c r="A31" s="22" t="s">
        <v>352</v>
      </c>
      <c r="B31" s="34" t="s">
        <v>123</v>
      </c>
      <c r="C31" s="34" t="s">
        <v>57</v>
      </c>
      <c r="D31" s="54">
        <v>18000</v>
      </c>
      <c r="E31" s="54"/>
      <c r="F31" s="54"/>
      <c r="G31" s="54"/>
      <c r="H31" s="54">
        <f>D31-(D31*20/100)</f>
        <v>14400</v>
      </c>
      <c r="I31" s="54"/>
      <c r="J31" s="54"/>
      <c r="K31" s="54"/>
      <c r="L31" s="54">
        <f>D31-(D31*40/100)</f>
        <v>10800</v>
      </c>
      <c r="M31" s="54"/>
      <c r="N31" s="54"/>
      <c r="O31" s="54"/>
      <c r="P31" s="34" t="s">
        <v>9</v>
      </c>
      <c r="Q31" s="34" t="s">
        <v>53</v>
      </c>
      <c r="R31" s="34" t="s">
        <v>496</v>
      </c>
    </row>
    <row r="32" spans="1:18" s="11" customFormat="1" ht="43.5" x14ac:dyDescent="0.2">
      <c r="A32" s="22" t="s">
        <v>353</v>
      </c>
      <c r="B32" s="34" t="s">
        <v>149</v>
      </c>
      <c r="C32" s="34" t="s">
        <v>48</v>
      </c>
      <c r="D32" s="54">
        <v>18000</v>
      </c>
      <c r="E32" s="54">
        <v>20000</v>
      </c>
      <c r="F32" s="54">
        <v>20000</v>
      </c>
      <c r="G32" s="54">
        <v>20000</v>
      </c>
      <c r="H32" s="54">
        <v>20000</v>
      </c>
      <c r="I32" s="54"/>
      <c r="J32" s="54"/>
      <c r="K32" s="54"/>
      <c r="L32" s="54">
        <v>20000</v>
      </c>
      <c r="M32" s="54"/>
      <c r="N32" s="54"/>
      <c r="O32" s="54"/>
      <c r="P32" s="34" t="s">
        <v>9</v>
      </c>
      <c r="Q32" s="34" t="s">
        <v>511</v>
      </c>
      <c r="R32" s="34" t="s">
        <v>495</v>
      </c>
    </row>
    <row r="33" spans="1:18" ht="21.75" x14ac:dyDescent="0.2">
      <c r="A33" s="22" t="s">
        <v>354</v>
      </c>
      <c r="B33" s="34" t="s">
        <v>39</v>
      </c>
      <c r="C33" s="34" t="s">
        <v>48</v>
      </c>
      <c r="D33" s="54">
        <v>80000</v>
      </c>
      <c r="E33" s="54"/>
      <c r="F33" s="54"/>
      <c r="G33" s="54"/>
      <c r="H33" s="54">
        <f>D33-(D33*20/100)</f>
        <v>64000</v>
      </c>
      <c r="I33" s="54"/>
      <c r="J33" s="54"/>
      <c r="K33" s="54"/>
      <c r="L33" s="54">
        <f>D33-(D33*40/100)</f>
        <v>48000</v>
      </c>
      <c r="M33" s="54"/>
      <c r="N33" s="54"/>
      <c r="O33" s="54"/>
      <c r="P33" s="34" t="s">
        <v>9</v>
      </c>
      <c r="Q33" s="34" t="s">
        <v>53</v>
      </c>
      <c r="R33" s="34" t="s">
        <v>495</v>
      </c>
    </row>
    <row r="34" spans="1:18" ht="21.75" x14ac:dyDescent="0.2">
      <c r="A34" s="22" t="s">
        <v>355</v>
      </c>
      <c r="B34" s="34" t="s">
        <v>124</v>
      </c>
      <c r="C34" s="34" t="s">
        <v>48</v>
      </c>
      <c r="D34" s="54">
        <v>9000</v>
      </c>
      <c r="E34" s="54"/>
      <c r="F34" s="54"/>
      <c r="G34" s="54"/>
      <c r="H34" s="54">
        <f>D34-(D34*20/100)</f>
        <v>7200</v>
      </c>
      <c r="I34" s="54"/>
      <c r="J34" s="54"/>
      <c r="K34" s="54"/>
      <c r="L34" s="54">
        <f>D34-(D34*40/100)</f>
        <v>5400</v>
      </c>
      <c r="M34" s="54"/>
      <c r="N34" s="54"/>
      <c r="O34" s="54"/>
      <c r="P34" s="34" t="s">
        <v>9</v>
      </c>
      <c r="Q34" s="34" t="s">
        <v>53</v>
      </c>
      <c r="R34" s="34" t="s">
        <v>495</v>
      </c>
    </row>
    <row r="35" spans="1:18" ht="21.75" x14ac:dyDescent="0.2">
      <c r="A35" s="22" t="s">
        <v>356</v>
      </c>
      <c r="B35" s="34" t="s">
        <v>30</v>
      </c>
      <c r="C35" s="34" t="s">
        <v>48</v>
      </c>
      <c r="D35" s="54">
        <v>5000</v>
      </c>
      <c r="E35" s="54"/>
      <c r="F35" s="54"/>
      <c r="G35" s="54"/>
      <c r="H35" s="54">
        <f>D35-(D35*20/100)</f>
        <v>4000</v>
      </c>
      <c r="I35" s="54"/>
      <c r="J35" s="54"/>
      <c r="K35" s="54"/>
      <c r="L35" s="54">
        <f>D35-(D35*40/100)</f>
        <v>3000</v>
      </c>
      <c r="M35" s="54"/>
      <c r="N35" s="54"/>
      <c r="O35" s="54"/>
      <c r="P35" s="34" t="s">
        <v>50</v>
      </c>
      <c r="Q35" s="34" t="s">
        <v>53</v>
      </c>
      <c r="R35" s="34" t="s">
        <v>522</v>
      </c>
    </row>
    <row r="36" spans="1:18" s="8" customFormat="1" ht="21.75" x14ac:dyDescent="0.2">
      <c r="A36" s="55" t="s">
        <v>361</v>
      </c>
      <c r="B36" s="81" t="s">
        <v>79</v>
      </c>
      <c r="C36" s="50" t="s">
        <v>40</v>
      </c>
      <c r="D36" s="50">
        <v>2000</v>
      </c>
      <c r="E36" s="50">
        <f>MROUND(D36-(D36*10/100),50)</f>
        <v>1800</v>
      </c>
      <c r="F36" s="50">
        <f>MROUND(D36-(D36*20/100),50)</f>
        <v>1600</v>
      </c>
      <c r="G36" s="50">
        <f>MROUND(D36-(D36*30/100),50)</f>
        <v>1400</v>
      </c>
      <c r="H36" s="50">
        <f>MROUND(D36-(D36*10/100),50)</f>
        <v>1800</v>
      </c>
      <c r="I36" s="50">
        <f>MROUND(H36-(H36*10/100),50)</f>
        <v>1600</v>
      </c>
      <c r="J36" s="50">
        <f>MROUND(H36-(H36*20/100),50)</f>
        <v>1450</v>
      </c>
      <c r="K36" s="50">
        <f>MROUND(H36-(H36*30/100),50)</f>
        <v>1250</v>
      </c>
      <c r="L36" s="50">
        <f>MROUND(D36-(D36*20/100),50)</f>
        <v>1600</v>
      </c>
      <c r="M36" s="50">
        <f>MROUND(L36-(L36*10/100),50)</f>
        <v>1450</v>
      </c>
      <c r="N36" s="50">
        <f>MROUND(L36-(L36*20/100),50)</f>
        <v>1300</v>
      </c>
      <c r="O36" s="50">
        <f>MROUND(L36-(L36*30/100),50)</f>
        <v>1100</v>
      </c>
      <c r="P36" s="81" t="s">
        <v>10</v>
      </c>
      <c r="Q36" s="81" t="s">
        <v>525</v>
      </c>
      <c r="R36" s="81" t="s">
        <v>495</v>
      </c>
    </row>
    <row r="37" spans="1:18" s="8" customFormat="1" ht="21.75" x14ac:dyDescent="0.2">
      <c r="A37" s="55"/>
      <c r="B37" s="81"/>
      <c r="C37" s="50" t="s">
        <v>41</v>
      </c>
      <c r="D37" s="50">
        <f>D36*50/100</f>
        <v>1000</v>
      </c>
      <c r="E37" s="50">
        <f t="shared" ref="E37:O37" si="6">MROUND(E36*50/100,50)</f>
        <v>900</v>
      </c>
      <c r="F37" s="50">
        <f t="shared" si="6"/>
        <v>800</v>
      </c>
      <c r="G37" s="50">
        <f t="shared" si="6"/>
        <v>700</v>
      </c>
      <c r="H37" s="50">
        <f t="shared" si="6"/>
        <v>900</v>
      </c>
      <c r="I37" s="50">
        <f t="shared" si="6"/>
        <v>800</v>
      </c>
      <c r="J37" s="50">
        <f t="shared" si="6"/>
        <v>750</v>
      </c>
      <c r="K37" s="50">
        <f t="shared" si="6"/>
        <v>650</v>
      </c>
      <c r="L37" s="50">
        <f t="shared" si="6"/>
        <v>800</v>
      </c>
      <c r="M37" s="50">
        <f t="shared" si="6"/>
        <v>750</v>
      </c>
      <c r="N37" s="50">
        <f t="shared" si="6"/>
        <v>650</v>
      </c>
      <c r="O37" s="50">
        <f t="shared" si="6"/>
        <v>550</v>
      </c>
      <c r="P37" s="81"/>
      <c r="Q37" s="81"/>
      <c r="R37" s="81"/>
    </row>
    <row r="38" spans="1:18" ht="21.75" x14ac:dyDescent="0.2">
      <c r="A38" s="55" t="s">
        <v>362</v>
      </c>
      <c r="B38" s="54" t="s">
        <v>26</v>
      </c>
      <c r="C38" s="34" t="s">
        <v>40</v>
      </c>
      <c r="D38" s="34">
        <v>3000</v>
      </c>
      <c r="E38" s="34">
        <f>MROUND(D38-(D38*10/100),50)</f>
        <v>2700</v>
      </c>
      <c r="F38" s="34">
        <f>MROUND(D38-(D38*20/100),50)</f>
        <v>2400</v>
      </c>
      <c r="G38" s="34">
        <f>MROUND(D38-(D38*30/100),50)</f>
        <v>2100</v>
      </c>
      <c r="H38" s="34">
        <f>MROUND(D38-(D38*10/100),50)</f>
        <v>2700</v>
      </c>
      <c r="I38" s="34">
        <f>MROUND(H38-(H38*10/100),50)</f>
        <v>2450</v>
      </c>
      <c r="J38" s="34">
        <f>MROUND(H38-(H38*20/100),50)</f>
        <v>2150</v>
      </c>
      <c r="K38" s="34">
        <f>MROUND(H38-(H38*30/100),50)</f>
        <v>1900</v>
      </c>
      <c r="L38" s="34">
        <f>MROUND(D38-(D38*20/100),50)</f>
        <v>2400</v>
      </c>
      <c r="M38" s="34">
        <f>MROUND(L38-(L38*10/100),50)</f>
        <v>2150</v>
      </c>
      <c r="N38" s="34">
        <f>MROUND(L38-(L38*20/100),50)</f>
        <v>1900</v>
      </c>
      <c r="O38" s="34">
        <f>MROUND(L38-(L38*30/100),50)</f>
        <v>1700</v>
      </c>
      <c r="P38" s="54" t="s">
        <v>10</v>
      </c>
      <c r="Q38" s="54" t="s">
        <v>53</v>
      </c>
      <c r="R38" s="54" t="s">
        <v>488</v>
      </c>
    </row>
    <row r="39" spans="1:18" ht="21.75" x14ac:dyDescent="0.2">
      <c r="A39" s="55"/>
      <c r="B39" s="54"/>
      <c r="C39" s="34" t="s">
        <v>41</v>
      </c>
      <c r="D39" s="34">
        <f>D38*50/100</f>
        <v>1500</v>
      </c>
      <c r="E39" s="34">
        <f t="shared" ref="E39:O39" si="7">MROUND(E38*50/100,50)</f>
        <v>1350</v>
      </c>
      <c r="F39" s="34">
        <f t="shared" si="7"/>
        <v>1200</v>
      </c>
      <c r="G39" s="34">
        <f t="shared" si="7"/>
        <v>1050</v>
      </c>
      <c r="H39" s="34">
        <f t="shared" si="7"/>
        <v>1350</v>
      </c>
      <c r="I39" s="34">
        <f t="shared" si="7"/>
        <v>1250</v>
      </c>
      <c r="J39" s="34">
        <f t="shared" si="7"/>
        <v>1100</v>
      </c>
      <c r="K39" s="34">
        <f t="shared" si="7"/>
        <v>950</v>
      </c>
      <c r="L39" s="34">
        <f t="shared" si="7"/>
        <v>1200</v>
      </c>
      <c r="M39" s="34">
        <f t="shared" si="7"/>
        <v>1100</v>
      </c>
      <c r="N39" s="34">
        <f t="shared" si="7"/>
        <v>950</v>
      </c>
      <c r="O39" s="34">
        <f t="shared" si="7"/>
        <v>850</v>
      </c>
      <c r="P39" s="54"/>
      <c r="Q39" s="54"/>
      <c r="R39" s="54"/>
    </row>
    <row r="40" spans="1:18" ht="43.5" x14ac:dyDescent="0.2">
      <c r="A40" s="22" t="s">
        <v>363</v>
      </c>
      <c r="B40" s="34" t="s">
        <v>27</v>
      </c>
      <c r="C40" s="34" t="s">
        <v>48</v>
      </c>
      <c r="D40" s="54">
        <v>5000</v>
      </c>
      <c r="E40" s="54"/>
      <c r="F40" s="54"/>
      <c r="G40" s="54"/>
      <c r="H40" s="54">
        <f>D40-(D40*20/100)</f>
        <v>4000</v>
      </c>
      <c r="I40" s="54"/>
      <c r="J40" s="54"/>
      <c r="K40" s="54"/>
      <c r="L40" s="54">
        <f>D40-(D40*40/100)</f>
        <v>3000</v>
      </c>
      <c r="M40" s="54"/>
      <c r="N40" s="54"/>
      <c r="O40" s="54"/>
      <c r="P40" s="34" t="s">
        <v>50</v>
      </c>
      <c r="Q40" s="34" t="s">
        <v>53</v>
      </c>
      <c r="R40" s="34" t="s">
        <v>488</v>
      </c>
    </row>
    <row r="41" spans="1:18" ht="43.5" x14ac:dyDescent="0.2">
      <c r="A41" s="22" t="s">
        <v>364</v>
      </c>
      <c r="B41" s="34" t="s">
        <v>162</v>
      </c>
      <c r="C41" s="34" t="s">
        <v>48</v>
      </c>
      <c r="D41" s="54">
        <v>22000</v>
      </c>
      <c r="E41" s="54"/>
      <c r="F41" s="54"/>
      <c r="G41" s="54"/>
      <c r="H41" s="54">
        <f>D41-(D41*20/100)</f>
        <v>17600</v>
      </c>
      <c r="I41" s="54"/>
      <c r="J41" s="54"/>
      <c r="K41" s="54"/>
      <c r="L41" s="54">
        <f>D41-(D41*40/100)</f>
        <v>13200</v>
      </c>
      <c r="M41" s="54"/>
      <c r="N41" s="54"/>
      <c r="O41" s="54"/>
      <c r="P41" s="34" t="s">
        <v>9</v>
      </c>
      <c r="Q41" s="34" t="s">
        <v>53</v>
      </c>
      <c r="R41" s="34" t="s">
        <v>488</v>
      </c>
    </row>
    <row r="42" spans="1:18" ht="61.5" customHeight="1" x14ac:dyDescent="0.2">
      <c r="A42" s="22" t="s">
        <v>365</v>
      </c>
      <c r="B42" s="34" t="s">
        <v>152</v>
      </c>
      <c r="C42" s="34" t="s">
        <v>48</v>
      </c>
      <c r="D42" s="54">
        <v>27000</v>
      </c>
      <c r="E42" s="54"/>
      <c r="F42" s="54"/>
      <c r="G42" s="54"/>
      <c r="H42" s="54">
        <f>D42-(D42*20/100)</f>
        <v>21600</v>
      </c>
      <c r="I42" s="54"/>
      <c r="J42" s="54"/>
      <c r="K42" s="54"/>
      <c r="L42" s="54">
        <f>D42-(D42*40/100)</f>
        <v>16200</v>
      </c>
      <c r="M42" s="54"/>
      <c r="N42" s="54"/>
      <c r="O42" s="54"/>
      <c r="P42" s="34" t="s">
        <v>9</v>
      </c>
      <c r="Q42" s="34" t="s">
        <v>53</v>
      </c>
      <c r="R42" s="34" t="s">
        <v>517</v>
      </c>
    </row>
    <row r="43" spans="1:18" s="1" customFormat="1" ht="23.25" customHeight="1" x14ac:dyDescent="0.2">
      <c r="A43" s="55" t="s">
        <v>366</v>
      </c>
      <c r="B43" s="54" t="s">
        <v>43</v>
      </c>
      <c r="C43" s="34" t="s">
        <v>40</v>
      </c>
      <c r="D43" s="34">
        <v>3000</v>
      </c>
      <c r="E43" s="34">
        <f>MROUND(D43-(D43*10/100),50)</f>
        <v>2700</v>
      </c>
      <c r="F43" s="34">
        <f>MROUND(D43-(D43*20/100),50)</f>
        <v>2400</v>
      </c>
      <c r="G43" s="34">
        <f>MROUND(D43-(D43*30/100),50)</f>
        <v>2100</v>
      </c>
      <c r="H43" s="34">
        <f>MROUND(D43-(D43*10/100),50)</f>
        <v>2700</v>
      </c>
      <c r="I43" s="34">
        <f>MROUND(H43-(H43*10/100),50)</f>
        <v>2450</v>
      </c>
      <c r="J43" s="34">
        <f>MROUND(H43-(H43*20/100),50)</f>
        <v>2150</v>
      </c>
      <c r="K43" s="34">
        <f>MROUND(H43-(H43*30/100),50)</f>
        <v>1900</v>
      </c>
      <c r="L43" s="34">
        <f>MROUND(D43-(D43*20/100),50)</f>
        <v>2400</v>
      </c>
      <c r="M43" s="34">
        <f>MROUND(L43-(L43*10/100),50)</f>
        <v>2150</v>
      </c>
      <c r="N43" s="34">
        <f>MROUND(L43-(L43*20/100),50)</f>
        <v>1900</v>
      </c>
      <c r="O43" s="34">
        <f>MROUND(L43-(L43*30/100),50)</f>
        <v>1700</v>
      </c>
      <c r="P43" s="54" t="s">
        <v>10</v>
      </c>
      <c r="Q43" s="54" t="s">
        <v>53</v>
      </c>
      <c r="R43" s="71" t="s">
        <v>517</v>
      </c>
    </row>
    <row r="44" spans="1:18" s="1" customFormat="1" ht="23.25" customHeight="1" x14ac:dyDescent="0.2">
      <c r="A44" s="55"/>
      <c r="B44" s="54"/>
      <c r="C44" s="34" t="s">
        <v>41</v>
      </c>
      <c r="D44" s="34">
        <f>D43*50/100</f>
        <v>1500</v>
      </c>
      <c r="E44" s="34">
        <f t="shared" ref="E44:O44" si="8">MROUND(E43*50/100,50)</f>
        <v>1350</v>
      </c>
      <c r="F44" s="34">
        <f t="shared" si="8"/>
        <v>1200</v>
      </c>
      <c r="G44" s="34">
        <f t="shared" si="8"/>
        <v>1050</v>
      </c>
      <c r="H44" s="34">
        <f t="shared" si="8"/>
        <v>1350</v>
      </c>
      <c r="I44" s="34">
        <f t="shared" si="8"/>
        <v>1250</v>
      </c>
      <c r="J44" s="34">
        <f t="shared" si="8"/>
        <v>1100</v>
      </c>
      <c r="K44" s="34">
        <f t="shared" si="8"/>
        <v>950</v>
      </c>
      <c r="L44" s="34">
        <f t="shared" si="8"/>
        <v>1200</v>
      </c>
      <c r="M44" s="34">
        <f t="shared" si="8"/>
        <v>1100</v>
      </c>
      <c r="N44" s="34">
        <f t="shared" si="8"/>
        <v>950</v>
      </c>
      <c r="O44" s="34">
        <f t="shared" si="8"/>
        <v>850</v>
      </c>
      <c r="P44" s="54"/>
      <c r="Q44" s="54"/>
      <c r="R44" s="72"/>
    </row>
    <row r="45" spans="1:18" s="1" customFormat="1" ht="39.75" customHeight="1" x14ac:dyDescent="0.2">
      <c r="A45" s="22" t="s">
        <v>367</v>
      </c>
      <c r="B45" s="34" t="s">
        <v>266</v>
      </c>
      <c r="C45" s="34" t="s">
        <v>57</v>
      </c>
      <c r="D45" s="54">
        <v>10000</v>
      </c>
      <c r="E45" s="54">
        <f>D45-(D45*10/100)</f>
        <v>9000</v>
      </c>
      <c r="F45" s="54">
        <f>D45-(D45*20/100)</f>
        <v>8000</v>
      </c>
      <c r="G45" s="54">
        <f>D45-(D45*30/100)</f>
        <v>7000</v>
      </c>
      <c r="H45" s="54">
        <f>D45-(D45*20/100)</f>
        <v>8000</v>
      </c>
      <c r="I45" s="54"/>
      <c r="J45" s="54"/>
      <c r="K45" s="54"/>
      <c r="L45" s="54">
        <f>D45-(D45*40/100)</f>
        <v>6000</v>
      </c>
      <c r="M45" s="54"/>
      <c r="N45" s="54"/>
      <c r="O45" s="54"/>
      <c r="P45" s="34" t="s">
        <v>9</v>
      </c>
      <c r="Q45" s="34" t="s">
        <v>53</v>
      </c>
      <c r="R45" s="34" t="s">
        <v>517</v>
      </c>
    </row>
    <row r="46" spans="1:18" s="1" customFormat="1" ht="54" customHeight="1" x14ac:dyDescent="0.2">
      <c r="A46" s="22" t="s">
        <v>368</v>
      </c>
      <c r="B46" s="34" t="s">
        <v>267</v>
      </c>
      <c r="C46" s="34" t="s">
        <v>57</v>
      </c>
      <c r="D46" s="54">
        <v>10000</v>
      </c>
      <c r="E46" s="54">
        <f>D46-(D46*10/100)</f>
        <v>9000</v>
      </c>
      <c r="F46" s="54">
        <f>D46-(D46*20/100)</f>
        <v>8000</v>
      </c>
      <c r="G46" s="54">
        <f>D46-(D46*30/100)</f>
        <v>7000</v>
      </c>
      <c r="H46" s="54">
        <f>D46-(D46*20/100)</f>
        <v>8000</v>
      </c>
      <c r="I46" s="54"/>
      <c r="J46" s="54"/>
      <c r="K46" s="54"/>
      <c r="L46" s="54">
        <f>D46-(D46*40/100)</f>
        <v>6000</v>
      </c>
      <c r="M46" s="54"/>
      <c r="N46" s="54"/>
      <c r="O46" s="54"/>
      <c r="P46" s="34" t="s">
        <v>9</v>
      </c>
      <c r="Q46" s="34" t="s">
        <v>53</v>
      </c>
      <c r="R46" s="34" t="s">
        <v>517</v>
      </c>
    </row>
    <row r="47" spans="1:18" s="1" customFormat="1" ht="42" customHeight="1" x14ac:dyDescent="0.2">
      <c r="A47" s="22" t="s">
        <v>369</v>
      </c>
      <c r="B47" s="34" t="s">
        <v>268</v>
      </c>
      <c r="C47" s="34" t="s">
        <v>57</v>
      </c>
      <c r="D47" s="54">
        <v>15000</v>
      </c>
      <c r="E47" s="54"/>
      <c r="F47" s="54"/>
      <c r="G47" s="54"/>
      <c r="H47" s="54">
        <v>12000</v>
      </c>
      <c r="I47" s="54"/>
      <c r="J47" s="54"/>
      <c r="K47" s="54"/>
      <c r="L47" s="54">
        <v>9600</v>
      </c>
      <c r="M47" s="54"/>
      <c r="N47" s="54"/>
      <c r="O47" s="54"/>
      <c r="P47" s="34" t="s">
        <v>9</v>
      </c>
      <c r="Q47" s="34" t="s">
        <v>53</v>
      </c>
      <c r="R47" s="34" t="s">
        <v>517</v>
      </c>
    </row>
    <row r="48" spans="1:18" ht="33" customHeight="1" x14ac:dyDescent="0.2">
      <c r="A48" s="22" t="s">
        <v>370</v>
      </c>
      <c r="B48" s="34" t="s">
        <v>163</v>
      </c>
      <c r="C48" s="34" t="s">
        <v>48</v>
      </c>
      <c r="D48" s="54">
        <v>36000</v>
      </c>
      <c r="E48" s="54"/>
      <c r="F48" s="54"/>
      <c r="G48" s="54"/>
      <c r="H48" s="54">
        <f>D48-(D48*20/100)</f>
        <v>28800</v>
      </c>
      <c r="I48" s="54"/>
      <c r="J48" s="54"/>
      <c r="K48" s="54"/>
      <c r="L48" s="54">
        <f>D48-(D48*40/100)</f>
        <v>21600</v>
      </c>
      <c r="M48" s="54"/>
      <c r="N48" s="54"/>
      <c r="O48" s="54"/>
      <c r="P48" s="34" t="s">
        <v>9</v>
      </c>
      <c r="Q48" s="34" t="s">
        <v>53</v>
      </c>
      <c r="R48" s="34" t="s">
        <v>517</v>
      </c>
    </row>
    <row r="49" spans="1:18" ht="43.5" x14ac:dyDescent="0.2">
      <c r="A49" s="22" t="s">
        <v>371</v>
      </c>
      <c r="B49" s="34" t="s">
        <v>28</v>
      </c>
      <c r="C49" s="34" t="s">
        <v>48</v>
      </c>
      <c r="D49" s="54">
        <v>13000</v>
      </c>
      <c r="E49" s="54"/>
      <c r="F49" s="54"/>
      <c r="G49" s="54"/>
      <c r="H49" s="54">
        <f>D49-(D49*20/100)</f>
        <v>10400</v>
      </c>
      <c r="I49" s="54"/>
      <c r="J49" s="54"/>
      <c r="K49" s="54"/>
      <c r="L49" s="54">
        <f>D49-(D49*40/100)</f>
        <v>7800</v>
      </c>
      <c r="M49" s="54"/>
      <c r="N49" s="54"/>
      <c r="O49" s="54"/>
      <c r="P49" s="34" t="s">
        <v>9</v>
      </c>
      <c r="Q49" s="34" t="s">
        <v>53</v>
      </c>
      <c r="R49" s="34" t="s">
        <v>517</v>
      </c>
    </row>
    <row r="50" spans="1:18" s="2" customFormat="1" ht="39.950000000000003" customHeight="1" x14ac:dyDescent="0.2">
      <c r="A50" s="22" t="s">
        <v>372</v>
      </c>
      <c r="B50" s="34" t="s">
        <v>100</v>
      </c>
      <c r="C50" s="34" t="s">
        <v>57</v>
      </c>
      <c r="D50" s="54">
        <v>4500</v>
      </c>
      <c r="E50" s="54"/>
      <c r="F50" s="54"/>
      <c r="G50" s="54"/>
      <c r="H50" s="54">
        <f>D50-(D50*20/100)</f>
        <v>3600</v>
      </c>
      <c r="I50" s="54"/>
      <c r="J50" s="54"/>
      <c r="K50" s="54"/>
      <c r="L50" s="54">
        <f>D50-(D50*40/100)</f>
        <v>2700</v>
      </c>
      <c r="M50" s="54"/>
      <c r="N50" s="54"/>
      <c r="O50" s="54"/>
      <c r="P50" s="34" t="s">
        <v>9</v>
      </c>
      <c r="Q50" s="34" t="s">
        <v>507</v>
      </c>
      <c r="R50" s="37" t="s">
        <v>495</v>
      </c>
    </row>
    <row r="51" spans="1:18" s="7" customFormat="1" ht="39.950000000000003" customHeight="1" x14ac:dyDescent="0.2">
      <c r="A51" s="22" t="s">
        <v>373</v>
      </c>
      <c r="B51" s="34" t="s">
        <v>101</v>
      </c>
      <c r="C51" s="34" t="s">
        <v>57</v>
      </c>
      <c r="D51" s="54">
        <v>4500</v>
      </c>
      <c r="E51" s="54"/>
      <c r="F51" s="54"/>
      <c r="G51" s="54"/>
      <c r="H51" s="54">
        <f>D51-(D51*20/100)</f>
        <v>3600</v>
      </c>
      <c r="I51" s="54"/>
      <c r="J51" s="54"/>
      <c r="K51" s="54"/>
      <c r="L51" s="54">
        <f>D51-(D51*40/100)</f>
        <v>2700</v>
      </c>
      <c r="M51" s="54"/>
      <c r="N51" s="54"/>
      <c r="O51" s="54"/>
      <c r="P51" s="34" t="s">
        <v>9</v>
      </c>
      <c r="Q51" s="34" t="s">
        <v>507</v>
      </c>
      <c r="R51" s="37" t="s">
        <v>495</v>
      </c>
    </row>
    <row r="52" spans="1:18" ht="18.75" customHeight="1" x14ac:dyDescent="0.2">
      <c r="A52" s="55" t="s">
        <v>374</v>
      </c>
      <c r="B52" s="54" t="s">
        <v>155</v>
      </c>
      <c r="C52" s="34" t="s">
        <v>40</v>
      </c>
      <c r="D52" s="34">
        <v>500</v>
      </c>
      <c r="E52" s="34">
        <f>MROUND(D52-(D52*10/100),50)</f>
        <v>450</v>
      </c>
      <c r="F52" s="34">
        <f>MROUND(D52-(D52*20/100),50)</f>
        <v>400</v>
      </c>
      <c r="G52" s="34">
        <f>MROUND(D52-(D52*30/100),50)</f>
        <v>350</v>
      </c>
      <c r="H52" s="34">
        <f>MROUND(D52-(D52*10/100),50)</f>
        <v>450</v>
      </c>
      <c r="I52" s="34">
        <f>MROUND(H52-(H52*10/100),50)</f>
        <v>400</v>
      </c>
      <c r="J52" s="34">
        <f>MROUND(H52-(H52*20/100),50)</f>
        <v>350</v>
      </c>
      <c r="K52" s="34">
        <f>MROUND(H52-(H52*30/100),50)</f>
        <v>300</v>
      </c>
      <c r="L52" s="34">
        <f>MROUND(D52-(D52*20/100),50)</f>
        <v>400</v>
      </c>
      <c r="M52" s="34">
        <f>MROUND(L52-(L52*10/100),50)</f>
        <v>350</v>
      </c>
      <c r="N52" s="34">
        <f>MROUND(L52-(L52*20/100),50)</f>
        <v>300</v>
      </c>
      <c r="O52" s="34">
        <f>MROUND(L52-(L52*30/100),50)</f>
        <v>300</v>
      </c>
      <c r="P52" s="54" t="s">
        <v>10</v>
      </c>
      <c r="Q52" s="54" t="s">
        <v>524</v>
      </c>
      <c r="R52" s="82" t="s">
        <v>495</v>
      </c>
    </row>
    <row r="53" spans="1:18" ht="21.75" x14ac:dyDescent="0.2">
      <c r="A53" s="55"/>
      <c r="B53" s="54"/>
      <c r="C53" s="34" t="s">
        <v>41</v>
      </c>
      <c r="D53" s="34">
        <f>D52*50/100</f>
        <v>250</v>
      </c>
      <c r="E53" s="34">
        <f t="shared" ref="E53:N53" si="9">MROUND(E52*50/100,50)</f>
        <v>250</v>
      </c>
      <c r="F53" s="34">
        <f t="shared" si="9"/>
        <v>200</v>
      </c>
      <c r="G53" s="34">
        <f t="shared" si="9"/>
        <v>200</v>
      </c>
      <c r="H53" s="34">
        <f t="shared" si="9"/>
        <v>250</v>
      </c>
      <c r="I53" s="34">
        <f t="shared" si="9"/>
        <v>200</v>
      </c>
      <c r="J53" s="34">
        <f t="shared" si="9"/>
        <v>200</v>
      </c>
      <c r="K53" s="34">
        <f t="shared" si="9"/>
        <v>150</v>
      </c>
      <c r="L53" s="34">
        <f t="shared" si="9"/>
        <v>200</v>
      </c>
      <c r="M53" s="34">
        <f t="shared" si="9"/>
        <v>200</v>
      </c>
      <c r="N53" s="34">
        <f t="shared" si="9"/>
        <v>150</v>
      </c>
      <c r="O53" s="34">
        <f>MROUND(O52*80/100,50)</f>
        <v>250</v>
      </c>
      <c r="P53" s="54"/>
      <c r="Q53" s="54"/>
      <c r="R53" s="82"/>
    </row>
    <row r="54" spans="1:18" s="1" customFormat="1" ht="43.5" customHeight="1" x14ac:dyDescent="0.2">
      <c r="A54" s="22" t="s">
        <v>375</v>
      </c>
      <c r="B54" s="34" t="s">
        <v>172</v>
      </c>
      <c r="C54" s="34" t="s">
        <v>57</v>
      </c>
      <c r="D54" s="54">
        <v>5000</v>
      </c>
      <c r="E54" s="54">
        <f>D54-(D54*10/100)</f>
        <v>4500</v>
      </c>
      <c r="F54" s="54">
        <f>D54-(D54*20/100)</f>
        <v>4000</v>
      </c>
      <c r="G54" s="54">
        <f>D54-(D54*30/100)</f>
        <v>3500</v>
      </c>
      <c r="H54" s="54">
        <f>D54-(D54*20/100)</f>
        <v>4000</v>
      </c>
      <c r="I54" s="54"/>
      <c r="J54" s="54"/>
      <c r="K54" s="54"/>
      <c r="L54" s="54">
        <f>D54-(D54*40/100)</f>
        <v>3000</v>
      </c>
      <c r="M54" s="54"/>
      <c r="N54" s="54"/>
      <c r="O54" s="54"/>
      <c r="P54" s="34" t="s">
        <v>9</v>
      </c>
      <c r="Q54" s="34" t="s">
        <v>505</v>
      </c>
      <c r="R54" s="37" t="s">
        <v>495</v>
      </c>
    </row>
    <row r="55" spans="1:18" s="6" customFormat="1" ht="21.75" x14ac:dyDescent="0.2">
      <c r="A55" s="22" t="s">
        <v>376</v>
      </c>
      <c r="B55" s="34" t="s">
        <v>84</v>
      </c>
      <c r="C55" s="34" t="s">
        <v>57</v>
      </c>
      <c r="D55" s="54">
        <v>18000</v>
      </c>
      <c r="E55" s="54">
        <f>D55-(D55*10/100)</f>
        <v>16200</v>
      </c>
      <c r="F55" s="54">
        <f>D55-(D55*20/100)</f>
        <v>14400</v>
      </c>
      <c r="G55" s="54">
        <f>D55-(D55*30/100)</f>
        <v>12600</v>
      </c>
      <c r="H55" s="54">
        <f>D55-(D55*20/100)</f>
        <v>14400</v>
      </c>
      <c r="I55" s="54"/>
      <c r="J55" s="54"/>
      <c r="K55" s="54"/>
      <c r="L55" s="54">
        <f>D55-(D55*40/100)</f>
        <v>10800</v>
      </c>
      <c r="M55" s="54"/>
      <c r="N55" s="54"/>
      <c r="O55" s="54"/>
      <c r="P55" s="34" t="s">
        <v>9</v>
      </c>
      <c r="Q55" s="34" t="s">
        <v>53</v>
      </c>
      <c r="R55" s="37" t="s">
        <v>495</v>
      </c>
    </row>
    <row r="56" spans="1:18" s="1" customFormat="1" ht="21.75" x14ac:dyDescent="0.2">
      <c r="A56" s="22" t="s">
        <v>377</v>
      </c>
      <c r="B56" s="34" t="s">
        <v>269</v>
      </c>
      <c r="C56" s="34" t="s">
        <v>57</v>
      </c>
      <c r="D56" s="54">
        <v>10000</v>
      </c>
      <c r="E56" s="54">
        <f>D56-(D56*10/100)</f>
        <v>9000</v>
      </c>
      <c r="F56" s="54">
        <f>D56-(D56*20/100)</f>
        <v>8000</v>
      </c>
      <c r="G56" s="54">
        <f>D56-(D56*30/100)</f>
        <v>7000</v>
      </c>
      <c r="H56" s="54">
        <f>D56-(D56*20/100)</f>
        <v>8000</v>
      </c>
      <c r="I56" s="54"/>
      <c r="J56" s="54"/>
      <c r="K56" s="54"/>
      <c r="L56" s="54">
        <f>D56-(D56*40/100)</f>
        <v>6000</v>
      </c>
      <c r="M56" s="54"/>
      <c r="N56" s="54"/>
      <c r="O56" s="54"/>
      <c r="P56" s="34" t="s">
        <v>9</v>
      </c>
      <c r="Q56" s="34" t="s">
        <v>53</v>
      </c>
      <c r="R56" s="37" t="s">
        <v>495</v>
      </c>
    </row>
    <row r="57" spans="1:18" s="1" customFormat="1" ht="21.75" x14ac:dyDescent="0.2">
      <c r="A57" s="22" t="s">
        <v>378</v>
      </c>
      <c r="B57" s="34" t="s">
        <v>270</v>
      </c>
      <c r="C57" s="34" t="s">
        <v>57</v>
      </c>
      <c r="D57" s="54">
        <v>5000</v>
      </c>
      <c r="E57" s="54">
        <f>D57-(D57*10/100)</f>
        <v>4500</v>
      </c>
      <c r="F57" s="54">
        <f>D57-(D57*20/100)</f>
        <v>4000</v>
      </c>
      <c r="G57" s="54">
        <f>D57-(D57*30/100)</f>
        <v>3500</v>
      </c>
      <c r="H57" s="54">
        <f>D57-(D57*20/100)</f>
        <v>4000</v>
      </c>
      <c r="I57" s="54"/>
      <c r="J57" s="54"/>
      <c r="K57" s="54"/>
      <c r="L57" s="54">
        <f>D57-(D57*40/100)</f>
        <v>3000</v>
      </c>
      <c r="M57" s="54"/>
      <c r="N57" s="54"/>
      <c r="O57" s="54"/>
      <c r="P57" s="34" t="s">
        <v>9</v>
      </c>
      <c r="Q57" s="34" t="s">
        <v>53</v>
      </c>
      <c r="R57" s="37" t="s">
        <v>495</v>
      </c>
    </row>
    <row r="58" spans="1:18" ht="21.75" x14ac:dyDescent="0.2">
      <c r="A58" s="55" t="s">
        <v>379</v>
      </c>
      <c r="B58" s="54" t="s">
        <v>31</v>
      </c>
      <c r="C58" s="34" t="s">
        <v>40</v>
      </c>
      <c r="D58" s="34">
        <v>3000</v>
      </c>
      <c r="E58" s="34">
        <f>MROUND(D58-(D58*10/100),50)</f>
        <v>2700</v>
      </c>
      <c r="F58" s="34">
        <f>MROUND(D58-(D58*20/100),50)</f>
        <v>2400</v>
      </c>
      <c r="G58" s="34">
        <f>MROUND(D58-(D58*30/100),50)</f>
        <v>2100</v>
      </c>
      <c r="H58" s="34">
        <f>MROUND(D58-(D58*10/100),50)</f>
        <v>2700</v>
      </c>
      <c r="I58" s="34">
        <f>MROUND(H58-(H58*10/100),50)</f>
        <v>2450</v>
      </c>
      <c r="J58" s="34">
        <f>MROUND(H58-(H58*20/100),50)</f>
        <v>2150</v>
      </c>
      <c r="K58" s="34">
        <f>MROUND(H58-(H58*30/100),50)</f>
        <v>1900</v>
      </c>
      <c r="L58" s="34">
        <f>MROUND(D58-(D58*20/100),50)</f>
        <v>2400</v>
      </c>
      <c r="M58" s="34">
        <f>MROUND(L58-(L58*10/100),50)</f>
        <v>2150</v>
      </c>
      <c r="N58" s="34">
        <f>MROUND(L58-(L58*20/100),50)</f>
        <v>1900</v>
      </c>
      <c r="O58" s="34">
        <f>MROUND(L58-(L58*30/100),50)</f>
        <v>1700</v>
      </c>
      <c r="P58" s="54" t="s">
        <v>10</v>
      </c>
      <c r="Q58" s="54" t="s">
        <v>53</v>
      </c>
      <c r="R58" s="54" t="s">
        <v>495</v>
      </c>
    </row>
    <row r="59" spans="1:18" ht="21.75" x14ac:dyDescent="0.2">
      <c r="A59" s="55"/>
      <c r="B59" s="54"/>
      <c r="C59" s="34" t="s">
        <v>41</v>
      </c>
      <c r="D59" s="34">
        <f>D58*50/100</f>
        <v>1500</v>
      </c>
      <c r="E59" s="34">
        <f t="shared" ref="E59:O59" si="10">MROUND(E58*50/100,50)</f>
        <v>1350</v>
      </c>
      <c r="F59" s="34">
        <f t="shared" si="10"/>
        <v>1200</v>
      </c>
      <c r="G59" s="34">
        <f t="shared" si="10"/>
        <v>1050</v>
      </c>
      <c r="H59" s="34">
        <f t="shared" si="10"/>
        <v>1350</v>
      </c>
      <c r="I59" s="34">
        <f t="shared" si="10"/>
        <v>1250</v>
      </c>
      <c r="J59" s="34">
        <f t="shared" si="10"/>
        <v>1100</v>
      </c>
      <c r="K59" s="34">
        <f t="shared" si="10"/>
        <v>950</v>
      </c>
      <c r="L59" s="34">
        <f t="shared" si="10"/>
        <v>1200</v>
      </c>
      <c r="M59" s="34">
        <f t="shared" si="10"/>
        <v>1100</v>
      </c>
      <c r="N59" s="34">
        <f t="shared" si="10"/>
        <v>950</v>
      </c>
      <c r="O59" s="34">
        <f t="shared" si="10"/>
        <v>850</v>
      </c>
      <c r="P59" s="54"/>
      <c r="Q59" s="54"/>
      <c r="R59" s="54"/>
    </row>
    <row r="60" spans="1:18" ht="21.75" x14ac:dyDescent="0.2">
      <c r="A60" s="55" t="s">
        <v>380</v>
      </c>
      <c r="B60" s="54" t="s">
        <v>164</v>
      </c>
      <c r="C60" s="34" t="s">
        <v>40</v>
      </c>
      <c r="D60" s="34">
        <v>3000</v>
      </c>
      <c r="E60" s="34">
        <f>MROUND(D60-(D60*10/100),50)</f>
        <v>2700</v>
      </c>
      <c r="F60" s="34">
        <f>MROUND(D60-(D60*20/100),50)</f>
        <v>2400</v>
      </c>
      <c r="G60" s="34">
        <f>MROUND(D60-(D60*30/100),50)</f>
        <v>2100</v>
      </c>
      <c r="H60" s="34">
        <f>MROUND(D60-(D60*10/100),50)</f>
        <v>2700</v>
      </c>
      <c r="I60" s="34">
        <f>MROUND(H60-(H60*10/100),50)</f>
        <v>2450</v>
      </c>
      <c r="J60" s="34">
        <f>MROUND(H60-(H60*20/100),50)</f>
        <v>2150</v>
      </c>
      <c r="K60" s="34">
        <f>MROUND(H60-(H60*30/100),50)</f>
        <v>1900</v>
      </c>
      <c r="L60" s="34">
        <f>MROUND(D60-(D60*20/100),50)</f>
        <v>2400</v>
      </c>
      <c r="M60" s="34">
        <f>MROUND(L60-(L60*10/100),50)</f>
        <v>2150</v>
      </c>
      <c r="N60" s="34">
        <f>MROUND(L60-(L60*20/100),50)</f>
        <v>1900</v>
      </c>
      <c r="O60" s="34">
        <f>MROUND(L60-(L60*30/100),50)</f>
        <v>1700</v>
      </c>
      <c r="P60" s="54" t="s">
        <v>10</v>
      </c>
      <c r="Q60" s="54" t="s">
        <v>53</v>
      </c>
      <c r="R60" s="82" t="s">
        <v>495</v>
      </c>
    </row>
    <row r="61" spans="1:18" ht="21.75" x14ac:dyDescent="0.2">
      <c r="A61" s="55"/>
      <c r="B61" s="54"/>
      <c r="C61" s="34" t="s">
        <v>41</v>
      </c>
      <c r="D61" s="34">
        <f>D60*50/100</f>
        <v>1500</v>
      </c>
      <c r="E61" s="34">
        <f t="shared" ref="E61:O61" si="11">MROUND(E60*50/100,50)</f>
        <v>1350</v>
      </c>
      <c r="F61" s="34">
        <f t="shared" si="11"/>
        <v>1200</v>
      </c>
      <c r="G61" s="34">
        <f t="shared" si="11"/>
        <v>1050</v>
      </c>
      <c r="H61" s="34">
        <f t="shared" si="11"/>
        <v>1350</v>
      </c>
      <c r="I61" s="34">
        <f t="shared" si="11"/>
        <v>1250</v>
      </c>
      <c r="J61" s="34">
        <f t="shared" si="11"/>
        <v>1100</v>
      </c>
      <c r="K61" s="34">
        <f t="shared" si="11"/>
        <v>950</v>
      </c>
      <c r="L61" s="34">
        <f t="shared" si="11"/>
        <v>1200</v>
      </c>
      <c r="M61" s="34">
        <f t="shared" si="11"/>
        <v>1100</v>
      </c>
      <c r="N61" s="34">
        <f t="shared" si="11"/>
        <v>950</v>
      </c>
      <c r="O61" s="34">
        <f t="shared" si="11"/>
        <v>850</v>
      </c>
      <c r="P61" s="54"/>
      <c r="Q61" s="54"/>
      <c r="R61" s="82"/>
    </row>
    <row r="62" spans="1:18" s="14" customFormat="1" ht="43.5" x14ac:dyDescent="0.2">
      <c r="A62" s="22" t="s">
        <v>381</v>
      </c>
      <c r="B62" s="34" t="s">
        <v>271</v>
      </c>
      <c r="C62" s="34" t="s">
        <v>57</v>
      </c>
      <c r="D62" s="54">
        <v>3000</v>
      </c>
      <c r="E62" s="54"/>
      <c r="F62" s="54"/>
      <c r="G62" s="54"/>
      <c r="H62" s="54">
        <f>D62-(D62*20/100)</f>
        <v>2400</v>
      </c>
      <c r="I62" s="54"/>
      <c r="J62" s="54"/>
      <c r="K62" s="54"/>
      <c r="L62" s="54">
        <f>D62-(D62*40/100)</f>
        <v>1800</v>
      </c>
      <c r="M62" s="54"/>
      <c r="N62" s="54"/>
      <c r="O62" s="54"/>
      <c r="P62" s="34" t="s">
        <v>9</v>
      </c>
      <c r="Q62" s="34" t="s">
        <v>523</v>
      </c>
      <c r="R62" s="34" t="s">
        <v>482</v>
      </c>
    </row>
    <row r="63" spans="1:18" s="15" customFormat="1" ht="18.75" customHeight="1" x14ac:dyDescent="0.2">
      <c r="A63" s="55" t="s">
        <v>382</v>
      </c>
      <c r="B63" s="54" t="s">
        <v>140</v>
      </c>
      <c r="C63" s="34" t="s">
        <v>40</v>
      </c>
      <c r="D63" s="34">
        <v>3000</v>
      </c>
      <c r="E63" s="34">
        <f>MROUND(D63-(D63*10/100),50)</f>
        <v>2700</v>
      </c>
      <c r="F63" s="34">
        <f>MROUND(D63-(D63*20/100),50)</f>
        <v>2400</v>
      </c>
      <c r="G63" s="34">
        <f>MROUND(D63-(D63*30/100),50)</f>
        <v>2100</v>
      </c>
      <c r="H63" s="34">
        <f>MROUND(D63-(D63*10/100),50)</f>
        <v>2700</v>
      </c>
      <c r="I63" s="34">
        <f>MROUND(H63-(H63*10/100),50)</f>
        <v>2450</v>
      </c>
      <c r="J63" s="34">
        <f>MROUND(H63-(H63*20/100),50)</f>
        <v>2150</v>
      </c>
      <c r="K63" s="34">
        <f>MROUND(H63-(H63*30/100),50)</f>
        <v>1900</v>
      </c>
      <c r="L63" s="34">
        <f>MROUND(D63-(D63*20/100),50)</f>
        <v>2400</v>
      </c>
      <c r="M63" s="34">
        <f>MROUND(L63-(L63*10/100),50)</f>
        <v>2150</v>
      </c>
      <c r="N63" s="34">
        <f>MROUND(L63-(L63*20/100),50)</f>
        <v>1900</v>
      </c>
      <c r="O63" s="34">
        <f>MROUND(L63-(L63*30/100),50)</f>
        <v>1700</v>
      </c>
      <c r="P63" s="54" t="s">
        <v>10</v>
      </c>
      <c r="Q63" s="54" t="s">
        <v>53</v>
      </c>
      <c r="R63" s="71" t="s">
        <v>501</v>
      </c>
    </row>
    <row r="64" spans="1:18" s="15" customFormat="1" ht="21.75" x14ac:dyDescent="0.2">
      <c r="A64" s="55"/>
      <c r="B64" s="54"/>
      <c r="C64" s="34" t="s">
        <v>41</v>
      </c>
      <c r="D64" s="34">
        <f>D63*50/100</f>
        <v>1500</v>
      </c>
      <c r="E64" s="34">
        <f t="shared" ref="E64:O64" si="12">MROUND(E63*50/100,50)</f>
        <v>1350</v>
      </c>
      <c r="F64" s="34">
        <f t="shared" si="12"/>
        <v>1200</v>
      </c>
      <c r="G64" s="34">
        <f t="shared" si="12"/>
        <v>1050</v>
      </c>
      <c r="H64" s="34">
        <f t="shared" si="12"/>
        <v>1350</v>
      </c>
      <c r="I64" s="34">
        <f t="shared" si="12"/>
        <v>1250</v>
      </c>
      <c r="J64" s="34">
        <f t="shared" si="12"/>
        <v>1100</v>
      </c>
      <c r="K64" s="34">
        <f t="shared" si="12"/>
        <v>950</v>
      </c>
      <c r="L64" s="34">
        <f t="shared" si="12"/>
        <v>1200</v>
      </c>
      <c r="M64" s="34">
        <f t="shared" si="12"/>
        <v>1100</v>
      </c>
      <c r="N64" s="34">
        <f t="shared" si="12"/>
        <v>950</v>
      </c>
      <c r="O64" s="34">
        <f t="shared" si="12"/>
        <v>850</v>
      </c>
      <c r="P64" s="54"/>
      <c r="Q64" s="54" t="s">
        <v>53</v>
      </c>
      <c r="R64" s="72"/>
    </row>
    <row r="65" spans="1:18" s="1" customFormat="1" ht="18" customHeight="1" x14ac:dyDescent="0.2">
      <c r="A65" s="55" t="s">
        <v>383</v>
      </c>
      <c r="B65" s="54" t="s">
        <v>112</v>
      </c>
      <c r="C65" s="34" t="s">
        <v>40</v>
      </c>
      <c r="D65" s="34">
        <v>2000</v>
      </c>
      <c r="E65" s="34">
        <f>MROUND(D65-(D65*10/100),50)</f>
        <v>1800</v>
      </c>
      <c r="F65" s="34">
        <f>MROUND(D65-(D65*20/100),50)</f>
        <v>1600</v>
      </c>
      <c r="G65" s="34">
        <f>MROUND(D65-(D65*30/100),50)</f>
        <v>1400</v>
      </c>
      <c r="H65" s="34">
        <f>MROUND(D65-(D65*10/100),50)</f>
        <v>1800</v>
      </c>
      <c r="I65" s="34">
        <f>MROUND(H65-(H65*10/100),50)</f>
        <v>1600</v>
      </c>
      <c r="J65" s="34">
        <f>MROUND(H65-(H65*20/100),50)</f>
        <v>1450</v>
      </c>
      <c r="K65" s="34">
        <f>MROUND(H65-(H65*30/100),50)</f>
        <v>1250</v>
      </c>
      <c r="L65" s="34">
        <f>MROUND(D65-(D65*20/100),50)</f>
        <v>1600</v>
      </c>
      <c r="M65" s="34">
        <f>MROUND(L65-(L65*10/100),50)</f>
        <v>1450</v>
      </c>
      <c r="N65" s="34">
        <f>MROUND(L65-(L65*20/100),50)</f>
        <v>1300</v>
      </c>
      <c r="O65" s="34">
        <f>MROUND(L65-(L65*30/100),50)</f>
        <v>1100</v>
      </c>
      <c r="P65" s="54" t="s">
        <v>10</v>
      </c>
      <c r="Q65" s="54" t="s">
        <v>241</v>
      </c>
      <c r="R65" s="71" t="s">
        <v>495</v>
      </c>
    </row>
    <row r="66" spans="1:18" s="1" customFormat="1" ht="18" customHeight="1" x14ac:dyDescent="0.2">
      <c r="A66" s="55"/>
      <c r="B66" s="54"/>
      <c r="C66" s="34" t="s">
        <v>41</v>
      </c>
      <c r="D66" s="34">
        <f>D65*50/100</f>
        <v>1000</v>
      </c>
      <c r="E66" s="34">
        <f t="shared" ref="E66:O66" si="13">MROUND(E65*50/100,50)</f>
        <v>900</v>
      </c>
      <c r="F66" s="34">
        <f t="shared" si="13"/>
        <v>800</v>
      </c>
      <c r="G66" s="34">
        <f t="shared" si="13"/>
        <v>700</v>
      </c>
      <c r="H66" s="34">
        <f t="shared" si="13"/>
        <v>900</v>
      </c>
      <c r="I66" s="34">
        <f t="shared" si="13"/>
        <v>800</v>
      </c>
      <c r="J66" s="34">
        <f t="shared" si="13"/>
        <v>750</v>
      </c>
      <c r="K66" s="34">
        <f t="shared" si="13"/>
        <v>650</v>
      </c>
      <c r="L66" s="34">
        <f t="shared" si="13"/>
        <v>800</v>
      </c>
      <c r="M66" s="34">
        <f t="shared" si="13"/>
        <v>750</v>
      </c>
      <c r="N66" s="34">
        <f t="shared" si="13"/>
        <v>650</v>
      </c>
      <c r="O66" s="34">
        <f t="shared" si="13"/>
        <v>550</v>
      </c>
      <c r="P66" s="54"/>
      <c r="Q66" s="54"/>
      <c r="R66" s="72"/>
    </row>
    <row r="67" spans="1:18" s="8" customFormat="1" ht="21.75" customHeight="1" x14ac:dyDescent="0.2">
      <c r="A67" s="55" t="s">
        <v>384</v>
      </c>
      <c r="B67" s="54" t="s">
        <v>116</v>
      </c>
      <c r="C67" s="34" t="s">
        <v>40</v>
      </c>
      <c r="D67" s="34">
        <v>5000</v>
      </c>
      <c r="E67" s="34">
        <f>MROUND(D67-(D67*10/100),50)</f>
        <v>4500</v>
      </c>
      <c r="F67" s="34">
        <f>MROUND(D67-(D67*20/100),50)</f>
        <v>4000</v>
      </c>
      <c r="G67" s="34">
        <f>MROUND(D67-(D67*30/100),50)</f>
        <v>3500</v>
      </c>
      <c r="H67" s="34">
        <f>MROUND(D67-(D67*10/100),50)</f>
        <v>4500</v>
      </c>
      <c r="I67" s="34">
        <f>MROUND(H67-(H67*10/100),50)</f>
        <v>4050</v>
      </c>
      <c r="J67" s="34">
        <f>MROUND(H67-(H67*20/100),50)</f>
        <v>3600</v>
      </c>
      <c r="K67" s="34">
        <f>MROUND(H67-(H67*30/100),50)</f>
        <v>3150</v>
      </c>
      <c r="L67" s="34">
        <f>MROUND(D67-(D67*20/100),50)</f>
        <v>4000</v>
      </c>
      <c r="M67" s="34">
        <f>MROUND(L67-(L67*10/100),50)</f>
        <v>3600</v>
      </c>
      <c r="N67" s="34">
        <f>MROUND(L67-(L67*20/100),50)</f>
        <v>3200</v>
      </c>
      <c r="O67" s="34">
        <f>MROUND(L67-(L67*30/100),50)</f>
        <v>2800</v>
      </c>
      <c r="P67" s="54" t="s">
        <v>10</v>
      </c>
      <c r="Q67" s="54" t="s">
        <v>241</v>
      </c>
      <c r="R67" s="54" t="s">
        <v>481</v>
      </c>
    </row>
    <row r="68" spans="1:18" s="8" customFormat="1" ht="21.75" x14ac:dyDescent="0.2">
      <c r="A68" s="55"/>
      <c r="B68" s="54"/>
      <c r="C68" s="34" t="s">
        <v>41</v>
      </c>
      <c r="D68" s="34">
        <f>D67*50/100</f>
        <v>2500</v>
      </c>
      <c r="E68" s="34">
        <f t="shared" ref="E68:O68" si="14">MROUND(E67*50/100,50)</f>
        <v>2250</v>
      </c>
      <c r="F68" s="34">
        <f t="shared" si="14"/>
        <v>2000</v>
      </c>
      <c r="G68" s="34">
        <f t="shared" si="14"/>
        <v>1750</v>
      </c>
      <c r="H68" s="34">
        <f t="shared" si="14"/>
        <v>2250</v>
      </c>
      <c r="I68" s="34">
        <f t="shared" si="14"/>
        <v>2050</v>
      </c>
      <c r="J68" s="34">
        <f t="shared" si="14"/>
        <v>1800</v>
      </c>
      <c r="K68" s="34">
        <f t="shared" si="14"/>
        <v>1600</v>
      </c>
      <c r="L68" s="34">
        <f t="shared" si="14"/>
        <v>2000</v>
      </c>
      <c r="M68" s="34">
        <f t="shared" si="14"/>
        <v>1800</v>
      </c>
      <c r="N68" s="34">
        <f t="shared" si="14"/>
        <v>1600</v>
      </c>
      <c r="O68" s="34">
        <f t="shared" si="14"/>
        <v>1400</v>
      </c>
      <c r="P68" s="54"/>
      <c r="Q68" s="54"/>
      <c r="R68" s="54"/>
    </row>
    <row r="69" spans="1:18" s="1" customFormat="1" ht="43.5" x14ac:dyDescent="0.2">
      <c r="A69" s="22" t="s">
        <v>385</v>
      </c>
      <c r="B69" s="34" t="s">
        <v>111</v>
      </c>
      <c r="C69" s="34" t="s">
        <v>57</v>
      </c>
      <c r="D69" s="54">
        <v>3000</v>
      </c>
      <c r="E69" s="54"/>
      <c r="F69" s="54"/>
      <c r="G69" s="54"/>
      <c r="H69" s="54">
        <f>D69-(D69*20/100)</f>
        <v>2400</v>
      </c>
      <c r="I69" s="54"/>
      <c r="J69" s="54"/>
      <c r="K69" s="54"/>
      <c r="L69" s="54">
        <f>D69-(D69*40/100)</f>
        <v>1800</v>
      </c>
      <c r="M69" s="54"/>
      <c r="N69" s="54"/>
      <c r="O69" s="54"/>
      <c r="P69" s="34" t="s">
        <v>9</v>
      </c>
      <c r="Q69" s="34" t="s">
        <v>279</v>
      </c>
      <c r="R69" s="34" t="s">
        <v>495</v>
      </c>
    </row>
    <row r="70" spans="1:18" ht="18.75" customHeight="1" x14ac:dyDescent="0.2">
      <c r="A70" s="55" t="s">
        <v>386</v>
      </c>
      <c r="B70" s="54" t="s">
        <v>109</v>
      </c>
      <c r="C70" s="34" t="s">
        <v>40</v>
      </c>
      <c r="D70" s="34">
        <v>2000</v>
      </c>
      <c r="E70" s="34">
        <f>MROUND(D70-(D70*10/100),50)</f>
        <v>1800</v>
      </c>
      <c r="F70" s="34">
        <f>MROUND(D70-(D70*20/100),50)</f>
        <v>1600</v>
      </c>
      <c r="G70" s="34">
        <f>MROUND(D70-(D70*30/100),50)</f>
        <v>1400</v>
      </c>
      <c r="H70" s="34">
        <f>MROUND(D70-(D70*10/100),50)</f>
        <v>1800</v>
      </c>
      <c r="I70" s="34">
        <f>MROUND(H70-(H70*10/100),50)</f>
        <v>1600</v>
      </c>
      <c r="J70" s="34">
        <f>MROUND(H70-(H70*20/100),50)</f>
        <v>1450</v>
      </c>
      <c r="K70" s="34">
        <f>MROUND(H70-(H70*30/100),50)</f>
        <v>1250</v>
      </c>
      <c r="L70" s="34">
        <f>MROUND(D70-(D70*20/100),50)</f>
        <v>1600</v>
      </c>
      <c r="M70" s="34">
        <f>MROUND(L70-(L70*10/100),50)</f>
        <v>1450</v>
      </c>
      <c r="N70" s="34">
        <f>MROUND(L70-(L70*20/100),50)</f>
        <v>1300</v>
      </c>
      <c r="O70" s="34">
        <f>MROUND(L70-(L70*30/100),50)</f>
        <v>1100</v>
      </c>
      <c r="P70" s="54" t="s">
        <v>10</v>
      </c>
      <c r="Q70" s="54" t="s">
        <v>241</v>
      </c>
      <c r="R70" s="77" t="s">
        <v>486</v>
      </c>
    </row>
    <row r="71" spans="1:18" ht="21.75" x14ac:dyDescent="0.2">
      <c r="A71" s="55"/>
      <c r="B71" s="54"/>
      <c r="C71" s="34" t="s">
        <v>41</v>
      </c>
      <c r="D71" s="34">
        <f>D70*50/100</f>
        <v>1000</v>
      </c>
      <c r="E71" s="34">
        <f t="shared" ref="E71:O71" si="15">MROUND(E70*50/100,50)</f>
        <v>900</v>
      </c>
      <c r="F71" s="34">
        <f t="shared" si="15"/>
        <v>800</v>
      </c>
      <c r="G71" s="34">
        <f t="shared" si="15"/>
        <v>700</v>
      </c>
      <c r="H71" s="34">
        <f t="shared" si="15"/>
        <v>900</v>
      </c>
      <c r="I71" s="34">
        <f t="shared" si="15"/>
        <v>800</v>
      </c>
      <c r="J71" s="34">
        <f t="shared" si="15"/>
        <v>750</v>
      </c>
      <c r="K71" s="34">
        <f t="shared" si="15"/>
        <v>650</v>
      </c>
      <c r="L71" s="34">
        <f t="shared" si="15"/>
        <v>800</v>
      </c>
      <c r="M71" s="34">
        <f t="shared" si="15"/>
        <v>750</v>
      </c>
      <c r="N71" s="34">
        <f t="shared" si="15"/>
        <v>650</v>
      </c>
      <c r="O71" s="34">
        <f t="shared" si="15"/>
        <v>550</v>
      </c>
      <c r="P71" s="54"/>
      <c r="Q71" s="54"/>
      <c r="R71" s="72"/>
    </row>
    <row r="72" spans="1:18" ht="21.75" customHeight="1" x14ac:dyDescent="0.2">
      <c r="A72" s="55" t="s">
        <v>387</v>
      </c>
      <c r="B72" s="54" t="s">
        <v>110</v>
      </c>
      <c r="C72" s="34" t="s">
        <v>40</v>
      </c>
      <c r="D72" s="34">
        <v>1000</v>
      </c>
      <c r="E72" s="34">
        <f>MROUND(D72-(D72*10/100),50)</f>
        <v>900</v>
      </c>
      <c r="F72" s="34">
        <f>MROUND(D72-(D72*20/100),50)</f>
        <v>800</v>
      </c>
      <c r="G72" s="34">
        <f>MROUND(D72-(D72*30/100),50)</f>
        <v>700</v>
      </c>
      <c r="H72" s="34">
        <f>MROUND(D72-(D72*10/100),50)</f>
        <v>900</v>
      </c>
      <c r="I72" s="34">
        <f>MROUND(H72-(H72*10/100),50)</f>
        <v>800</v>
      </c>
      <c r="J72" s="34">
        <f>MROUND(H72-(H72*20/100),50)</f>
        <v>700</v>
      </c>
      <c r="K72" s="34">
        <f>MROUND(H72-(H72*30/100),50)</f>
        <v>650</v>
      </c>
      <c r="L72" s="34">
        <f>MROUND(D72-(D72*20/100),50)</f>
        <v>800</v>
      </c>
      <c r="M72" s="34">
        <f>MROUND(L72-(L72*10/100),50)</f>
        <v>700</v>
      </c>
      <c r="N72" s="34">
        <f>MROUND(L72-(L72*20/100),50)</f>
        <v>650</v>
      </c>
      <c r="O72" s="34">
        <f>MROUND(L72-(L72*30/100),50)</f>
        <v>550</v>
      </c>
      <c r="P72" s="54" t="s">
        <v>10</v>
      </c>
      <c r="Q72" s="54" t="s">
        <v>241</v>
      </c>
      <c r="R72" s="54" t="s">
        <v>482</v>
      </c>
    </row>
    <row r="73" spans="1:18" ht="21.75" x14ac:dyDescent="0.2">
      <c r="A73" s="55"/>
      <c r="B73" s="54"/>
      <c r="C73" s="34" t="s">
        <v>41</v>
      </c>
      <c r="D73" s="34">
        <f>D72*80/100</f>
        <v>800</v>
      </c>
      <c r="E73" s="34">
        <f t="shared" ref="E73:O73" si="16">MROUND(E72*80/100,50)</f>
        <v>700</v>
      </c>
      <c r="F73" s="34">
        <f t="shared" si="16"/>
        <v>650</v>
      </c>
      <c r="G73" s="34">
        <f t="shared" si="16"/>
        <v>550</v>
      </c>
      <c r="H73" s="34">
        <f t="shared" si="16"/>
        <v>700</v>
      </c>
      <c r="I73" s="34">
        <f t="shared" si="16"/>
        <v>650</v>
      </c>
      <c r="J73" s="34">
        <f t="shared" si="16"/>
        <v>550</v>
      </c>
      <c r="K73" s="34">
        <f t="shared" si="16"/>
        <v>500</v>
      </c>
      <c r="L73" s="34">
        <f t="shared" si="16"/>
        <v>650</v>
      </c>
      <c r="M73" s="34">
        <f t="shared" si="16"/>
        <v>550</v>
      </c>
      <c r="N73" s="34">
        <f t="shared" si="16"/>
        <v>500</v>
      </c>
      <c r="O73" s="34">
        <f t="shared" si="16"/>
        <v>450</v>
      </c>
      <c r="P73" s="54"/>
      <c r="Q73" s="54"/>
      <c r="R73" s="54"/>
    </row>
    <row r="74" spans="1:18" s="8" customFormat="1" ht="24.75" customHeight="1" x14ac:dyDescent="0.2">
      <c r="A74" s="55" t="s">
        <v>388</v>
      </c>
      <c r="B74" s="54" t="s">
        <v>114</v>
      </c>
      <c r="C74" s="34" t="s">
        <v>40</v>
      </c>
      <c r="D74" s="34">
        <v>2000</v>
      </c>
      <c r="E74" s="34">
        <f>MROUND(D74-(D74*10/100),50)</f>
        <v>1800</v>
      </c>
      <c r="F74" s="34">
        <f>MROUND(D74-(D74*20/100),50)</f>
        <v>1600</v>
      </c>
      <c r="G74" s="34">
        <f>MROUND(D74-(D74*30/100),50)</f>
        <v>1400</v>
      </c>
      <c r="H74" s="34">
        <f>MROUND(D74-(D74*10/100),50)</f>
        <v>1800</v>
      </c>
      <c r="I74" s="34">
        <f>MROUND(H74-(H74*10/100),50)</f>
        <v>1600</v>
      </c>
      <c r="J74" s="34">
        <f>MROUND(H74-(H74*20/100),50)</f>
        <v>1450</v>
      </c>
      <c r="K74" s="34">
        <f>MROUND(H74-(H74*30/100),50)</f>
        <v>1250</v>
      </c>
      <c r="L74" s="34">
        <f>MROUND(D74-(D74*20/100),50)</f>
        <v>1600</v>
      </c>
      <c r="M74" s="34">
        <f>MROUND(L74-(L74*10/100),50)</f>
        <v>1450</v>
      </c>
      <c r="N74" s="34">
        <f>MROUND(L74-(L74*20/100),50)</f>
        <v>1300</v>
      </c>
      <c r="O74" s="34">
        <f>MROUND(L74-(L74*30/100),50)</f>
        <v>1100</v>
      </c>
      <c r="P74" s="54" t="s">
        <v>10</v>
      </c>
      <c r="Q74" s="54" t="s">
        <v>241</v>
      </c>
      <c r="R74" s="54" t="s">
        <v>502</v>
      </c>
    </row>
    <row r="75" spans="1:18" s="8" customFormat="1" ht="25.5" customHeight="1" x14ac:dyDescent="0.2">
      <c r="A75" s="55"/>
      <c r="B75" s="54"/>
      <c r="C75" s="34" t="s">
        <v>41</v>
      </c>
      <c r="D75" s="34">
        <f>D74*50/100</f>
        <v>1000</v>
      </c>
      <c r="E75" s="34">
        <f t="shared" ref="E75:O75" si="17">MROUND(E74*50/100,50)</f>
        <v>900</v>
      </c>
      <c r="F75" s="34">
        <f t="shared" si="17"/>
        <v>800</v>
      </c>
      <c r="G75" s="34">
        <f t="shared" si="17"/>
        <v>700</v>
      </c>
      <c r="H75" s="34">
        <f t="shared" si="17"/>
        <v>900</v>
      </c>
      <c r="I75" s="34">
        <f t="shared" si="17"/>
        <v>800</v>
      </c>
      <c r="J75" s="34">
        <f t="shared" si="17"/>
        <v>750</v>
      </c>
      <c r="K75" s="34">
        <f t="shared" si="17"/>
        <v>650</v>
      </c>
      <c r="L75" s="34">
        <f t="shared" si="17"/>
        <v>800</v>
      </c>
      <c r="M75" s="34">
        <f t="shared" si="17"/>
        <v>750</v>
      </c>
      <c r="N75" s="34">
        <f t="shared" si="17"/>
        <v>650</v>
      </c>
      <c r="O75" s="34">
        <f t="shared" si="17"/>
        <v>550</v>
      </c>
      <c r="P75" s="54"/>
      <c r="Q75" s="54"/>
      <c r="R75" s="54"/>
    </row>
    <row r="76" spans="1:18" ht="33.75" customHeight="1" x14ac:dyDescent="0.2">
      <c r="A76" s="22" t="s">
        <v>389</v>
      </c>
      <c r="B76" s="34" t="s">
        <v>273</v>
      </c>
      <c r="C76" s="34" t="s">
        <v>57</v>
      </c>
      <c r="D76" s="54">
        <v>5000</v>
      </c>
      <c r="E76" s="54"/>
      <c r="F76" s="54"/>
      <c r="G76" s="54"/>
      <c r="H76" s="54">
        <f>D76-(D76*20/100)</f>
        <v>4000</v>
      </c>
      <c r="I76" s="54"/>
      <c r="J76" s="54"/>
      <c r="K76" s="54"/>
      <c r="L76" s="54">
        <f>D76-(D76*40/100)</f>
        <v>3000</v>
      </c>
      <c r="M76" s="54"/>
      <c r="N76" s="54"/>
      <c r="O76" s="54"/>
      <c r="P76" s="34" t="s">
        <v>9</v>
      </c>
      <c r="Q76" s="34" t="s">
        <v>53</v>
      </c>
      <c r="R76" s="34" t="s">
        <v>495</v>
      </c>
    </row>
    <row r="77" spans="1:18" ht="23.25" customHeight="1" x14ac:dyDescent="0.2">
      <c r="A77" s="83" t="s">
        <v>165</v>
      </c>
      <c r="B77" s="83"/>
      <c r="C77" s="83"/>
      <c r="D77" s="83"/>
      <c r="E77" s="83"/>
      <c r="F77" s="83"/>
      <c r="G77" s="83"/>
      <c r="H77" s="83"/>
      <c r="I77" s="83"/>
      <c r="J77" s="83"/>
      <c r="K77" s="83"/>
      <c r="L77" s="83"/>
      <c r="M77" s="83"/>
      <c r="N77" s="83"/>
      <c r="O77" s="83"/>
      <c r="P77" s="83"/>
      <c r="Q77" s="83"/>
      <c r="R77" s="83"/>
    </row>
    <row r="78" spans="1:18" ht="21.75" x14ac:dyDescent="0.2">
      <c r="A78" s="35" t="s">
        <v>184</v>
      </c>
      <c r="B78" s="34" t="s">
        <v>32</v>
      </c>
      <c r="C78" s="34" t="s">
        <v>48</v>
      </c>
      <c r="D78" s="54">
        <v>13000</v>
      </c>
      <c r="E78" s="54"/>
      <c r="F78" s="54"/>
      <c r="G78" s="54"/>
      <c r="H78" s="54">
        <f t="shared" ref="H78:H84" si="18">D78-(D78*20/100)</f>
        <v>10400</v>
      </c>
      <c r="I78" s="54"/>
      <c r="J78" s="54"/>
      <c r="K78" s="54"/>
      <c r="L78" s="54">
        <f t="shared" ref="L78:L84" si="19">D78-(D78*40/100)</f>
        <v>7800</v>
      </c>
      <c r="M78" s="54"/>
      <c r="N78" s="54"/>
      <c r="O78" s="54"/>
      <c r="P78" s="34" t="s">
        <v>9</v>
      </c>
      <c r="Q78" s="34" t="s">
        <v>53</v>
      </c>
      <c r="R78" s="34" t="s">
        <v>495</v>
      </c>
    </row>
    <row r="79" spans="1:18" ht="21.75" x14ac:dyDescent="0.2">
      <c r="A79" s="22" t="s">
        <v>201</v>
      </c>
      <c r="B79" s="34" t="s">
        <v>74</v>
      </c>
      <c r="C79" s="34" t="s">
        <v>57</v>
      </c>
      <c r="D79" s="54">
        <v>4000</v>
      </c>
      <c r="E79" s="54"/>
      <c r="F79" s="54"/>
      <c r="G79" s="54"/>
      <c r="H79" s="54">
        <f t="shared" si="18"/>
        <v>3200</v>
      </c>
      <c r="I79" s="54"/>
      <c r="J79" s="54"/>
      <c r="K79" s="54"/>
      <c r="L79" s="54">
        <f t="shared" si="19"/>
        <v>2400</v>
      </c>
      <c r="M79" s="54"/>
      <c r="N79" s="54"/>
      <c r="O79" s="54"/>
      <c r="P79" s="34" t="s">
        <v>9</v>
      </c>
      <c r="Q79" s="34" t="s">
        <v>53</v>
      </c>
      <c r="R79" s="34" t="s">
        <v>495</v>
      </c>
    </row>
    <row r="80" spans="1:18" ht="21.75" x14ac:dyDescent="0.2">
      <c r="A80" s="35" t="s">
        <v>217</v>
      </c>
      <c r="B80" s="34" t="s">
        <v>80</v>
      </c>
      <c r="C80" s="34" t="s">
        <v>48</v>
      </c>
      <c r="D80" s="54">
        <v>9000</v>
      </c>
      <c r="E80" s="54"/>
      <c r="F80" s="54"/>
      <c r="G80" s="54"/>
      <c r="H80" s="54">
        <f t="shared" si="18"/>
        <v>7200</v>
      </c>
      <c r="I80" s="54"/>
      <c r="J80" s="54"/>
      <c r="K80" s="54"/>
      <c r="L80" s="54">
        <f t="shared" si="19"/>
        <v>5400</v>
      </c>
      <c r="M80" s="54"/>
      <c r="N80" s="54"/>
      <c r="O80" s="54"/>
      <c r="P80" s="34" t="s">
        <v>9</v>
      </c>
      <c r="Q80" s="34" t="s">
        <v>53</v>
      </c>
      <c r="R80" s="34" t="s">
        <v>495</v>
      </c>
    </row>
    <row r="81" spans="1:18" ht="43.5" x14ac:dyDescent="0.2">
      <c r="A81" s="35" t="s">
        <v>230</v>
      </c>
      <c r="B81" s="34" t="s">
        <v>166</v>
      </c>
      <c r="C81" s="34" t="s">
        <v>57</v>
      </c>
      <c r="D81" s="54">
        <v>9000</v>
      </c>
      <c r="E81" s="54"/>
      <c r="F81" s="54"/>
      <c r="G81" s="54"/>
      <c r="H81" s="54">
        <f t="shared" si="18"/>
        <v>7200</v>
      </c>
      <c r="I81" s="54"/>
      <c r="J81" s="54"/>
      <c r="K81" s="54"/>
      <c r="L81" s="54">
        <f t="shared" si="19"/>
        <v>5400</v>
      </c>
      <c r="M81" s="54"/>
      <c r="N81" s="54"/>
      <c r="O81" s="54"/>
      <c r="P81" s="34" t="s">
        <v>9</v>
      </c>
      <c r="Q81" s="34" t="s">
        <v>53</v>
      </c>
      <c r="R81" s="34" t="s">
        <v>495</v>
      </c>
    </row>
    <row r="82" spans="1:18" s="5" customFormat="1" ht="21.75" x14ac:dyDescent="0.2">
      <c r="A82" s="35" t="s">
        <v>390</v>
      </c>
      <c r="B82" s="34" t="s">
        <v>167</v>
      </c>
      <c r="C82" s="34" t="s">
        <v>57</v>
      </c>
      <c r="D82" s="54">
        <v>5000</v>
      </c>
      <c r="E82" s="54"/>
      <c r="F82" s="54"/>
      <c r="G82" s="54"/>
      <c r="H82" s="54">
        <f t="shared" si="18"/>
        <v>4000</v>
      </c>
      <c r="I82" s="54"/>
      <c r="J82" s="54"/>
      <c r="K82" s="54"/>
      <c r="L82" s="54">
        <f t="shared" si="19"/>
        <v>3000</v>
      </c>
      <c r="M82" s="54"/>
      <c r="N82" s="54"/>
      <c r="O82" s="54"/>
      <c r="P82" s="34" t="s">
        <v>9</v>
      </c>
      <c r="Q82" s="34" t="s">
        <v>53</v>
      </c>
      <c r="R82" s="34" t="s">
        <v>495</v>
      </c>
    </row>
    <row r="83" spans="1:18" ht="21.75" x14ac:dyDescent="0.2">
      <c r="A83" s="35" t="s">
        <v>391</v>
      </c>
      <c r="B83" s="34" t="s">
        <v>102</v>
      </c>
      <c r="C83" s="21" t="s">
        <v>48</v>
      </c>
      <c r="D83" s="54">
        <v>5000</v>
      </c>
      <c r="E83" s="54"/>
      <c r="F83" s="54"/>
      <c r="G83" s="54"/>
      <c r="H83" s="54">
        <f t="shared" si="18"/>
        <v>4000</v>
      </c>
      <c r="I83" s="54"/>
      <c r="J83" s="54"/>
      <c r="K83" s="54"/>
      <c r="L83" s="54">
        <f t="shared" si="19"/>
        <v>3000</v>
      </c>
      <c r="M83" s="54"/>
      <c r="N83" s="54"/>
      <c r="O83" s="54"/>
      <c r="P83" s="34" t="s">
        <v>9</v>
      </c>
      <c r="Q83" s="34" t="s">
        <v>53</v>
      </c>
      <c r="R83" s="34" t="s">
        <v>495</v>
      </c>
    </row>
    <row r="84" spans="1:18" ht="43.5" x14ac:dyDescent="0.2">
      <c r="A84" s="35" t="s">
        <v>392</v>
      </c>
      <c r="B84" s="34" t="s">
        <v>66</v>
      </c>
      <c r="C84" s="34" t="s">
        <v>57</v>
      </c>
      <c r="D84" s="54">
        <v>1000</v>
      </c>
      <c r="E84" s="54"/>
      <c r="F84" s="54"/>
      <c r="G84" s="54"/>
      <c r="H84" s="54">
        <f t="shared" si="18"/>
        <v>800</v>
      </c>
      <c r="I84" s="54"/>
      <c r="J84" s="54"/>
      <c r="K84" s="54"/>
      <c r="L84" s="54">
        <f t="shared" si="19"/>
        <v>600</v>
      </c>
      <c r="M84" s="54"/>
      <c r="N84" s="54"/>
      <c r="O84" s="54"/>
      <c r="P84" s="34" t="s">
        <v>9</v>
      </c>
      <c r="Q84" s="34" t="s">
        <v>278</v>
      </c>
      <c r="R84" s="34" t="s">
        <v>495</v>
      </c>
    </row>
    <row r="85" spans="1:18" ht="21.75" x14ac:dyDescent="0.2">
      <c r="A85" s="55" t="s">
        <v>393</v>
      </c>
      <c r="B85" s="54" t="s">
        <v>60</v>
      </c>
      <c r="C85" s="34" t="s">
        <v>40</v>
      </c>
      <c r="D85" s="34">
        <v>500</v>
      </c>
      <c r="E85" s="34">
        <f>MROUND(D85-(D85*10/100),50)</f>
        <v>450</v>
      </c>
      <c r="F85" s="34">
        <f>MROUND(D85-(D85*20/100),50)</f>
        <v>400</v>
      </c>
      <c r="G85" s="34">
        <f>MROUND(D85-(D85*30/100),50)</f>
        <v>350</v>
      </c>
      <c r="H85" s="34">
        <f>MROUND(D85-(D85*10/100),50)</f>
        <v>450</v>
      </c>
      <c r="I85" s="34">
        <f>MROUND(H85-(H85*10/100),50)</f>
        <v>400</v>
      </c>
      <c r="J85" s="34">
        <f>MROUND(H85-(H85*20/100),50)</f>
        <v>350</v>
      </c>
      <c r="K85" s="34">
        <f>MROUND(H85-(H85*30/100),50)</f>
        <v>300</v>
      </c>
      <c r="L85" s="34">
        <f>MROUND(D85-(D85*20/100),50)</f>
        <v>400</v>
      </c>
      <c r="M85" s="34">
        <f>MROUND(L85-(L85*10/100),50)</f>
        <v>350</v>
      </c>
      <c r="N85" s="34">
        <f>MROUND(L85-(L85*20/100),50)</f>
        <v>300</v>
      </c>
      <c r="O85" s="34">
        <f>MROUND(L85-(L85*30/100),50)</f>
        <v>300</v>
      </c>
      <c r="P85" s="54" t="s">
        <v>10</v>
      </c>
      <c r="Q85" s="54" t="s">
        <v>278</v>
      </c>
      <c r="R85" s="34" t="s">
        <v>495</v>
      </c>
    </row>
    <row r="86" spans="1:18" s="8" customFormat="1" ht="21.75" x14ac:dyDescent="0.2">
      <c r="A86" s="55"/>
      <c r="B86" s="54"/>
      <c r="C86" s="34" t="s">
        <v>41</v>
      </c>
      <c r="D86" s="34">
        <f>D85*50/100</f>
        <v>250</v>
      </c>
      <c r="E86" s="34">
        <f t="shared" ref="E86:O86" si="20">MROUND(E85*50/100,50)</f>
        <v>250</v>
      </c>
      <c r="F86" s="34">
        <f t="shared" si="20"/>
        <v>200</v>
      </c>
      <c r="G86" s="34">
        <f t="shared" si="20"/>
        <v>200</v>
      </c>
      <c r="H86" s="34">
        <f t="shared" si="20"/>
        <v>250</v>
      </c>
      <c r="I86" s="34">
        <f t="shared" si="20"/>
        <v>200</v>
      </c>
      <c r="J86" s="34">
        <f t="shared" si="20"/>
        <v>200</v>
      </c>
      <c r="K86" s="34">
        <f t="shared" si="20"/>
        <v>150</v>
      </c>
      <c r="L86" s="34">
        <f t="shared" si="20"/>
        <v>200</v>
      </c>
      <c r="M86" s="34">
        <f t="shared" si="20"/>
        <v>200</v>
      </c>
      <c r="N86" s="34">
        <f t="shared" si="20"/>
        <v>150</v>
      </c>
      <c r="O86" s="34">
        <f t="shared" si="20"/>
        <v>150</v>
      </c>
      <c r="P86" s="54"/>
      <c r="Q86" s="54"/>
      <c r="R86" s="34" t="s">
        <v>495</v>
      </c>
    </row>
    <row r="87" spans="1:18" s="19" customFormat="1" ht="21.75" x14ac:dyDescent="0.2">
      <c r="A87" s="35" t="s">
        <v>399</v>
      </c>
      <c r="B87" s="34" t="s">
        <v>67</v>
      </c>
      <c r="C87" s="34" t="s">
        <v>48</v>
      </c>
      <c r="D87" s="54">
        <v>1000</v>
      </c>
      <c r="E87" s="54"/>
      <c r="F87" s="54"/>
      <c r="G87" s="54"/>
      <c r="H87" s="54">
        <f>D87-(D87*20/100)</f>
        <v>800</v>
      </c>
      <c r="I87" s="54"/>
      <c r="J87" s="54"/>
      <c r="K87" s="54"/>
      <c r="L87" s="54">
        <f>D87-(D87*40/100)</f>
        <v>600</v>
      </c>
      <c r="M87" s="54"/>
      <c r="N87" s="54"/>
      <c r="O87" s="54"/>
      <c r="P87" s="34" t="s">
        <v>50</v>
      </c>
      <c r="Q87" s="34" t="s">
        <v>53</v>
      </c>
      <c r="R87" s="34" t="s">
        <v>495</v>
      </c>
    </row>
    <row r="88" spans="1:18" s="19" customFormat="1" ht="43.5" customHeight="1" x14ac:dyDescent="0.2">
      <c r="A88" s="35" t="s">
        <v>400</v>
      </c>
      <c r="B88" s="34" t="s">
        <v>144</v>
      </c>
      <c r="C88" s="34" t="s">
        <v>57</v>
      </c>
      <c r="D88" s="54">
        <v>2000</v>
      </c>
      <c r="E88" s="54">
        <f>D88-(D88*10/100)</f>
        <v>1800</v>
      </c>
      <c r="F88" s="54">
        <f>D88-(D88*20/100)</f>
        <v>1600</v>
      </c>
      <c r="G88" s="54">
        <f>D88-(D88*30/100)</f>
        <v>1400</v>
      </c>
      <c r="H88" s="54">
        <f>D88-(D88*20/100)</f>
        <v>1600</v>
      </c>
      <c r="I88" s="54"/>
      <c r="J88" s="54"/>
      <c r="K88" s="54"/>
      <c r="L88" s="54">
        <f>D88-(D88*40/100)</f>
        <v>1200</v>
      </c>
      <c r="M88" s="54"/>
      <c r="N88" s="54"/>
      <c r="O88" s="54"/>
      <c r="P88" s="34" t="s">
        <v>9</v>
      </c>
      <c r="Q88" s="34" t="s">
        <v>53</v>
      </c>
      <c r="R88" s="34" t="s">
        <v>495</v>
      </c>
    </row>
    <row r="89" spans="1:18" ht="21.75" x14ac:dyDescent="0.2">
      <c r="A89" s="35" t="s">
        <v>401</v>
      </c>
      <c r="B89" s="34" t="s">
        <v>145</v>
      </c>
      <c r="C89" s="34" t="s">
        <v>57</v>
      </c>
      <c r="D89" s="54">
        <v>2000</v>
      </c>
      <c r="E89" s="54">
        <f>D89-(D89*10/100)</f>
        <v>1800</v>
      </c>
      <c r="F89" s="54">
        <f>D89-(D89*20/100)</f>
        <v>1600</v>
      </c>
      <c r="G89" s="54">
        <f>D89-(D89*30/100)</f>
        <v>1400</v>
      </c>
      <c r="H89" s="54">
        <f>D89-(D89*20/100)</f>
        <v>1600</v>
      </c>
      <c r="I89" s="54"/>
      <c r="J89" s="54"/>
      <c r="K89" s="54"/>
      <c r="L89" s="54">
        <f>D89-(D89*40/100)</f>
        <v>1200</v>
      </c>
      <c r="M89" s="54"/>
      <c r="N89" s="54"/>
      <c r="O89" s="54"/>
      <c r="P89" s="34" t="s">
        <v>9</v>
      </c>
      <c r="Q89" s="34" t="s">
        <v>53</v>
      </c>
      <c r="R89" s="34" t="s">
        <v>495</v>
      </c>
    </row>
    <row r="90" spans="1:18" ht="21.75" x14ac:dyDescent="0.2">
      <c r="A90" s="55" t="s">
        <v>402</v>
      </c>
      <c r="B90" s="54" t="s">
        <v>160</v>
      </c>
      <c r="C90" s="34" t="s">
        <v>40</v>
      </c>
      <c r="D90" s="34">
        <v>1000</v>
      </c>
      <c r="E90" s="34">
        <f>MROUND(D90-(D90*10/100),50)</f>
        <v>900</v>
      </c>
      <c r="F90" s="34">
        <f>MROUND(D90-(D90*20/100),50)</f>
        <v>800</v>
      </c>
      <c r="G90" s="34">
        <f>MROUND(D90-(D90*30/100),50)</f>
        <v>700</v>
      </c>
      <c r="H90" s="34">
        <f>MROUND(D90-(D90*10/100),50)</f>
        <v>900</v>
      </c>
      <c r="I90" s="34">
        <f>MROUND(H90-(H90*10/100),50)</f>
        <v>800</v>
      </c>
      <c r="J90" s="34">
        <f>MROUND(H90-(H90*20/100),50)</f>
        <v>700</v>
      </c>
      <c r="K90" s="34">
        <f>MROUND(H90-(H90*30/100),50)</f>
        <v>650</v>
      </c>
      <c r="L90" s="34">
        <f>MROUND(D90-(D90*20/100),50)</f>
        <v>800</v>
      </c>
      <c r="M90" s="34">
        <f>MROUND(L90-(L90*10/100),50)</f>
        <v>700</v>
      </c>
      <c r="N90" s="34">
        <f>MROUND(L90-(L90*20/100),50)</f>
        <v>650</v>
      </c>
      <c r="O90" s="34">
        <f>MROUND(L90-(L90*30/100),50)</f>
        <v>550</v>
      </c>
      <c r="P90" s="54" t="s">
        <v>10</v>
      </c>
      <c r="Q90" s="54" t="s">
        <v>53</v>
      </c>
      <c r="R90" s="34" t="s">
        <v>495</v>
      </c>
    </row>
    <row r="91" spans="1:18" s="1" customFormat="1" ht="18.75" customHeight="1" x14ac:dyDescent="0.2">
      <c r="A91" s="55"/>
      <c r="B91" s="54"/>
      <c r="C91" s="34" t="s">
        <v>41</v>
      </c>
      <c r="D91" s="34">
        <f>D90*50/100</f>
        <v>500</v>
      </c>
      <c r="E91" s="34">
        <f t="shared" ref="E91:O91" si="21">MROUND(E90*50/100,50)</f>
        <v>450</v>
      </c>
      <c r="F91" s="34">
        <f t="shared" si="21"/>
        <v>400</v>
      </c>
      <c r="G91" s="34">
        <f t="shared" si="21"/>
        <v>350</v>
      </c>
      <c r="H91" s="34">
        <f t="shared" si="21"/>
        <v>450</v>
      </c>
      <c r="I91" s="34">
        <f t="shared" si="21"/>
        <v>400</v>
      </c>
      <c r="J91" s="34">
        <f t="shared" si="21"/>
        <v>350</v>
      </c>
      <c r="K91" s="34">
        <f t="shared" si="21"/>
        <v>350</v>
      </c>
      <c r="L91" s="34">
        <f t="shared" si="21"/>
        <v>400</v>
      </c>
      <c r="M91" s="34">
        <f t="shared" si="21"/>
        <v>350</v>
      </c>
      <c r="N91" s="34">
        <f t="shared" si="21"/>
        <v>350</v>
      </c>
      <c r="O91" s="34">
        <f t="shared" si="21"/>
        <v>300</v>
      </c>
      <c r="P91" s="54"/>
      <c r="Q91" s="54"/>
      <c r="R91" s="34" t="s">
        <v>495</v>
      </c>
    </row>
    <row r="92" spans="1:18" s="5" customFormat="1" ht="21.75" x14ac:dyDescent="0.2">
      <c r="A92" s="35" t="s">
        <v>394</v>
      </c>
      <c r="B92" s="34" t="s">
        <v>56</v>
      </c>
      <c r="C92" s="34" t="s">
        <v>57</v>
      </c>
      <c r="D92" s="54">
        <v>2000</v>
      </c>
      <c r="E92" s="54">
        <f>D92-(D92*10/100)</f>
        <v>1800</v>
      </c>
      <c r="F92" s="54">
        <f>D92-(D92*20/100)</f>
        <v>1600</v>
      </c>
      <c r="G92" s="54">
        <f>D92-(D92*30/100)</f>
        <v>1400</v>
      </c>
      <c r="H92" s="54">
        <f>D92-(D92*20/100)</f>
        <v>1600</v>
      </c>
      <c r="I92" s="54"/>
      <c r="J92" s="54"/>
      <c r="K92" s="54"/>
      <c r="L92" s="54">
        <f>D92-(D92*40/100)</f>
        <v>1200</v>
      </c>
      <c r="M92" s="54"/>
      <c r="N92" s="54"/>
      <c r="O92" s="54"/>
      <c r="P92" s="34" t="s">
        <v>9</v>
      </c>
      <c r="Q92" s="34" t="s">
        <v>53</v>
      </c>
      <c r="R92" s="34" t="s">
        <v>495</v>
      </c>
    </row>
    <row r="93" spans="1:18" ht="21.75" customHeight="1" x14ac:dyDescent="0.2">
      <c r="A93" s="55" t="s">
        <v>395</v>
      </c>
      <c r="B93" s="54" t="s">
        <v>118</v>
      </c>
      <c r="C93" s="34" t="s">
        <v>40</v>
      </c>
      <c r="D93" s="34">
        <v>1000</v>
      </c>
      <c r="E93" s="34">
        <f>MROUND(D93-(D93*10/100),50)</f>
        <v>900</v>
      </c>
      <c r="F93" s="34">
        <f>MROUND(D93-(D93*20/100),50)</f>
        <v>800</v>
      </c>
      <c r="G93" s="34">
        <f>MROUND(D93-(D93*30/100),50)</f>
        <v>700</v>
      </c>
      <c r="H93" s="34">
        <f>MROUND(D93-(D93*10/100),50)</f>
        <v>900</v>
      </c>
      <c r="I93" s="34">
        <f>MROUND(H93-(H93*10/100),50)</f>
        <v>800</v>
      </c>
      <c r="J93" s="34">
        <f>MROUND(H93-(H93*20/100),50)</f>
        <v>700</v>
      </c>
      <c r="K93" s="34">
        <f>MROUND(H93-(H93*30/100),50)</f>
        <v>650</v>
      </c>
      <c r="L93" s="34">
        <f>MROUND(D93-(D93*20/100),50)</f>
        <v>800</v>
      </c>
      <c r="M93" s="34">
        <f>MROUND(L93-(L93*10/100),50)</f>
        <v>700</v>
      </c>
      <c r="N93" s="34">
        <f>MROUND(L93-(L93*20/100),50)</f>
        <v>650</v>
      </c>
      <c r="O93" s="34">
        <f>MROUND(L93-(L93*30/100),50)</f>
        <v>550</v>
      </c>
      <c r="P93" s="54" t="s">
        <v>10</v>
      </c>
      <c r="Q93" s="54" t="s">
        <v>241</v>
      </c>
      <c r="R93" s="71" t="s">
        <v>485</v>
      </c>
    </row>
    <row r="94" spans="1:18" ht="18.75" customHeight="1" x14ac:dyDescent="0.2">
      <c r="A94" s="55"/>
      <c r="B94" s="54"/>
      <c r="C94" s="34" t="s">
        <v>41</v>
      </c>
      <c r="D94" s="34">
        <f>D93*50/100</f>
        <v>500</v>
      </c>
      <c r="E94" s="34">
        <f t="shared" ref="E94:O94" si="22">MROUND(E93*50/100,50)</f>
        <v>450</v>
      </c>
      <c r="F94" s="34">
        <f t="shared" si="22"/>
        <v>400</v>
      </c>
      <c r="G94" s="34">
        <f t="shared" si="22"/>
        <v>350</v>
      </c>
      <c r="H94" s="34">
        <f t="shared" si="22"/>
        <v>450</v>
      </c>
      <c r="I94" s="34">
        <f t="shared" si="22"/>
        <v>400</v>
      </c>
      <c r="J94" s="34">
        <f t="shared" si="22"/>
        <v>350</v>
      </c>
      <c r="K94" s="34">
        <f t="shared" si="22"/>
        <v>350</v>
      </c>
      <c r="L94" s="34">
        <f t="shared" si="22"/>
        <v>400</v>
      </c>
      <c r="M94" s="34">
        <f t="shared" si="22"/>
        <v>350</v>
      </c>
      <c r="N94" s="34">
        <f t="shared" si="22"/>
        <v>350</v>
      </c>
      <c r="O94" s="34">
        <f t="shared" si="22"/>
        <v>300</v>
      </c>
      <c r="P94" s="54"/>
      <c r="Q94" s="54"/>
      <c r="R94" s="72"/>
    </row>
    <row r="95" spans="1:18" ht="21.75" customHeight="1" x14ac:dyDescent="0.2">
      <c r="A95" s="55" t="s">
        <v>396</v>
      </c>
      <c r="B95" s="54" t="s">
        <v>119</v>
      </c>
      <c r="C95" s="34" t="s">
        <v>40</v>
      </c>
      <c r="D95" s="34">
        <v>1000</v>
      </c>
      <c r="E95" s="34">
        <f>MROUND(D95-(D95*10/100),50)</f>
        <v>900</v>
      </c>
      <c r="F95" s="34">
        <f>MROUND(D95-(D95*20/100),50)</f>
        <v>800</v>
      </c>
      <c r="G95" s="34">
        <f>MROUND(D95-(D95*30/100),50)</f>
        <v>700</v>
      </c>
      <c r="H95" s="34">
        <f>MROUND(D95-(D95*10/100),50)</f>
        <v>900</v>
      </c>
      <c r="I95" s="34">
        <f>MROUND(H95-(H95*10/100),50)</f>
        <v>800</v>
      </c>
      <c r="J95" s="34">
        <f>MROUND(H95-(H95*20/100),50)</f>
        <v>700</v>
      </c>
      <c r="K95" s="34">
        <f>MROUND(H95-(H95*30/100),50)</f>
        <v>650</v>
      </c>
      <c r="L95" s="34">
        <f>MROUND(D95-(D95*20/100),50)</f>
        <v>800</v>
      </c>
      <c r="M95" s="34">
        <f>MROUND(L95-(L95*10/100),50)</f>
        <v>700</v>
      </c>
      <c r="N95" s="34">
        <f>MROUND(L95-(L95*20/100),50)</f>
        <v>650</v>
      </c>
      <c r="O95" s="34">
        <f>MROUND(L95-(L95*30/100),50)</f>
        <v>550</v>
      </c>
      <c r="P95" s="54" t="s">
        <v>10</v>
      </c>
      <c r="Q95" s="54" t="s">
        <v>241</v>
      </c>
      <c r="R95" s="71" t="s">
        <v>485</v>
      </c>
    </row>
    <row r="96" spans="1:18" ht="21.75" x14ac:dyDescent="0.2">
      <c r="A96" s="55"/>
      <c r="B96" s="54"/>
      <c r="C96" s="34" t="s">
        <v>41</v>
      </c>
      <c r="D96" s="34">
        <f>D95*50/100</f>
        <v>500</v>
      </c>
      <c r="E96" s="34">
        <f t="shared" ref="E96:O96" si="23">MROUND(E95*50/100,50)</f>
        <v>450</v>
      </c>
      <c r="F96" s="34">
        <f t="shared" si="23"/>
        <v>400</v>
      </c>
      <c r="G96" s="34">
        <f t="shared" si="23"/>
        <v>350</v>
      </c>
      <c r="H96" s="34">
        <f t="shared" si="23"/>
        <v>450</v>
      </c>
      <c r="I96" s="34">
        <f t="shared" si="23"/>
        <v>400</v>
      </c>
      <c r="J96" s="34">
        <f t="shared" si="23"/>
        <v>350</v>
      </c>
      <c r="K96" s="34">
        <f t="shared" si="23"/>
        <v>350</v>
      </c>
      <c r="L96" s="34">
        <f t="shared" si="23"/>
        <v>400</v>
      </c>
      <c r="M96" s="34">
        <f t="shared" si="23"/>
        <v>350</v>
      </c>
      <c r="N96" s="34">
        <f t="shared" si="23"/>
        <v>350</v>
      </c>
      <c r="O96" s="34">
        <f t="shared" si="23"/>
        <v>300</v>
      </c>
      <c r="P96" s="54"/>
      <c r="Q96" s="54"/>
      <c r="R96" s="72"/>
    </row>
    <row r="97" spans="1:18" ht="21.75" customHeight="1" x14ac:dyDescent="0.2">
      <c r="A97" s="55" t="s">
        <v>397</v>
      </c>
      <c r="B97" s="54" t="s">
        <v>117</v>
      </c>
      <c r="C97" s="34" t="s">
        <v>40</v>
      </c>
      <c r="D97" s="34">
        <v>1000</v>
      </c>
      <c r="E97" s="34">
        <f>MROUND(D97-(D97*10/100),50)</f>
        <v>900</v>
      </c>
      <c r="F97" s="34">
        <f>MROUND(D97-(D97*20/100),50)</f>
        <v>800</v>
      </c>
      <c r="G97" s="34">
        <f>MROUND(D97-(D97*30/100),50)</f>
        <v>700</v>
      </c>
      <c r="H97" s="34">
        <f>MROUND(D97-(D97*10/100),50)</f>
        <v>900</v>
      </c>
      <c r="I97" s="34">
        <f>MROUND(H97-(H97*10/100),50)</f>
        <v>800</v>
      </c>
      <c r="J97" s="34">
        <f>MROUND(H97-(H97*20/100),50)</f>
        <v>700</v>
      </c>
      <c r="K97" s="34">
        <f>MROUND(H97-(H97*30/100),50)</f>
        <v>650</v>
      </c>
      <c r="L97" s="34">
        <f>MROUND(D97-(D97*20/100),50)</f>
        <v>800</v>
      </c>
      <c r="M97" s="34">
        <f>MROUND(L97-(L97*10/100),50)</f>
        <v>700</v>
      </c>
      <c r="N97" s="34">
        <f>MROUND(L97-(L97*20/100),50)</f>
        <v>650</v>
      </c>
      <c r="O97" s="34">
        <f>MROUND(L97-(L97*30/100),50)</f>
        <v>550</v>
      </c>
      <c r="P97" s="54" t="s">
        <v>10</v>
      </c>
      <c r="Q97" s="54" t="s">
        <v>241</v>
      </c>
      <c r="R97" s="54" t="s">
        <v>503</v>
      </c>
    </row>
    <row r="98" spans="1:18" s="13" customFormat="1" ht="21.75" customHeight="1" x14ac:dyDescent="0.2">
      <c r="A98" s="55"/>
      <c r="B98" s="54"/>
      <c r="C98" s="34" t="s">
        <v>41</v>
      </c>
      <c r="D98" s="34">
        <f>D97*50/100</f>
        <v>500</v>
      </c>
      <c r="E98" s="34">
        <f t="shared" ref="E98:O98" si="24">MROUND(E97*50/100,50)</f>
        <v>450</v>
      </c>
      <c r="F98" s="34">
        <f t="shared" si="24"/>
        <v>400</v>
      </c>
      <c r="G98" s="34">
        <f t="shared" si="24"/>
        <v>350</v>
      </c>
      <c r="H98" s="34">
        <f t="shared" si="24"/>
        <v>450</v>
      </c>
      <c r="I98" s="34">
        <f t="shared" si="24"/>
        <v>400</v>
      </c>
      <c r="J98" s="34">
        <f t="shared" si="24"/>
        <v>350</v>
      </c>
      <c r="K98" s="34">
        <f t="shared" si="24"/>
        <v>350</v>
      </c>
      <c r="L98" s="34">
        <f t="shared" si="24"/>
        <v>400</v>
      </c>
      <c r="M98" s="34">
        <f t="shared" si="24"/>
        <v>350</v>
      </c>
      <c r="N98" s="34">
        <f t="shared" si="24"/>
        <v>350</v>
      </c>
      <c r="O98" s="34">
        <f t="shared" si="24"/>
        <v>300</v>
      </c>
      <c r="P98" s="54"/>
      <c r="Q98" s="54"/>
      <c r="R98" s="54"/>
    </row>
    <row r="99" spans="1:18" s="13" customFormat="1" ht="21.75" customHeight="1" x14ac:dyDescent="0.2">
      <c r="A99" s="55" t="s">
        <v>398</v>
      </c>
      <c r="B99" s="54" t="s">
        <v>133</v>
      </c>
      <c r="C99" s="34" t="s">
        <v>40</v>
      </c>
      <c r="D99" s="34">
        <v>1000</v>
      </c>
      <c r="E99" s="34">
        <f>MROUND(D99-(D99*10/100),50)</f>
        <v>900</v>
      </c>
      <c r="F99" s="34">
        <f>MROUND(D99-(D99*20/100),50)</f>
        <v>800</v>
      </c>
      <c r="G99" s="34">
        <f>MROUND(D99-(D99*30/100),50)</f>
        <v>700</v>
      </c>
      <c r="H99" s="34">
        <f>MROUND(D99-(D99*10/100),50)</f>
        <v>900</v>
      </c>
      <c r="I99" s="34">
        <f>MROUND(H99-(H99*10/100),50)</f>
        <v>800</v>
      </c>
      <c r="J99" s="34">
        <f>MROUND(H99-(H99*20/100),50)</f>
        <v>700</v>
      </c>
      <c r="K99" s="34">
        <f>MROUND(H99-(H99*30/100),50)</f>
        <v>650</v>
      </c>
      <c r="L99" s="34">
        <f>MROUND(D99-(D99*20/100),50)</f>
        <v>800</v>
      </c>
      <c r="M99" s="34">
        <f>MROUND(L99-(L99*10/100),50)</f>
        <v>700</v>
      </c>
      <c r="N99" s="34">
        <f>MROUND(L99-(L99*20/100),50)</f>
        <v>650</v>
      </c>
      <c r="O99" s="34">
        <f>MROUND(L99-(L99*30/100),50)</f>
        <v>550</v>
      </c>
      <c r="P99" s="54" t="s">
        <v>10</v>
      </c>
      <c r="Q99" s="54" t="s">
        <v>241</v>
      </c>
      <c r="R99" s="54" t="s">
        <v>503</v>
      </c>
    </row>
    <row r="100" spans="1:18" ht="23.25" customHeight="1" x14ac:dyDescent="0.2">
      <c r="A100" s="55"/>
      <c r="B100" s="54"/>
      <c r="C100" s="34" t="s">
        <v>41</v>
      </c>
      <c r="D100" s="34">
        <f>D99*50/100</f>
        <v>500</v>
      </c>
      <c r="E100" s="34">
        <f t="shared" ref="E100:O100" si="25">MROUND(E99*50/100,50)</f>
        <v>450</v>
      </c>
      <c r="F100" s="34">
        <f t="shared" si="25"/>
        <v>400</v>
      </c>
      <c r="G100" s="34">
        <f t="shared" si="25"/>
        <v>350</v>
      </c>
      <c r="H100" s="34">
        <f t="shared" si="25"/>
        <v>450</v>
      </c>
      <c r="I100" s="34">
        <f t="shared" si="25"/>
        <v>400</v>
      </c>
      <c r="J100" s="34">
        <f t="shared" si="25"/>
        <v>350</v>
      </c>
      <c r="K100" s="34">
        <f t="shared" si="25"/>
        <v>350</v>
      </c>
      <c r="L100" s="34">
        <f t="shared" si="25"/>
        <v>400</v>
      </c>
      <c r="M100" s="34">
        <f t="shared" si="25"/>
        <v>350</v>
      </c>
      <c r="N100" s="34">
        <f t="shared" si="25"/>
        <v>350</v>
      </c>
      <c r="O100" s="34">
        <f t="shared" si="25"/>
        <v>300</v>
      </c>
      <c r="P100" s="54"/>
      <c r="Q100" s="54"/>
      <c r="R100" s="54"/>
    </row>
    <row r="101" spans="1:18" ht="23.25" customHeight="1" x14ac:dyDescent="0.2">
      <c r="A101" s="70" t="s">
        <v>71</v>
      </c>
      <c r="B101" s="70"/>
      <c r="C101" s="70"/>
      <c r="D101" s="70"/>
      <c r="E101" s="70"/>
      <c r="F101" s="70"/>
      <c r="G101" s="70"/>
      <c r="H101" s="70"/>
      <c r="I101" s="70"/>
      <c r="J101" s="70"/>
      <c r="K101" s="70"/>
      <c r="L101" s="70"/>
      <c r="M101" s="70"/>
      <c r="N101" s="70"/>
      <c r="O101" s="70"/>
      <c r="P101" s="70"/>
      <c r="Q101" s="70"/>
      <c r="R101" s="70"/>
    </row>
    <row r="102" spans="1:18" s="12" customFormat="1" ht="65.25" x14ac:dyDescent="0.2">
      <c r="A102" s="35" t="s">
        <v>188</v>
      </c>
      <c r="B102" s="34" t="s">
        <v>161</v>
      </c>
      <c r="C102" s="34" t="s">
        <v>48</v>
      </c>
      <c r="D102" s="54">
        <v>100000</v>
      </c>
      <c r="E102" s="54"/>
      <c r="F102" s="54"/>
      <c r="G102" s="54"/>
      <c r="H102" s="54">
        <f t="shared" ref="H102:H107" si="26">D102-(D102*20/100)</f>
        <v>80000</v>
      </c>
      <c r="I102" s="54"/>
      <c r="J102" s="54"/>
      <c r="K102" s="54"/>
      <c r="L102" s="54">
        <f t="shared" ref="L102:L107" si="27">D102-(D102*40/100)</f>
        <v>60000</v>
      </c>
      <c r="M102" s="54"/>
      <c r="N102" s="54"/>
      <c r="O102" s="54"/>
      <c r="P102" s="34" t="s">
        <v>9</v>
      </c>
      <c r="Q102" s="34" t="s">
        <v>53</v>
      </c>
      <c r="R102" s="53" t="s">
        <v>527</v>
      </c>
    </row>
    <row r="103" spans="1:18" s="9" customFormat="1" ht="43.5" x14ac:dyDescent="0.2">
      <c r="A103" s="35" t="s">
        <v>205</v>
      </c>
      <c r="B103" s="34" t="s">
        <v>128</v>
      </c>
      <c r="C103" s="34" t="s">
        <v>57</v>
      </c>
      <c r="D103" s="54">
        <v>100000</v>
      </c>
      <c r="E103" s="54"/>
      <c r="F103" s="54"/>
      <c r="G103" s="54"/>
      <c r="H103" s="54">
        <f>D103-(D103*20/100)</f>
        <v>80000</v>
      </c>
      <c r="I103" s="54"/>
      <c r="J103" s="54"/>
      <c r="K103" s="54"/>
      <c r="L103" s="54">
        <f>D103-(D103*40/100)</f>
        <v>60000</v>
      </c>
      <c r="M103" s="54"/>
      <c r="N103" s="54"/>
      <c r="O103" s="54"/>
      <c r="P103" s="34" t="s">
        <v>9</v>
      </c>
      <c r="Q103" s="34" t="s">
        <v>53</v>
      </c>
      <c r="R103" s="34" t="s">
        <v>528</v>
      </c>
    </row>
    <row r="104" spans="1:18" s="7" customFormat="1" ht="43.5" x14ac:dyDescent="0.2">
      <c r="A104" s="35" t="s">
        <v>403</v>
      </c>
      <c r="B104" s="34" t="s">
        <v>29</v>
      </c>
      <c r="C104" s="34" t="s">
        <v>48</v>
      </c>
      <c r="D104" s="54">
        <v>10000</v>
      </c>
      <c r="E104" s="54"/>
      <c r="F104" s="54"/>
      <c r="G104" s="54"/>
      <c r="H104" s="54">
        <f t="shared" si="26"/>
        <v>8000</v>
      </c>
      <c r="I104" s="54"/>
      <c r="J104" s="54"/>
      <c r="K104" s="54"/>
      <c r="L104" s="54">
        <f t="shared" si="27"/>
        <v>6000</v>
      </c>
      <c r="M104" s="54"/>
      <c r="N104" s="54"/>
      <c r="O104" s="54"/>
      <c r="P104" s="34" t="s">
        <v>9</v>
      </c>
      <c r="Q104" s="34" t="s">
        <v>53</v>
      </c>
      <c r="R104" s="34" t="s">
        <v>528</v>
      </c>
    </row>
    <row r="105" spans="1:18" s="7" customFormat="1" ht="21.75" x14ac:dyDescent="0.2">
      <c r="A105" s="35" t="s">
        <v>404</v>
      </c>
      <c r="B105" s="34" t="s">
        <v>63</v>
      </c>
      <c r="C105" s="34" t="s">
        <v>57</v>
      </c>
      <c r="D105" s="54">
        <v>30000</v>
      </c>
      <c r="E105" s="54">
        <f>D105-(D105*10/100)</f>
        <v>27000</v>
      </c>
      <c r="F105" s="54">
        <f>D105-(D105*20/100)</f>
        <v>24000</v>
      </c>
      <c r="G105" s="54">
        <f>D105-(D105*30/100)</f>
        <v>21000</v>
      </c>
      <c r="H105" s="54">
        <f t="shared" si="26"/>
        <v>24000</v>
      </c>
      <c r="I105" s="54"/>
      <c r="J105" s="54"/>
      <c r="K105" s="54"/>
      <c r="L105" s="54">
        <f t="shared" si="27"/>
        <v>18000</v>
      </c>
      <c r="M105" s="54"/>
      <c r="N105" s="54"/>
      <c r="O105" s="54"/>
      <c r="P105" s="34" t="s">
        <v>9</v>
      </c>
      <c r="Q105" s="34" t="s">
        <v>53</v>
      </c>
      <c r="R105" s="34" t="s">
        <v>483</v>
      </c>
    </row>
    <row r="106" spans="1:18" s="15" customFormat="1" ht="21.75" x14ac:dyDescent="0.2">
      <c r="A106" s="35" t="s">
        <v>405</v>
      </c>
      <c r="B106" s="34" t="s">
        <v>168</v>
      </c>
      <c r="C106" s="34" t="s">
        <v>57</v>
      </c>
      <c r="D106" s="54">
        <v>20000</v>
      </c>
      <c r="E106" s="54">
        <f>D106-(D106*10/100)</f>
        <v>18000</v>
      </c>
      <c r="F106" s="54">
        <f>D106-(D106*20/100)</f>
        <v>16000</v>
      </c>
      <c r="G106" s="54">
        <f>D106-(D106*30/100)</f>
        <v>14000</v>
      </c>
      <c r="H106" s="54">
        <f t="shared" si="26"/>
        <v>16000</v>
      </c>
      <c r="I106" s="54"/>
      <c r="J106" s="54"/>
      <c r="K106" s="54"/>
      <c r="L106" s="54">
        <f t="shared" si="27"/>
        <v>12000</v>
      </c>
      <c r="M106" s="54"/>
      <c r="N106" s="54"/>
      <c r="O106" s="54"/>
      <c r="P106" s="34" t="s">
        <v>9</v>
      </c>
      <c r="Q106" s="34" t="s">
        <v>53</v>
      </c>
      <c r="R106" s="34" t="s">
        <v>483</v>
      </c>
    </row>
    <row r="107" spans="1:18" ht="21.75" x14ac:dyDescent="0.2">
      <c r="A107" s="35" t="s">
        <v>406</v>
      </c>
      <c r="B107" s="34" t="s">
        <v>130</v>
      </c>
      <c r="C107" s="34" t="s">
        <v>48</v>
      </c>
      <c r="D107" s="54">
        <v>15000</v>
      </c>
      <c r="E107" s="54"/>
      <c r="F107" s="54"/>
      <c r="G107" s="54"/>
      <c r="H107" s="54">
        <f t="shared" si="26"/>
        <v>12000</v>
      </c>
      <c r="I107" s="54"/>
      <c r="J107" s="54"/>
      <c r="K107" s="54"/>
      <c r="L107" s="54">
        <f t="shared" si="27"/>
        <v>9000</v>
      </c>
      <c r="M107" s="54"/>
      <c r="N107" s="54"/>
      <c r="O107" s="54"/>
      <c r="P107" s="34" t="s">
        <v>9</v>
      </c>
      <c r="Q107" s="34" t="s">
        <v>53</v>
      </c>
      <c r="R107" s="34" t="s">
        <v>484</v>
      </c>
    </row>
    <row r="108" spans="1:18" ht="43.5" x14ac:dyDescent="0.2">
      <c r="A108" s="35" t="s">
        <v>407</v>
      </c>
      <c r="B108" s="34" t="s">
        <v>136</v>
      </c>
      <c r="C108" s="34" t="s">
        <v>48</v>
      </c>
      <c r="D108" s="54">
        <v>50000</v>
      </c>
      <c r="E108" s="54">
        <f>D108-(D108*10/100)</f>
        <v>45000</v>
      </c>
      <c r="F108" s="54">
        <f>D108-(D108*20/100)</f>
        <v>40000</v>
      </c>
      <c r="G108" s="54">
        <f>D108-(D108*30/100)</f>
        <v>35000</v>
      </c>
      <c r="H108" s="54">
        <f>D108-(D108*20/100)</f>
        <v>40000</v>
      </c>
      <c r="I108" s="54"/>
      <c r="J108" s="54"/>
      <c r="K108" s="54"/>
      <c r="L108" s="54">
        <f>D108-(D108*40/100)</f>
        <v>30000</v>
      </c>
      <c r="M108" s="54"/>
      <c r="N108" s="54"/>
      <c r="O108" s="54"/>
      <c r="P108" s="34" t="s">
        <v>9</v>
      </c>
      <c r="Q108" s="34" t="s">
        <v>53</v>
      </c>
      <c r="R108" s="34" t="s">
        <v>514</v>
      </c>
    </row>
    <row r="109" spans="1:18" s="1" customFormat="1" ht="21.75" x14ac:dyDescent="0.2">
      <c r="A109" s="35" t="s">
        <v>408</v>
      </c>
      <c r="B109" s="34" t="s">
        <v>272</v>
      </c>
      <c r="C109" s="34" t="s">
        <v>57</v>
      </c>
      <c r="D109" s="54">
        <v>5000</v>
      </c>
      <c r="E109" s="54">
        <f>D109-(D109*10/100)</f>
        <v>4500</v>
      </c>
      <c r="F109" s="54">
        <f>D109-(D109*20/100)</f>
        <v>4000</v>
      </c>
      <c r="G109" s="54">
        <f>D109-(D109*30/100)</f>
        <v>3500</v>
      </c>
      <c r="H109" s="54">
        <f>D109-(D109*20/100)</f>
        <v>4000</v>
      </c>
      <c r="I109" s="54"/>
      <c r="J109" s="54"/>
      <c r="K109" s="54"/>
      <c r="L109" s="54">
        <f>D109-(D109*40/100)</f>
        <v>3000</v>
      </c>
      <c r="M109" s="54"/>
      <c r="N109" s="54"/>
      <c r="O109" s="54"/>
      <c r="P109" s="34" t="s">
        <v>9</v>
      </c>
      <c r="Q109" s="34" t="s">
        <v>53</v>
      </c>
      <c r="R109" s="34" t="s">
        <v>515</v>
      </c>
    </row>
  </sheetData>
  <mergeCells count="296">
    <mergeCell ref="A13:A14"/>
    <mergeCell ref="A1:R1"/>
    <mergeCell ref="A101:R101"/>
    <mergeCell ref="R93:R94"/>
    <mergeCell ref="R95:R96"/>
    <mergeCell ref="R97:R98"/>
    <mergeCell ref="R99:R100"/>
    <mergeCell ref="A77:R77"/>
    <mergeCell ref="A17:R17"/>
    <mergeCell ref="A4:R4"/>
    <mergeCell ref="A95:A96"/>
    <mergeCell ref="A74:A75"/>
    <mergeCell ref="H78:K78"/>
    <mergeCell ref="Q90:Q91"/>
    <mergeCell ref="D62:G62"/>
    <mergeCell ref="H62:K62"/>
    <mergeCell ref="B95:B96"/>
    <mergeCell ref="R2:R3"/>
    <mergeCell ref="R8:R9"/>
    <mergeCell ref="R13:R14"/>
    <mergeCell ref="R15:R16"/>
    <mergeCell ref="R28:R29"/>
    <mergeCell ref="R36:R37"/>
    <mergeCell ref="R38:R39"/>
    <mergeCell ref="R43:R44"/>
    <mergeCell ref="R52:R53"/>
    <mergeCell ref="R58:R59"/>
    <mergeCell ref="R60:R61"/>
    <mergeCell ref="R63:R64"/>
    <mergeCell ref="R65:R66"/>
    <mergeCell ref="R67:R68"/>
    <mergeCell ref="R70:R71"/>
    <mergeCell ref="R72:R73"/>
    <mergeCell ref="R74:R75"/>
    <mergeCell ref="Q13:Q14"/>
    <mergeCell ref="Q15:Q16"/>
    <mergeCell ref="Q97:Q98"/>
    <mergeCell ref="D30:G30"/>
    <mergeCell ref="D31:G31"/>
    <mergeCell ref="H32:K32"/>
    <mergeCell ref="L32:O32"/>
    <mergeCell ref="D35:G35"/>
    <mergeCell ref="H35:K35"/>
    <mergeCell ref="L35:O35"/>
    <mergeCell ref="Q28:Q29"/>
    <mergeCell ref="D19:G19"/>
    <mergeCell ref="D26:G26"/>
    <mergeCell ref="H26:K26"/>
    <mergeCell ref="D24:G24"/>
    <mergeCell ref="H24:K24"/>
    <mergeCell ref="L24:O24"/>
    <mergeCell ref="D18:G18"/>
    <mergeCell ref="L83:O83"/>
    <mergeCell ref="L78:O78"/>
    <mergeCell ref="L81:O81"/>
    <mergeCell ref="Q72:Q73"/>
    <mergeCell ref="H30:K30"/>
    <mergeCell ref="L30:O30"/>
    <mergeCell ref="B28:B29"/>
    <mergeCell ref="Q2:Q3"/>
    <mergeCell ref="D6:G6"/>
    <mergeCell ref="H6:K6"/>
    <mergeCell ref="L6:O6"/>
    <mergeCell ref="A28:A29"/>
    <mergeCell ref="P28:P29"/>
    <mergeCell ref="H19:K19"/>
    <mergeCell ref="L19:O19"/>
    <mergeCell ref="D20:G20"/>
    <mergeCell ref="H20:K20"/>
    <mergeCell ref="P15:P16"/>
    <mergeCell ref="Q8:Q9"/>
    <mergeCell ref="D11:G11"/>
    <mergeCell ref="B13:B14"/>
    <mergeCell ref="A2:A3"/>
    <mergeCell ref="P13:P14"/>
    <mergeCell ref="D2:G2"/>
    <mergeCell ref="H2:K2"/>
    <mergeCell ref="L2:O2"/>
    <mergeCell ref="P2:P3"/>
    <mergeCell ref="P8:P9"/>
    <mergeCell ref="A8:A9"/>
    <mergeCell ref="D5:G5"/>
    <mergeCell ref="H5:K5"/>
    <mergeCell ref="B2:B3"/>
    <mergeCell ref="C2:C3"/>
    <mergeCell ref="A52:A53"/>
    <mergeCell ref="L20:O20"/>
    <mergeCell ref="B8:B9"/>
    <mergeCell ref="B38:B39"/>
    <mergeCell ref="H11:K11"/>
    <mergeCell ref="L11:O11"/>
    <mergeCell ref="A43:A44"/>
    <mergeCell ref="B43:B44"/>
    <mergeCell ref="D10:G10"/>
    <mergeCell ref="H10:K10"/>
    <mergeCell ref="L10:O10"/>
    <mergeCell ref="B15:B16"/>
    <mergeCell ref="D33:G33"/>
    <mergeCell ref="D40:G40"/>
    <mergeCell ref="D45:G45"/>
    <mergeCell ref="L45:O45"/>
    <mergeCell ref="D46:G46"/>
    <mergeCell ref="A38:A39"/>
    <mergeCell ref="D50:G50"/>
    <mergeCell ref="L5:O5"/>
    <mergeCell ref="D7:G7"/>
    <mergeCell ref="H7:K7"/>
    <mergeCell ref="L7:O7"/>
    <mergeCell ref="A15:A16"/>
    <mergeCell ref="A72:A73"/>
    <mergeCell ref="A70:A71"/>
    <mergeCell ref="D32:G32"/>
    <mergeCell ref="L23:O23"/>
    <mergeCell ref="H40:K40"/>
    <mergeCell ref="L40:O40"/>
    <mergeCell ref="L21:O21"/>
    <mergeCell ref="L33:O33"/>
    <mergeCell ref="H41:K41"/>
    <mergeCell ref="H22:K22"/>
    <mergeCell ref="D25:G25"/>
    <mergeCell ref="H25:K25"/>
    <mergeCell ref="L25:O25"/>
    <mergeCell ref="L26:O26"/>
    <mergeCell ref="D27:G27"/>
    <mergeCell ref="L34:O34"/>
    <mergeCell ref="D21:G21"/>
    <mergeCell ref="H21:K21"/>
    <mergeCell ref="D22:G22"/>
    <mergeCell ref="L22:O22"/>
    <mergeCell ref="D23:G23"/>
    <mergeCell ref="H31:K31"/>
    <mergeCell ref="L31:O31"/>
    <mergeCell ref="H55:K55"/>
    <mergeCell ref="L55:O55"/>
    <mergeCell ref="Q36:Q37"/>
    <mergeCell ref="Q65:Q66"/>
    <mergeCell ref="Q43:Q44"/>
    <mergeCell ref="Q63:Q64"/>
    <mergeCell ref="Q70:Q71"/>
    <mergeCell ref="Q67:Q68"/>
    <mergeCell ref="H69:K69"/>
    <mergeCell ref="L69:O69"/>
    <mergeCell ref="P38:P39"/>
    <mergeCell ref="P52:P53"/>
    <mergeCell ref="P43:P44"/>
    <mergeCell ref="P36:P37"/>
    <mergeCell ref="P72:P73"/>
    <mergeCell ref="H51:K51"/>
    <mergeCell ref="L51:O51"/>
    <mergeCell ref="H45:K45"/>
    <mergeCell ref="L62:O62"/>
    <mergeCell ref="P65:P66"/>
    <mergeCell ref="Q38:Q39"/>
    <mergeCell ref="H46:K46"/>
    <mergeCell ref="L46:O46"/>
    <mergeCell ref="A99:A100"/>
    <mergeCell ref="B99:B100"/>
    <mergeCell ref="L107:O107"/>
    <mergeCell ref="D105:G105"/>
    <mergeCell ref="H105:K105"/>
    <mergeCell ref="D102:G102"/>
    <mergeCell ref="H102:K102"/>
    <mergeCell ref="L102:O102"/>
    <mergeCell ref="L105:O105"/>
    <mergeCell ref="D106:G106"/>
    <mergeCell ref="H106:K106"/>
    <mergeCell ref="L106:O106"/>
    <mergeCell ref="D107:G107"/>
    <mergeCell ref="H107:K107"/>
    <mergeCell ref="H104:K104"/>
    <mergeCell ref="L104:O104"/>
    <mergeCell ref="D103:G103"/>
    <mergeCell ref="H103:K103"/>
    <mergeCell ref="L103:O103"/>
    <mergeCell ref="D104:G104"/>
    <mergeCell ref="P99:P100"/>
    <mergeCell ref="Q99:Q100"/>
    <mergeCell ref="B58:B59"/>
    <mergeCell ref="P58:P59"/>
    <mergeCell ref="A63:A64"/>
    <mergeCell ref="B63:B64"/>
    <mergeCell ref="D80:G80"/>
    <mergeCell ref="H80:K80"/>
    <mergeCell ref="L80:O80"/>
    <mergeCell ref="P63:P64"/>
    <mergeCell ref="B60:B61"/>
    <mergeCell ref="P67:P68"/>
    <mergeCell ref="B72:B73"/>
    <mergeCell ref="A67:A68"/>
    <mergeCell ref="B70:B71"/>
    <mergeCell ref="P70:P71"/>
    <mergeCell ref="P60:P61"/>
    <mergeCell ref="D78:G78"/>
    <mergeCell ref="D79:G79"/>
    <mergeCell ref="H79:K79"/>
    <mergeCell ref="L79:O79"/>
    <mergeCell ref="B67:B68"/>
    <mergeCell ref="D69:G69"/>
    <mergeCell ref="A58:A59"/>
    <mergeCell ref="Q95:Q96"/>
    <mergeCell ref="L42:O42"/>
    <mergeCell ref="D48:G48"/>
    <mergeCell ref="H48:K48"/>
    <mergeCell ref="L48:O48"/>
    <mergeCell ref="D49:G49"/>
    <mergeCell ref="H49:K49"/>
    <mergeCell ref="L49:O49"/>
    <mergeCell ref="Q52:Q53"/>
    <mergeCell ref="P85:P86"/>
    <mergeCell ref="D84:G84"/>
    <mergeCell ref="H84:K84"/>
    <mergeCell ref="L84:O84"/>
    <mergeCell ref="D87:G87"/>
    <mergeCell ref="H87:K87"/>
    <mergeCell ref="L87:O87"/>
    <mergeCell ref="L82:O82"/>
    <mergeCell ref="H82:K82"/>
    <mergeCell ref="P95:P96"/>
    <mergeCell ref="P90:P91"/>
    <mergeCell ref="D92:G92"/>
    <mergeCell ref="H92:K92"/>
    <mergeCell ref="L92:O92"/>
    <mergeCell ref="P74:P75"/>
    <mergeCell ref="Q74:Q75"/>
    <mergeCell ref="Q58:Q59"/>
    <mergeCell ref="Q60:Q61"/>
    <mergeCell ref="P93:P94"/>
    <mergeCell ref="Q93:Q94"/>
    <mergeCell ref="B93:B94"/>
    <mergeCell ref="A93:A94"/>
    <mergeCell ref="H27:K27"/>
    <mergeCell ref="A36:A37"/>
    <mergeCell ref="B36:B37"/>
    <mergeCell ref="A85:A86"/>
    <mergeCell ref="B85:B86"/>
    <mergeCell ref="H34:K34"/>
    <mergeCell ref="D42:G42"/>
    <mergeCell ref="D41:G41"/>
    <mergeCell ref="D51:G51"/>
    <mergeCell ref="A90:A91"/>
    <mergeCell ref="B90:B91"/>
    <mergeCell ref="D83:G83"/>
    <mergeCell ref="H83:K83"/>
    <mergeCell ref="B74:B75"/>
    <mergeCell ref="A65:A66"/>
    <mergeCell ref="B65:B66"/>
    <mergeCell ref="D89:G89"/>
    <mergeCell ref="H23:K23"/>
    <mergeCell ref="H50:K50"/>
    <mergeCell ref="D88:G88"/>
    <mergeCell ref="Q85:Q86"/>
    <mergeCell ref="A97:A98"/>
    <mergeCell ref="B97:B98"/>
    <mergeCell ref="P97:P98"/>
    <mergeCell ref="D82:G82"/>
    <mergeCell ref="D12:G12"/>
    <mergeCell ref="H12:K12"/>
    <mergeCell ref="L12:O12"/>
    <mergeCell ref="H18:K18"/>
    <mergeCell ref="L18:O18"/>
    <mergeCell ref="A60:A61"/>
    <mergeCell ref="B52:B53"/>
    <mergeCell ref="L27:O27"/>
    <mergeCell ref="H33:K33"/>
    <mergeCell ref="L41:O41"/>
    <mergeCell ref="H42:K42"/>
    <mergeCell ref="D57:G57"/>
    <mergeCell ref="H57:K57"/>
    <mergeCell ref="L57:O57"/>
    <mergeCell ref="L50:O50"/>
    <mergeCell ref="D34:G34"/>
    <mergeCell ref="D47:G47"/>
    <mergeCell ref="H47:K47"/>
    <mergeCell ref="L47:O47"/>
    <mergeCell ref="D56:G56"/>
    <mergeCell ref="H56:K56"/>
    <mergeCell ref="L56:O56"/>
    <mergeCell ref="D76:G76"/>
    <mergeCell ref="H76:K76"/>
    <mergeCell ref="L76:O76"/>
    <mergeCell ref="D54:G54"/>
    <mergeCell ref="H54:K54"/>
    <mergeCell ref="L54:O54"/>
    <mergeCell ref="D55:G55"/>
    <mergeCell ref="H108:K108"/>
    <mergeCell ref="L108:O108"/>
    <mergeCell ref="D108:G108"/>
    <mergeCell ref="H89:K89"/>
    <mergeCell ref="D81:G81"/>
    <mergeCell ref="H81:K81"/>
    <mergeCell ref="D109:G109"/>
    <mergeCell ref="H109:K109"/>
    <mergeCell ref="L109:O109"/>
    <mergeCell ref="H88:K88"/>
    <mergeCell ref="L88:O88"/>
    <mergeCell ref="L89:O89"/>
  </mergeCells>
  <pageMargins left="0.7" right="0.7" top="0.75" bottom="0.75" header="0.3" footer="0.3"/>
  <pageSetup paperSize="9" scale="4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S77"/>
  <sheetViews>
    <sheetView rightToLeft="1" topLeftCell="A55" zoomScale="80" zoomScaleNormal="80" workbookViewId="0">
      <selection activeCell="R74" sqref="R74"/>
    </sheetView>
  </sheetViews>
  <sheetFormatPr defaultColWidth="9.125" defaultRowHeight="39.950000000000003" customHeight="1" x14ac:dyDescent="0.2"/>
  <cols>
    <col min="1" max="1" width="9.875" style="6" customWidth="1"/>
    <col min="2" max="2" width="56.75" style="6" customWidth="1"/>
    <col min="3" max="3" width="10.125" style="6" customWidth="1"/>
    <col min="4" max="4" width="5.375" style="6" bestFit="1" customWidth="1"/>
    <col min="5" max="5" width="6.25" style="6" bestFit="1" customWidth="1"/>
    <col min="6" max="6" width="6.125" style="6" bestFit="1" customWidth="1"/>
    <col min="7" max="7" width="5.75" style="6" bestFit="1" customWidth="1"/>
    <col min="8" max="8" width="5.375" style="6" bestFit="1" customWidth="1"/>
    <col min="9" max="9" width="6.25" style="6" bestFit="1" customWidth="1"/>
    <col min="10" max="10" width="6.125" style="6" bestFit="1" customWidth="1"/>
    <col min="11" max="11" width="5.75" style="6" bestFit="1" customWidth="1"/>
    <col min="12" max="12" width="5.375" style="6" bestFit="1" customWidth="1"/>
    <col min="13" max="13" width="6.25" style="6" bestFit="1" customWidth="1"/>
    <col min="14" max="14" width="6.125" style="6" bestFit="1" customWidth="1"/>
    <col min="15" max="15" width="5.75" style="6" bestFit="1" customWidth="1"/>
    <col min="16" max="16" width="9.75" style="6" bestFit="1" customWidth="1"/>
    <col min="17" max="17" width="25.625" style="6" bestFit="1" customWidth="1"/>
    <col min="18" max="18" width="42.375" style="6" customWidth="1"/>
    <col min="19" max="16384" width="9.125" style="6"/>
  </cols>
  <sheetData>
    <row r="1" spans="1:18" ht="39.950000000000003" customHeight="1" x14ac:dyDescent="0.2">
      <c r="A1" s="87" t="s">
        <v>169</v>
      </c>
      <c r="B1" s="87"/>
      <c r="C1" s="87"/>
      <c r="D1" s="87"/>
      <c r="E1" s="87"/>
      <c r="F1" s="87"/>
      <c r="G1" s="87"/>
      <c r="H1" s="87"/>
      <c r="I1" s="87"/>
      <c r="J1" s="87"/>
      <c r="K1" s="87"/>
      <c r="L1" s="87"/>
      <c r="M1" s="87"/>
      <c r="N1" s="87"/>
      <c r="O1" s="87"/>
      <c r="P1" s="87"/>
      <c r="Q1" s="87"/>
      <c r="R1" s="87"/>
    </row>
    <row r="2" spans="1:18" ht="39.950000000000003" customHeight="1" x14ac:dyDescent="0.2">
      <c r="A2" s="56" t="s">
        <v>4</v>
      </c>
      <c r="B2" s="56" t="s">
        <v>3</v>
      </c>
      <c r="C2" s="56" t="s">
        <v>141</v>
      </c>
      <c r="D2" s="56" t="s">
        <v>2</v>
      </c>
      <c r="E2" s="56"/>
      <c r="F2" s="56"/>
      <c r="G2" s="56"/>
      <c r="H2" s="56" t="s">
        <v>1</v>
      </c>
      <c r="I2" s="56"/>
      <c r="J2" s="56"/>
      <c r="K2" s="56"/>
      <c r="L2" s="56" t="s">
        <v>0</v>
      </c>
      <c r="M2" s="56"/>
      <c r="N2" s="56"/>
      <c r="O2" s="56"/>
      <c r="P2" s="56" t="s">
        <v>11</v>
      </c>
      <c r="Q2" s="56" t="s">
        <v>52</v>
      </c>
      <c r="R2" s="56" t="s">
        <v>477</v>
      </c>
    </row>
    <row r="3" spans="1:18" ht="46.5" x14ac:dyDescent="0.2">
      <c r="A3" s="56"/>
      <c r="B3" s="56"/>
      <c r="C3" s="56"/>
      <c r="D3" s="25" t="s">
        <v>8</v>
      </c>
      <c r="E3" s="25" t="s">
        <v>7</v>
      </c>
      <c r="F3" s="25" t="s">
        <v>6</v>
      </c>
      <c r="G3" s="25" t="s">
        <v>5</v>
      </c>
      <c r="H3" s="25" t="s">
        <v>8</v>
      </c>
      <c r="I3" s="25" t="s">
        <v>7</v>
      </c>
      <c r="J3" s="25" t="s">
        <v>6</v>
      </c>
      <c r="K3" s="25" t="s">
        <v>5</v>
      </c>
      <c r="L3" s="25" t="s">
        <v>8</v>
      </c>
      <c r="M3" s="25" t="s">
        <v>7</v>
      </c>
      <c r="N3" s="25" t="s">
        <v>6</v>
      </c>
      <c r="O3" s="25" t="s">
        <v>5</v>
      </c>
      <c r="P3" s="56"/>
      <c r="Q3" s="56"/>
      <c r="R3" s="56"/>
    </row>
    <row r="4" spans="1:18" ht="39.950000000000003" customHeight="1" x14ac:dyDescent="0.2">
      <c r="A4" s="69" t="s">
        <v>134</v>
      </c>
      <c r="B4" s="69"/>
      <c r="C4" s="69"/>
      <c r="D4" s="69"/>
      <c r="E4" s="69"/>
      <c r="F4" s="69"/>
      <c r="G4" s="69"/>
      <c r="H4" s="69"/>
      <c r="I4" s="69"/>
      <c r="J4" s="69"/>
      <c r="K4" s="69"/>
      <c r="L4" s="69"/>
      <c r="M4" s="69"/>
      <c r="N4" s="69"/>
      <c r="O4" s="69"/>
      <c r="P4" s="69"/>
      <c r="Q4" s="69"/>
      <c r="R4" s="69"/>
    </row>
    <row r="5" spans="1:18" ht="39.950000000000003" customHeight="1" x14ac:dyDescent="0.2">
      <c r="A5" s="23" t="s">
        <v>175</v>
      </c>
      <c r="B5" s="24" t="s">
        <v>93</v>
      </c>
      <c r="C5" s="20" t="s">
        <v>57</v>
      </c>
      <c r="D5" s="54">
        <v>30000</v>
      </c>
      <c r="E5" s="54"/>
      <c r="F5" s="54"/>
      <c r="G5" s="54"/>
      <c r="H5" s="54">
        <f>D5-(D5*20/100)</f>
        <v>24000</v>
      </c>
      <c r="I5" s="54"/>
      <c r="J5" s="54"/>
      <c r="K5" s="54"/>
      <c r="L5" s="54">
        <f>D5-(D5*40/100)</f>
        <v>18000</v>
      </c>
      <c r="M5" s="54"/>
      <c r="N5" s="54"/>
      <c r="O5" s="54"/>
      <c r="P5" s="26" t="s">
        <v>9</v>
      </c>
      <c r="Q5" s="20" t="s">
        <v>53</v>
      </c>
      <c r="R5" s="20" t="s">
        <v>478</v>
      </c>
    </row>
    <row r="6" spans="1:18" s="1" customFormat="1" ht="43.5" x14ac:dyDescent="0.2">
      <c r="A6" s="23" t="s">
        <v>192</v>
      </c>
      <c r="B6" s="24" t="s">
        <v>103</v>
      </c>
      <c r="C6" s="20" t="s">
        <v>57</v>
      </c>
      <c r="D6" s="54">
        <v>5000</v>
      </c>
      <c r="E6" s="54"/>
      <c r="F6" s="54"/>
      <c r="G6" s="54"/>
      <c r="H6" s="54">
        <f>D6-(D6*20/100)</f>
        <v>4000</v>
      </c>
      <c r="I6" s="54"/>
      <c r="J6" s="54"/>
      <c r="K6" s="54"/>
      <c r="L6" s="54">
        <f>D6-(D6*40/100)</f>
        <v>3000</v>
      </c>
      <c r="M6" s="54"/>
      <c r="N6" s="54"/>
      <c r="O6" s="54"/>
      <c r="P6" s="26" t="s">
        <v>9</v>
      </c>
      <c r="Q6" s="20" t="s">
        <v>505</v>
      </c>
      <c r="R6" s="20" t="s">
        <v>479</v>
      </c>
    </row>
    <row r="7" spans="1:18" s="1" customFormat="1" ht="43.5" x14ac:dyDescent="0.2">
      <c r="A7" s="27" t="s">
        <v>208</v>
      </c>
      <c r="B7" s="24" t="s">
        <v>104</v>
      </c>
      <c r="C7" s="20" t="s">
        <v>57</v>
      </c>
      <c r="D7" s="54">
        <v>1000</v>
      </c>
      <c r="E7" s="54"/>
      <c r="F7" s="54"/>
      <c r="G7" s="54"/>
      <c r="H7" s="54">
        <f>D7-(D7*20/100)</f>
        <v>800</v>
      </c>
      <c r="I7" s="54"/>
      <c r="J7" s="54"/>
      <c r="K7" s="54"/>
      <c r="L7" s="54">
        <f>D7-(D7*40/100)</f>
        <v>600</v>
      </c>
      <c r="M7" s="54"/>
      <c r="N7" s="54"/>
      <c r="O7" s="54"/>
      <c r="P7" s="26" t="s">
        <v>9</v>
      </c>
      <c r="Q7" s="20" t="s">
        <v>529</v>
      </c>
      <c r="R7" s="20" t="s">
        <v>479</v>
      </c>
    </row>
    <row r="8" spans="1:18" s="5" customFormat="1" ht="21.75" x14ac:dyDescent="0.2">
      <c r="A8" s="55" t="s">
        <v>222</v>
      </c>
      <c r="B8" s="85" t="s">
        <v>170</v>
      </c>
      <c r="C8" s="26" t="s">
        <v>45</v>
      </c>
      <c r="D8" s="26">
        <v>5000</v>
      </c>
      <c r="E8" s="26">
        <f>MROUND(D8-(D8*10/100),50)</f>
        <v>4500</v>
      </c>
      <c r="F8" s="26">
        <f>MROUND(D8-(D8*20/100),50)</f>
        <v>4000</v>
      </c>
      <c r="G8" s="26">
        <f>MROUND(D8-(D8*30/100),50)</f>
        <v>3500</v>
      </c>
      <c r="H8" s="26">
        <f>MROUND(D8-(D8*10/100),50)</f>
        <v>4500</v>
      </c>
      <c r="I8" s="26">
        <f>MROUND(H8-(H8*10/100),50)</f>
        <v>4050</v>
      </c>
      <c r="J8" s="26">
        <f>MROUND(H8-(H8*20/100),50)</f>
        <v>3600</v>
      </c>
      <c r="K8" s="26">
        <f>MROUND(H8-(H8*30/100),50)</f>
        <v>3150</v>
      </c>
      <c r="L8" s="26">
        <f>MROUND(D8-(D8*20/100),50)</f>
        <v>4000</v>
      </c>
      <c r="M8" s="26">
        <f>MROUND(L8-(L8*10/100),50)</f>
        <v>3600</v>
      </c>
      <c r="N8" s="26">
        <f>MROUND(L8-(L8*20/100),50)</f>
        <v>3200</v>
      </c>
      <c r="O8" s="26">
        <f>MROUND(L8-(L8*30/100),50)</f>
        <v>2800</v>
      </c>
      <c r="P8" s="85" t="s">
        <v>10</v>
      </c>
      <c r="Q8" s="85" t="s">
        <v>53</v>
      </c>
      <c r="R8" s="85" t="s">
        <v>486</v>
      </c>
    </row>
    <row r="9" spans="1:18" s="5" customFormat="1" ht="21.75" x14ac:dyDescent="0.2">
      <c r="A9" s="55"/>
      <c r="B9" s="85"/>
      <c r="C9" s="26" t="s">
        <v>46</v>
      </c>
      <c r="D9" s="26">
        <f>D8*50/100</f>
        <v>2500</v>
      </c>
      <c r="E9" s="24">
        <f t="shared" ref="E9:O9" si="0">MROUND(E8*50/100,50)</f>
        <v>2250</v>
      </c>
      <c r="F9" s="24">
        <f t="shared" si="0"/>
        <v>2000</v>
      </c>
      <c r="G9" s="24">
        <f t="shared" si="0"/>
        <v>1750</v>
      </c>
      <c r="H9" s="24">
        <f t="shared" si="0"/>
        <v>2250</v>
      </c>
      <c r="I9" s="24">
        <f t="shared" si="0"/>
        <v>2050</v>
      </c>
      <c r="J9" s="24">
        <f t="shared" si="0"/>
        <v>1800</v>
      </c>
      <c r="K9" s="24">
        <f t="shared" si="0"/>
        <v>1600</v>
      </c>
      <c r="L9" s="24">
        <f t="shared" si="0"/>
        <v>2000</v>
      </c>
      <c r="M9" s="24">
        <f t="shared" si="0"/>
        <v>1800</v>
      </c>
      <c r="N9" s="24">
        <f t="shared" si="0"/>
        <v>1600</v>
      </c>
      <c r="O9" s="24">
        <f t="shared" si="0"/>
        <v>1400</v>
      </c>
      <c r="P9" s="85"/>
      <c r="Q9" s="85"/>
      <c r="R9" s="85"/>
    </row>
    <row r="10" spans="1:18" s="5" customFormat="1" ht="21.75" x14ac:dyDescent="0.2">
      <c r="A10" s="55" t="s">
        <v>240</v>
      </c>
      <c r="B10" s="85" t="s">
        <v>85</v>
      </c>
      <c r="C10" s="26" t="s">
        <v>45</v>
      </c>
      <c r="D10" s="26">
        <v>2000</v>
      </c>
      <c r="E10" s="26">
        <f>MROUND(D10-(D10*10/100),50)</f>
        <v>1800</v>
      </c>
      <c r="F10" s="26">
        <f>MROUND(D10-(D10*20/100),50)</f>
        <v>1600</v>
      </c>
      <c r="G10" s="26">
        <f>MROUND(D10-(D10*30/100),50)</f>
        <v>1400</v>
      </c>
      <c r="H10" s="26">
        <f>MROUND(D10-(D10*10/100),50)</f>
        <v>1800</v>
      </c>
      <c r="I10" s="26">
        <f>MROUND(H10-(H10*10/100),50)</f>
        <v>1600</v>
      </c>
      <c r="J10" s="26">
        <f>MROUND(H10-(H10*20/100),50)</f>
        <v>1450</v>
      </c>
      <c r="K10" s="26">
        <f>MROUND(H10-(H10*30/100),50)</f>
        <v>1250</v>
      </c>
      <c r="L10" s="26">
        <f>MROUND(D10-(D10*20/100),50)</f>
        <v>1600</v>
      </c>
      <c r="M10" s="26">
        <f>MROUND(L10-(L10*10/100),50)</f>
        <v>1450</v>
      </c>
      <c r="N10" s="26">
        <f>MROUND(L10-(L10*20/100),50)</f>
        <v>1300</v>
      </c>
      <c r="O10" s="26">
        <f>MROUND(L10-(L10*30/100),50)</f>
        <v>1100</v>
      </c>
      <c r="P10" s="85" t="s">
        <v>10</v>
      </c>
      <c r="Q10" s="85" t="s">
        <v>53</v>
      </c>
      <c r="R10" s="85" t="s">
        <v>486</v>
      </c>
    </row>
    <row r="11" spans="1:18" s="5" customFormat="1" ht="21.75" x14ac:dyDescent="0.2">
      <c r="A11" s="55"/>
      <c r="B11" s="85"/>
      <c r="C11" s="26" t="s">
        <v>46</v>
      </c>
      <c r="D11" s="26">
        <f>D10*50/100</f>
        <v>1000</v>
      </c>
      <c r="E11" s="24">
        <f t="shared" ref="E11:O11" si="1">MROUND(E10*50/100,50)</f>
        <v>900</v>
      </c>
      <c r="F11" s="24">
        <f t="shared" si="1"/>
        <v>800</v>
      </c>
      <c r="G11" s="24">
        <f t="shared" si="1"/>
        <v>700</v>
      </c>
      <c r="H11" s="24">
        <f t="shared" si="1"/>
        <v>900</v>
      </c>
      <c r="I11" s="24">
        <f t="shared" si="1"/>
        <v>800</v>
      </c>
      <c r="J11" s="24">
        <f t="shared" si="1"/>
        <v>750</v>
      </c>
      <c r="K11" s="24">
        <f t="shared" si="1"/>
        <v>650</v>
      </c>
      <c r="L11" s="24">
        <f t="shared" si="1"/>
        <v>800</v>
      </c>
      <c r="M11" s="24">
        <f t="shared" si="1"/>
        <v>750</v>
      </c>
      <c r="N11" s="24">
        <f t="shared" si="1"/>
        <v>650</v>
      </c>
      <c r="O11" s="24">
        <f t="shared" si="1"/>
        <v>550</v>
      </c>
      <c r="P11" s="85"/>
      <c r="Q11" s="85"/>
      <c r="R11" s="85"/>
    </row>
    <row r="12" spans="1:18" s="1" customFormat="1" ht="21.75" customHeight="1" x14ac:dyDescent="0.2">
      <c r="A12" s="55" t="s">
        <v>409</v>
      </c>
      <c r="B12" s="54" t="s">
        <v>105</v>
      </c>
      <c r="C12" s="26" t="s">
        <v>45</v>
      </c>
      <c r="D12" s="26">
        <v>3000</v>
      </c>
      <c r="E12" s="26">
        <f>MROUND(D12-(D12*10/100),50)</f>
        <v>2700</v>
      </c>
      <c r="F12" s="26">
        <f>MROUND(D12-(D12*20/100),50)</f>
        <v>2400</v>
      </c>
      <c r="G12" s="26">
        <f>MROUND(D12-(D12*30/100),50)</f>
        <v>2100</v>
      </c>
      <c r="H12" s="26">
        <f>MROUND(D12-(D12*10/100),50)</f>
        <v>2700</v>
      </c>
      <c r="I12" s="26">
        <f>MROUND(H12-(H12*10/100),50)</f>
        <v>2450</v>
      </c>
      <c r="J12" s="26">
        <f>MROUND(H12-(H12*20/100),50)</f>
        <v>2150</v>
      </c>
      <c r="K12" s="26">
        <f>MROUND(H12-(H12*30/100),50)</f>
        <v>1900</v>
      </c>
      <c r="L12" s="26">
        <f>MROUND(D12-(D12*20/100),50)</f>
        <v>2400</v>
      </c>
      <c r="M12" s="26">
        <f>MROUND(L12-(L12*10/100),50)</f>
        <v>2150</v>
      </c>
      <c r="N12" s="26">
        <f>MROUND(L12-(L12*20/100),50)</f>
        <v>1900</v>
      </c>
      <c r="O12" s="26">
        <f>MROUND(L12-(L12*30/100),50)</f>
        <v>1700</v>
      </c>
      <c r="P12" s="85" t="s">
        <v>10</v>
      </c>
      <c r="Q12" s="85" t="s">
        <v>53</v>
      </c>
      <c r="R12" s="73" t="s">
        <v>487</v>
      </c>
    </row>
    <row r="13" spans="1:18" s="1" customFormat="1" ht="21.75" x14ac:dyDescent="0.2">
      <c r="A13" s="55"/>
      <c r="B13" s="54"/>
      <c r="C13" s="26" t="s">
        <v>41</v>
      </c>
      <c r="D13" s="26">
        <f>D12*50/100</f>
        <v>1500</v>
      </c>
      <c r="E13" s="24">
        <f t="shared" ref="E13:O13" si="2">MROUND(E12*50/100,50)</f>
        <v>1350</v>
      </c>
      <c r="F13" s="24">
        <f t="shared" si="2"/>
        <v>1200</v>
      </c>
      <c r="G13" s="24">
        <f t="shared" si="2"/>
        <v>1050</v>
      </c>
      <c r="H13" s="24">
        <f t="shared" si="2"/>
        <v>1350</v>
      </c>
      <c r="I13" s="24">
        <f t="shared" si="2"/>
        <v>1250</v>
      </c>
      <c r="J13" s="24">
        <f t="shared" si="2"/>
        <v>1100</v>
      </c>
      <c r="K13" s="24">
        <f t="shared" si="2"/>
        <v>950</v>
      </c>
      <c r="L13" s="24">
        <f t="shared" si="2"/>
        <v>1200</v>
      </c>
      <c r="M13" s="24">
        <f t="shared" si="2"/>
        <v>1100</v>
      </c>
      <c r="N13" s="24">
        <f t="shared" si="2"/>
        <v>950</v>
      </c>
      <c r="O13" s="24">
        <f t="shared" si="2"/>
        <v>850</v>
      </c>
      <c r="P13" s="85"/>
      <c r="Q13" s="85"/>
      <c r="R13" s="73"/>
    </row>
    <row r="14" spans="1:18" ht="21.75" customHeight="1" x14ac:dyDescent="0.2">
      <c r="A14" s="55" t="s">
        <v>410</v>
      </c>
      <c r="B14" s="85" t="s">
        <v>106</v>
      </c>
      <c r="C14" s="26" t="s">
        <v>40</v>
      </c>
      <c r="D14" s="26">
        <v>5000</v>
      </c>
      <c r="E14" s="26">
        <f>MROUND(D14-(D14*10/100),50)</f>
        <v>4500</v>
      </c>
      <c r="F14" s="26">
        <f>MROUND(D14-(D14*20/100),50)</f>
        <v>4000</v>
      </c>
      <c r="G14" s="26">
        <f>MROUND(D14-(D14*30/100),50)</f>
        <v>3500</v>
      </c>
      <c r="H14" s="26">
        <f>MROUND(D14-(D14*10/100),50)</f>
        <v>4500</v>
      </c>
      <c r="I14" s="26">
        <f>MROUND(H14-(H14*10/100),50)</f>
        <v>4050</v>
      </c>
      <c r="J14" s="26">
        <f>MROUND(H14-(H14*20/100),50)</f>
        <v>3600</v>
      </c>
      <c r="K14" s="26">
        <f>MROUND(H14-(H14*30/100),50)</f>
        <v>3150</v>
      </c>
      <c r="L14" s="26">
        <f>MROUND(D14-(D14*20/100),50)</f>
        <v>4000</v>
      </c>
      <c r="M14" s="26">
        <f>MROUND(L14-(L14*10/100),50)</f>
        <v>3600</v>
      </c>
      <c r="N14" s="26">
        <f>MROUND(L14-(L14*20/100),50)</f>
        <v>3200</v>
      </c>
      <c r="O14" s="26">
        <f>MROUND(L14-(L14*30/100),50)</f>
        <v>2800</v>
      </c>
      <c r="P14" s="85" t="s">
        <v>10</v>
      </c>
      <c r="Q14" s="54" t="s">
        <v>241</v>
      </c>
      <c r="R14" s="54" t="s">
        <v>489</v>
      </c>
    </row>
    <row r="15" spans="1:18" ht="39" customHeight="1" x14ac:dyDescent="0.2">
      <c r="A15" s="55"/>
      <c r="B15" s="85"/>
      <c r="C15" s="26" t="s">
        <v>41</v>
      </c>
      <c r="D15" s="26">
        <f>D14*50/100</f>
        <v>2500</v>
      </c>
      <c r="E15" s="24">
        <f t="shared" ref="E15:O15" si="3">MROUND(E14*50/100,50)</f>
        <v>2250</v>
      </c>
      <c r="F15" s="24">
        <f t="shared" si="3"/>
        <v>2000</v>
      </c>
      <c r="G15" s="24">
        <f t="shared" si="3"/>
        <v>1750</v>
      </c>
      <c r="H15" s="24">
        <f t="shared" si="3"/>
        <v>2250</v>
      </c>
      <c r="I15" s="24">
        <f t="shared" si="3"/>
        <v>2050</v>
      </c>
      <c r="J15" s="24">
        <f t="shared" si="3"/>
        <v>1800</v>
      </c>
      <c r="K15" s="24">
        <f t="shared" si="3"/>
        <v>1600</v>
      </c>
      <c r="L15" s="24">
        <f t="shared" si="3"/>
        <v>2000</v>
      </c>
      <c r="M15" s="24">
        <f t="shared" si="3"/>
        <v>1800</v>
      </c>
      <c r="N15" s="24">
        <f t="shared" si="3"/>
        <v>1600</v>
      </c>
      <c r="O15" s="24">
        <f t="shared" si="3"/>
        <v>1400</v>
      </c>
      <c r="P15" s="85"/>
      <c r="Q15" s="54"/>
      <c r="R15" s="54"/>
    </row>
    <row r="16" spans="1:18" ht="39.950000000000003" customHeight="1" x14ac:dyDescent="0.2">
      <c r="A16" s="88" t="s">
        <v>68</v>
      </c>
      <c r="B16" s="88"/>
      <c r="C16" s="88"/>
      <c r="D16" s="88"/>
      <c r="E16" s="88"/>
      <c r="F16" s="88"/>
      <c r="G16" s="88"/>
      <c r="H16" s="88"/>
      <c r="I16" s="88"/>
      <c r="J16" s="88"/>
      <c r="K16" s="88"/>
      <c r="L16" s="88"/>
      <c r="M16" s="88"/>
      <c r="N16" s="88"/>
      <c r="O16" s="88"/>
      <c r="P16" s="88"/>
      <c r="Q16" s="88"/>
      <c r="R16" s="88"/>
    </row>
    <row r="17" spans="1:19" ht="59.25" customHeight="1" x14ac:dyDescent="0.2">
      <c r="A17" s="22" t="s">
        <v>180</v>
      </c>
      <c r="B17" s="24" t="s">
        <v>78</v>
      </c>
      <c r="C17" s="24" t="s">
        <v>57</v>
      </c>
      <c r="D17" s="54">
        <v>100000</v>
      </c>
      <c r="E17" s="54"/>
      <c r="F17" s="54"/>
      <c r="G17" s="54"/>
      <c r="H17" s="54">
        <f t="shared" ref="H17:H25" si="4">D17-(D17*20/100)</f>
        <v>80000</v>
      </c>
      <c r="I17" s="54"/>
      <c r="J17" s="54"/>
      <c r="K17" s="54"/>
      <c r="L17" s="54">
        <f t="shared" ref="L17:L25" si="5">D17-(D17*40/100)</f>
        <v>60000</v>
      </c>
      <c r="M17" s="54"/>
      <c r="N17" s="54"/>
      <c r="O17" s="54"/>
      <c r="P17" s="24" t="s">
        <v>9</v>
      </c>
      <c r="Q17" s="24" t="s">
        <v>246</v>
      </c>
      <c r="R17" s="34" t="s">
        <v>495</v>
      </c>
      <c r="S17" s="33" t="s">
        <v>493</v>
      </c>
    </row>
    <row r="18" spans="1:19" ht="43.5" x14ac:dyDescent="0.2">
      <c r="A18" s="23" t="s">
        <v>197</v>
      </c>
      <c r="B18" s="24" t="s">
        <v>37</v>
      </c>
      <c r="C18" s="24" t="s">
        <v>57</v>
      </c>
      <c r="D18" s="54">
        <v>500000</v>
      </c>
      <c r="E18" s="54">
        <f>D18-(D18*10/100)</f>
        <v>450000</v>
      </c>
      <c r="F18" s="54">
        <f>D18-(D18*20/100)</f>
        <v>400000</v>
      </c>
      <c r="G18" s="54">
        <f>D18-(D18*30/100)</f>
        <v>350000</v>
      </c>
      <c r="H18" s="54">
        <f t="shared" si="4"/>
        <v>400000</v>
      </c>
      <c r="I18" s="54"/>
      <c r="J18" s="54"/>
      <c r="K18" s="54"/>
      <c r="L18" s="54">
        <f t="shared" si="5"/>
        <v>300000</v>
      </c>
      <c r="M18" s="54"/>
      <c r="N18" s="54"/>
      <c r="O18" s="54"/>
      <c r="P18" s="24" t="s">
        <v>9</v>
      </c>
      <c r="Q18" s="24" t="s">
        <v>246</v>
      </c>
      <c r="R18" s="34" t="s">
        <v>495</v>
      </c>
      <c r="S18" s="33" t="s">
        <v>493</v>
      </c>
    </row>
    <row r="19" spans="1:19" ht="21.75" x14ac:dyDescent="0.2">
      <c r="A19" s="23" t="s">
        <v>213</v>
      </c>
      <c r="B19" s="24" t="s">
        <v>44</v>
      </c>
      <c r="C19" s="24" t="s">
        <v>57</v>
      </c>
      <c r="D19" s="54">
        <v>60000</v>
      </c>
      <c r="E19" s="54">
        <f>D19-(D19*10/100)</f>
        <v>54000</v>
      </c>
      <c r="F19" s="54">
        <f>D19-(D19*20/100)</f>
        <v>48000</v>
      </c>
      <c r="G19" s="54">
        <f>D19-(D19*30/100)</f>
        <v>42000</v>
      </c>
      <c r="H19" s="54">
        <f t="shared" si="4"/>
        <v>48000</v>
      </c>
      <c r="I19" s="54"/>
      <c r="J19" s="54"/>
      <c r="K19" s="54"/>
      <c r="L19" s="54">
        <f t="shared" si="5"/>
        <v>36000</v>
      </c>
      <c r="M19" s="54"/>
      <c r="N19" s="54"/>
      <c r="O19" s="54"/>
      <c r="P19" s="24" t="s">
        <v>9</v>
      </c>
      <c r="Q19" s="24" t="s">
        <v>251</v>
      </c>
      <c r="R19" s="34" t="s">
        <v>480</v>
      </c>
      <c r="S19" s="33" t="s">
        <v>493</v>
      </c>
    </row>
    <row r="20" spans="1:19" ht="39.950000000000003" customHeight="1" x14ac:dyDescent="0.2">
      <c r="A20" s="22" t="s">
        <v>226</v>
      </c>
      <c r="B20" s="24" t="s">
        <v>89</v>
      </c>
      <c r="C20" s="24" t="s">
        <v>57</v>
      </c>
      <c r="D20" s="54">
        <v>30000</v>
      </c>
      <c r="E20" s="54">
        <f>D20-(D20*10/100)</f>
        <v>27000</v>
      </c>
      <c r="F20" s="54">
        <f>D20-(D20*20/100)</f>
        <v>24000</v>
      </c>
      <c r="G20" s="54">
        <f>D20-(D20*30/100)</f>
        <v>21000</v>
      </c>
      <c r="H20" s="54">
        <f t="shared" si="4"/>
        <v>24000</v>
      </c>
      <c r="I20" s="54"/>
      <c r="J20" s="54"/>
      <c r="K20" s="54"/>
      <c r="L20" s="54">
        <f t="shared" si="5"/>
        <v>18000</v>
      </c>
      <c r="M20" s="54"/>
      <c r="N20" s="54"/>
      <c r="O20" s="54"/>
      <c r="P20" s="24" t="s">
        <v>9</v>
      </c>
      <c r="Q20" s="24" t="s">
        <v>247</v>
      </c>
      <c r="R20" s="34" t="s">
        <v>495</v>
      </c>
      <c r="S20" s="33" t="s">
        <v>493</v>
      </c>
    </row>
    <row r="21" spans="1:19" ht="39.950000000000003" customHeight="1" x14ac:dyDescent="0.2">
      <c r="A21" s="22" t="s">
        <v>235</v>
      </c>
      <c r="B21" s="24" t="s">
        <v>61</v>
      </c>
      <c r="C21" s="24" t="s">
        <v>57</v>
      </c>
      <c r="D21" s="54">
        <v>25000</v>
      </c>
      <c r="E21" s="54">
        <f>D21-(D21*10/100)</f>
        <v>22500</v>
      </c>
      <c r="F21" s="54">
        <f>D21-(D21*20/100)</f>
        <v>20000</v>
      </c>
      <c r="G21" s="54">
        <f>D21-(D21*30/100)</f>
        <v>17500</v>
      </c>
      <c r="H21" s="54">
        <f t="shared" si="4"/>
        <v>20000</v>
      </c>
      <c r="I21" s="54"/>
      <c r="J21" s="54"/>
      <c r="K21" s="54"/>
      <c r="L21" s="54">
        <f t="shared" si="5"/>
        <v>15000</v>
      </c>
      <c r="M21" s="54"/>
      <c r="N21" s="54"/>
      <c r="O21" s="54"/>
      <c r="P21" s="24" t="s">
        <v>9</v>
      </c>
      <c r="Q21" s="24" t="s">
        <v>248</v>
      </c>
      <c r="R21" s="34" t="s">
        <v>495</v>
      </c>
      <c r="S21" s="33" t="s">
        <v>493</v>
      </c>
    </row>
    <row r="22" spans="1:19" ht="39.950000000000003" customHeight="1" x14ac:dyDescent="0.2">
      <c r="A22" s="22" t="s">
        <v>411</v>
      </c>
      <c r="B22" s="24" t="s">
        <v>38</v>
      </c>
      <c r="C22" s="24" t="s">
        <v>57</v>
      </c>
      <c r="D22" s="54">
        <v>20000</v>
      </c>
      <c r="E22" s="54">
        <f>D22-(D22*10/100)</f>
        <v>18000</v>
      </c>
      <c r="F22" s="54">
        <f>D22-(D22*20/100)</f>
        <v>16000</v>
      </c>
      <c r="G22" s="54">
        <f>D22-(D22*30/100)</f>
        <v>14000</v>
      </c>
      <c r="H22" s="54">
        <f t="shared" si="4"/>
        <v>16000</v>
      </c>
      <c r="I22" s="54"/>
      <c r="J22" s="54"/>
      <c r="K22" s="54"/>
      <c r="L22" s="54">
        <f t="shared" si="5"/>
        <v>12000</v>
      </c>
      <c r="M22" s="54"/>
      <c r="N22" s="54"/>
      <c r="O22" s="54"/>
      <c r="P22" s="24" t="s">
        <v>9</v>
      </c>
      <c r="Q22" s="24" t="s">
        <v>249</v>
      </c>
      <c r="R22" s="34" t="s">
        <v>495</v>
      </c>
      <c r="S22" s="33" t="s">
        <v>493</v>
      </c>
    </row>
    <row r="23" spans="1:19" ht="39.950000000000003" customHeight="1" x14ac:dyDescent="0.2">
      <c r="A23" s="23" t="s">
        <v>412</v>
      </c>
      <c r="B23" s="44" t="s">
        <v>137</v>
      </c>
      <c r="C23" s="44" t="s">
        <v>57</v>
      </c>
      <c r="D23" s="84">
        <v>100000</v>
      </c>
      <c r="E23" s="84"/>
      <c r="F23" s="84"/>
      <c r="G23" s="84"/>
      <c r="H23" s="84">
        <f t="shared" si="4"/>
        <v>80000</v>
      </c>
      <c r="I23" s="84"/>
      <c r="J23" s="84"/>
      <c r="K23" s="84"/>
      <c r="L23" s="84">
        <f t="shared" si="5"/>
        <v>60000</v>
      </c>
      <c r="M23" s="84"/>
      <c r="N23" s="84"/>
      <c r="O23" s="84"/>
      <c r="P23" s="44" t="s">
        <v>9</v>
      </c>
      <c r="Q23" s="44" t="s">
        <v>53</v>
      </c>
      <c r="R23" s="34" t="s">
        <v>494</v>
      </c>
      <c r="S23" s="33" t="s">
        <v>493</v>
      </c>
    </row>
    <row r="24" spans="1:19" ht="39.950000000000003" customHeight="1" x14ac:dyDescent="0.2">
      <c r="A24" s="23" t="s">
        <v>416</v>
      </c>
      <c r="B24" s="24" t="s">
        <v>148</v>
      </c>
      <c r="C24" s="24" t="s">
        <v>57</v>
      </c>
      <c r="D24" s="54">
        <v>20000</v>
      </c>
      <c r="E24" s="54"/>
      <c r="F24" s="54"/>
      <c r="G24" s="54"/>
      <c r="H24" s="54">
        <f t="shared" si="4"/>
        <v>16000</v>
      </c>
      <c r="I24" s="54"/>
      <c r="J24" s="54"/>
      <c r="K24" s="54"/>
      <c r="L24" s="54">
        <f t="shared" si="5"/>
        <v>12000</v>
      </c>
      <c r="M24" s="54"/>
      <c r="N24" s="54"/>
      <c r="O24" s="54"/>
      <c r="P24" s="24" t="s">
        <v>9</v>
      </c>
      <c r="Q24" s="24" t="s">
        <v>249</v>
      </c>
      <c r="R24" s="34" t="s">
        <v>495</v>
      </c>
      <c r="S24" s="33" t="s">
        <v>493</v>
      </c>
    </row>
    <row r="25" spans="1:19" ht="39.950000000000003" customHeight="1" x14ac:dyDescent="0.2">
      <c r="A25" s="23" t="s">
        <v>417</v>
      </c>
      <c r="B25" s="24" t="s">
        <v>24</v>
      </c>
      <c r="C25" s="24" t="s">
        <v>49</v>
      </c>
      <c r="D25" s="54">
        <v>5000</v>
      </c>
      <c r="E25" s="54">
        <f>D25-(D25*10/100)</f>
        <v>4500</v>
      </c>
      <c r="F25" s="54">
        <f>D25-(D25*20/100)</f>
        <v>4000</v>
      </c>
      <c r="G25" s="54">
        <f>D25-(D25*30/100)</f>
        <v>3500</v>
      </c>
      <c r="H25" s="54">
        <f t="shared" si="4"/>
        <v>4000</v>
      </c>
      <c r="I25" s="54"/>
      <c r="J25" s="54"/>
      <c r="K25" s="54"/>
      <c r="L25" s="54">
        <f t="shared" si="5"/>
        <v>3000</v>
      </c>
      <c r="M25" s="54"/>
      <c r="N25" s="54"/>
      <c r="O25" s="54"/>
      <c r="P25" s="24" t="s">
        <v>9</v>
      </c>
      <c r="Q25" s="24" t="s">
        <v>53</v>
      </c>
      <c r="R25" s="38" t="s">
        <v>486</v>
      </c>
      <c r="S25" s="33" t="s">
        <v>493</v>
      </c>
    </row>
    <row r="26" spans="1:19" s="5" customFormat="1" ht="39.950000000000003" customHeight="1" x14ac:dyDescent="0.2">
      <c r="A26" s="23" t="s">
        <v>418</v>
      </c>
      <c r="B26" s="24" t="s">
        <v>25</v>
      </c>
      <c r="C26" s="24" t="s">
        <v>49</v>
      </c>
      <c r="D26" s="54">
        <v>20000</v>
      </c>
      <c r="E26" s="54"/>
      <c r="F26" s="54"/>
      <c r="G26" s="54"/>
      <c r="H26" s="54">
        <f t="shared" ref="H26:H35" si="6">D26-(D26*20/100)</f>
        <v>16000</v>
      </c>
      <c r="I26" s="54"/>
      <c r="J26" s="54"/>
      <c r="K26" s="54"/>
      <c r="L26" s="54">
        <f t="shared" ref="L26:L35" si="7">D26-(D26*40/100)</f>
        <v>12000</v>
      </c>
      <c r="M26" s="54"/>
      <c r="N26" s="54"/>
      <c r="O26" s="54"/>
      <c r="P26" s="24" t="s">
        <v>9</v>
      </c>
      <c r="Q26" s="24" t="s">
        <v>53</v>
      </c>
      <c r="R26" s="38" t="s">
        <v>486</v>
      </c>
      <c r="S26" s="33" t="s">
        <v>493</v>
      </c>
    </row>
    <row r="27" spans="1:19" s="5" customFormat="1" ht="39.950000000000003" customHeight="1" x14ac:dyDescent="0.2">
      <c r="A27" s="23" t="s">
        <v>419</v>
      </c>
      <c r="B27" s="24" t="s">
        <v>274</v>
      </c>
      <c r="C27" s="24" t="s">
        <v>49</v>
      </c>
      <c r="D27" s="54">
        <v>5000</v>
      </c>
      <c r="E27" s="54">
        <f>D27-(D27*10/100)</f>
        <v>4500</v>
      </c>
      <c r="F27" s="54">
        <f>D27-(D27*20/100)</f>
        <v>4000</v>
      </c>
      <c r="G27" s="54">
        <f>D27-(D27*30/100)</f>
        <v>3500</v>
      </c>
      <c r="H27" s="54">
        <f t="shared" si="6"/>
        <v>4000</v>
      </c>
      <c r="I27" s="54"/>
      <c r="J27" s="54"/>
      <c r="K27" s="54"/>
      <c r="L27" s="54">
        <f t="shared" si="7"/>
        <v>3000</v>
      </c>
      <c r="M27" s="54"/>
      <c r="N27" s="54"/>
      <c r="O27" s="54"/>
      <c r="P27" s="24" t="s">
        <v>9</v>
      </c>
      <c r="Q27" s="24" t="s">
        <v>53</v>
      </c>
      <c r="R27" s="34" t="s">
        <v>486</v>
      </c>
      <c r="S27" s="33" t="s">
        <v>493</v>
      </c>
    </row>
    <row r="28" spans="1:19" ht="60" customHeight="1" x14ac:dyDescent="0.2">
      <c r="A28" s="23" t="s">
        <v>420</v>
      </c>
      <c r="B28" s="24" t="s">
        <v>62</v>
      </c>
      <c r="C28" s="24" t="s">
        <v>57</v>
      </c>
      <c r="D28" s="54">
        <v>20000</v>
      </c>
      <c r="E28" s="54"/>
      <c r="F28" s="54"/>
      <c r="G28" s="54"/>
      <c r="H28" s="54">
        <f t="shared" si="6"/>
        <v>16000</v>
      </c>
      <c r="I28" s="54"/>
      <c r="J28" s="54"/>
      <c r="K28" s="54"/>
      <c r="L28" s="54">
        <f t="shared" si="7"/>
        <v>12000</v>
      </c>
      <c r="M28" s="54"/>
      <c r="N28" s="54"/>
      <c r="O28" s="54"/>
      <c r="P28" s="24" t="s">
        <v>9</v>
      </c>
      <c r="Q28" s="24" t="s">
        <v>249</v>
      </c>
      <c r="R28" s="34" t="s">
        <v>495</v>
      </c>
      <c r="S28" s="33" t="s">
        <v>493</v>
      </c>
    </row>
    <row r="29" spans="1:19" ht="77.25" customHeight="1" x14ac:dyDescent="0.2">
      <c r="A29" s="23" t="s">
        <v>413</v>
      </c>
      <c r="B29" s="24" t="s">
        <v>54</v>
      </c>
      <c r="C29" s="24" t="s">
        <v>57</v>
      </c>
      <c r="D29" s="54">
        <v>15000</v>
      </c>
      <c r="E29" s="54">
        <f>D29-(D29*10/100)</f>
        <v>13500</v>
      </c>
      <c r="F29" s="54">
        <f>D29-(D29*20/100)</f>
        <v>12000</v>
      </c>
      <c r="G29" s="54">
        <f>D29-(D29*30/100)</f>
        <v>10500</v>
      </c>
      <c r="H29" s="54">
        <f t="shared" si="6"/>
        <v>12000</v>
      </c>
      <c r="I29" s="54"/>
      <c r="J29" s="54"/>
      <c r="K29" s="54"/>
      <c r="L29" s="54">
        <f t="shared" si="7"/>
        <v>9000</v>
      </c>
      <c r="M29" s="54"/>
      <c r="N29" s="54"/>
      <c r="O29" s="54"/>
      <c r="P29" s="24" t="s">
        <v>9</v>
      </c>
      <c r="Q29" s="24" t="s">
        <v>250</v>
      </c>
      <c r="R29" s="34" t="s">
        <v>495</v>
      </c>
      <c r="S29" s="33" t="s">
        <v>493</v>
      </c>
    </row>
    <row r="30" spans="1:19" ht="21.75" x14ac:dyDescent="0.2">
      <c r="A30" s="55" t="s">
        <v>414</v>
      </c>
      <c r="B30" s="54" t="s">
        <v>35</v>
      </c>
      <c r="C30" s="24" t="s">
        <v>40</v>
      </c>
      <c r="D30" s="24">
        <v>5000</v>
      </c>
      <c r="E30" s="24">
        <f>MROUND(D30-(D30*10/100),50)</f>
        <v>4500</v>
      </c>
      <c r="F30" s="24">
        <f>MROUND(D30-(D30*20/100),50)</f>
        <v>4000</v>
      </c>
      <c r="G30" s="24">
        <f>MROUND(D30-(D30*30/100),50)</f>
        <v>3500</v>
      </c>
      <c r="H30" s="24">
        <f>MROUND(D30-(D30*10/100),50)</f>
        <v>4500</v>
      </c>
      <c r="I30" s="24">
        <f>MROUND(H30-(H30*10/100),50)</f>
        <v>4050</v>
      </c>
      <c r="J30" s="24">
        <f>MROUND(H30-(H30*20/100),50)</f>
        <v>3600</v>
      </c>
      <c r="K30" s="24">
        <f>MROUND(H30-(H30*30/100),50)</f>
        <v>3150</v>
      </c>
      <c r="L30" s="24">
        <f>MROUND(D30-(D30*20/100),50)</f>
        <v>4000</v>
      </c>
      <c r="M30" s="24">
        <f>MROUND(L30-(L30*10/100),50)</f>
        <v>3600</v>
      </c>
      <c r="N30" s="24">
        <f>MROUND(L30-(L30*20/100),50)</f>
        <v>3200</v>
      </c>
      <c r="O30" s="24">
        <f>MROUND(L30-(L30*30/100),50)</f>
        <v>2800</v>
      </c>
      <c r="P30" s="54" t="s">
        <v>10</v>
      </c>
      <c r="Q30" s="54" t="s">
        <v>53</v>
      </c>
      <c r="R30" s="54" t="s">
        <v>516</v>
      </c>
      <c r="S30" s="33" t="s">
        <v>493</v>
      </c>
    </row>
    <row r="31" spans="1:19" ht="21.75" x14ac:dyDescent="0.2">
      <c r="A31" s="55"/>
      <c r="B31" s="54"/>
      <c r="C31" s="24" t="s">
        <v>41</v>
      </c>
      <c r="D31" s="24">
        <f>D30*50/100</f>
        <v>2500</v>
      </c>
      <c r="E31" s="24">
        <f t="shared" ref="E31:O31" si="8">MROUND(E30*50/100,50)</f>
        <v>2250</v>
      </c>
      <c r="F31" s="24">
        <f t="shared" si="8"/>
        <v>2000</v>
      </c>
      <c r="G31" s="24">
        <f t="shared" si="8"/>
        <v>1750</v>
      </c>
      <c r="H31" s="24">
        <f t="shared" si="8"/>
        <v>2250</v>
      </c>
      <c r="I31" s="24">
        <f t="shared" si="8"/>
        <v>2050</v>
      </c>
      <c r="J31" s="24">
        <f t="shared" si="8"/>
        <v>1800</v>
      </c>
      <c r="K31" s="24">
        <f t="shared" si="8"/>
        <v>1600</v>
      </c>
      <c r="L31" s="24">
        <f t="shared" si="8"/>
        <v>2000</v>
      </c>
      <c r="M31" s="24">
        <f t="shared" si="8"/>
        <v>1800</v>
      </c>
      <c r="N31" s="24">
        <f t="shared" si="8"/>
        <v>1600</v>
      </c>
      <c r="O31" s="24">
        <f t="shared" si="8"/>
        <v>1400</v>
      </c>
      <c r="P31" s="54"/>
      <c r="Q31" s="54"/>
      <c r="R31" s="82"/>
      <c r="S31" s="33" t="s">
        <v>493</v>
      </c>
    </row>
    <row r="32" spans="1:19" s="1" customFormat="1" ht="43.5" x14ac:dyDescent="0.2">
      <c r="A32" s="22" t="s">
        <v>415</v>
      </c>
      <c r="B32" s="24" t="s">
        <v>122</v>
      </c>
      <c r="C32" s="24" t="s">
        <v>57</v>
      </c>
      <c r="D32" s="54">
        <v>30000</v>
      </c>
      <c r="E32" s="54"/>
      <c r="F32" s="54"/>
      <c r="G32" s="54"/>
      <c r="H32" s="54">
        <f>D32-(D32*20/100)</f>
        <v>24000</v>
      </c>
      <c r="I32" s="54"/>
      <c r="J32" s="54"/>
      <c r="K32" s="54"/>
      <c r="L32" s="54">
        <f>D32-(D32*40/100)</f>
        <v>18000</v>
      </c>
      <c r="M32" s="54"/>
      <c r="N32" s="54"/>
      <c r="O32" s="54"/>
      <c r="P32" s="24" t="s">
        <v>9</v>
      </c>
      <c r="Q32" s="24" t="s">
        <v>53</v>
      </c>
      <c r="R32" s="34" t="s">
        <v>495</v>
      </c>
      <c r="S32" s="33" t="s">
        <v>493</v>
      </c>
    </row>
    <row r="33" spans="1:19" s="1" customFormat="1" ht="43.5" x14ac:dyDescent="0.2">
      <c r="A33" s="22" t="s">
        <v>421</v>
      </c>
      <c r="B33" s="24" t="s">
        <v>123</v>
      </c>
      <c r="C33" s="24" t="s">
        <v>57</v>
      </c>
      <c r="D33" s="54">
        <v>20000</v>
      </c>
      <c r="E33" s="54"/>
      <c r="F33" s="54"/>
      <c r="G33" s="54"/>
      <c r="H33" s="54">
        <f>D33-(D33*20/100)</f>
        <v>16000</v>
      </c>
      <c r="I33" s="54"/>
      <c r="J33" s="54"/>
      <c r="K33" s="54"/>
      <c r="L33" s="54">
        <f>D33-(D33*40/100)</f>
        <v>12000</v>
      </c>
      <c r="M33" s="54"/>
      <c r="N33" s="54"/>
      <c r="O33" s="54"/>
      <c r="P33" s="24" t="s">
        <v>9</v>
      </c>
      <c r="Q33" s="24" t="s">
        <v>53</v>
      </c>
      <c r="R33" s="34" t="s">
        <v>495</v>
      </c>
      <c r="S33" s="33" t="s">
        <v>493</v>
      </c>
    </row>
    <row r="34" spans="1:19" s="2" customFormat="1" ht="39.950000000000003" customHeight="1" x14ac:dyDescent="0.2">
      <c r="A34" s="22" t="s">
        <v>422</v>
      </c>
      <c r="B34" s="24" t="s">
        <v>149</v>
      </c>
      <c r="C34" s="24" t="s">
        <v>57</v>
      </c>
      <c r="D34" s="54">
        <v>20000</v>
      </c>
      <c r="E34" s="54"/>
      <c r="F34" s="54"/>
      <c r="G34" s="54"/>
      <c r="H34" s="54">
        <f>D34-(D34*20/100)</f>
        <v>16000</v>
      </c>
      <c r="I34" s="54"/>
      <c r="J34" s="54"/>
      <c r="K34" s="54"/>
      <c r="L34" s="54">
        <f>D34-(D34*40/100)</f>
        <v>12000</v>
      </c>
      <c r="M34" s="54"/>
      <c r="N34" s="54"/>
      <c r="O34" s="54"/>
      <c r="P34" s="24" t="s">
        <v>9</v>
      </c>
      <c r="Q34" s="24" t="s">
        <v>249</v>
      </c>
      <c r="R34" s="34" t="s">
        <v>495</v>
      </c>
      <c r="S34" s="33" t="s">
        <v>493</v>
      </c>
    </row>
    <row r="35" spans="1:19" ht="39.950000000000003" customHeight="1" x14ac:dyDescent="0.2">
      <c r="A35" s="22" t="s">
        <v>423</v>
      </c>
      <c r="B35" s="24" t="s">
        <v>39</v>
      </c>
      <c r="C35" s="24" t="s">
        <v>57</v>
      </c>
      <c r="D35" s="54">
        <v>100000</v>
      </c>
      <c r="E35" s="54"/>
      <c r="F35" s="54"/>
      <c r="G35" s="54"/>
      <c r="H35" s="54">
        <f t="shared" si="6"/>
        <v>80000</v>
      </c>
      <c r="I35" s="54"/>
      <c r="J35" s="54"/>
      <c r="K35" s="54"/>
      <c r="L35" s="54">
        <f t="shared" si="7"/>
        <v>60000</v>
      </c>
      <c r="M35" s="54"/>
      <c r="N35" s="54"/>
      <c r="O35" s="54"/>
      <c r="P35" s="24" t="s">
        <v>9</v>
      </c>
      <c r="Q35" s="24" t="s">
        <v>53</v>
      </c>
      <c r="R35" s="34" t="s">
        <v>495</v>
      </c>
      <c r="S35" s="33" t="s">
        <v>493</v>
      </c>
    </row>
    <row r="36" spans="1:19" ht="39.950000000000003" customHeight="1" x14ac:dyDescent="0.2">
      <c r="A36" s="22" t="s">
        <v>424</v>
      </c>
      <c r="B36" s="24" t="s">
        <v>30</v>
      </c>
      <c r="C36" s="24" t="s">
        <v>57</v>
      </c>
      <c r="D36" s="54">
        <v>5000</v>
      </c>
      <c r="E36" s="54">
        <f>D36-(D36*10/100)</f>
        <v>4500</v>
      </c>
      <c r="F36" s="54">
        <f>D36-(D36*20/100)</f>
        <v>4000</v>
      </c>
      <c r="G36" s="54">
        <f>D36-(D36*30/100)</f>
        <v>3500</v>
      </c>
      <c r="H36" s="54">
        <f>D36-(D36*20/100)</f>
        <v>4000</v>
      </c>
      <c r="I36" s="54"/>
      <c r="J36" s="54"/>
      <c r="K36" s="54"/>
      <c r="L36" s="54">
        <f>D36-(D36*40/100)</f>
        <v>3000</v>
      </c>
      <c r="M36" s="54"/>
      <c r="N36" s="54"/>
      <c r="O36" s="54"/>
      <c r="P36" s="24" t="s">
        <v>9</v>
      </c>
      <c r="Q36" s="24" t="s">
        <v>53</v>
      </c>
      <c r="R36" s="34" t="s">
        <v>522</v>
      </c>
      <c r="S36" s="33" t="s">
        <v>493</v>
      </c>
    </row>
    <row r="37" spans="1:19" ht="21.75" x14ac:dyDescent="0.2">
      <c r="A37" s="55" t="s">
        <v>425</v>
      </c>
      <c r="B37" s="54" t="s">
        <v>26</v>
      </c>
      <c r="C37" s="24" t="s">
        <v>40</v>
      </c>
      <c r="D37" s="24">
        <v>5000</v>
      </c>
      <c r="E37" s="24">
        <f>MROUND(D37-(D37*10/100),50)</f>
        <v>4500</v>
      </c>
      <c r="F37" s="24">
        <f>MROUND(D37-(D37*20/100),50)</f>
        <v>4000</v>
      </c>
      <c r="G37" s="24">
        <f>MROUND(D37-(D37*30/100),50)</f>
        <v>3500</v>
      </c>
      <c r="H37" s="24">
        <f>MROUND(D37-(D37*10/100),50)</f>
        <v>4500</v>
      </c>
      <c r="I37" s="24">
        <f>MROUND(H37-(H37*10/100),50)</f>
        <v>4050</v>
      </c>
      <c r="J37" s="24">
        <f>MROUND(H37-(H37*20/100),50)</f>
        <v>3600</v>
      </c>
      <c r="K37" s="24">
        <f>MROUND(H37-(H37*30/100),50)</f>
        <v>3150</v>
      </c>
      <c r="L37" s="24">
        <f>MROUND(D37-(D37*20/100),50)</f>
        <v>4000</v>
      </c>
      <c r="M37" s="24">
        <f>MROUND(L37-(L37*10/100),50)</f>
        <v>3600</v>
      </c>
      <c r="N37" s="24">
        <f>MROUND(L37-(L37*20/100),50)</f>
        <v>3200</v>
      </c>
      <c r="O37" s="24">
        <f>MROUND(L37-(L37*30/100),50)</f>
        <v>2800</v>
      </c>
      <c r="P37" s="54" t="s">
        <v>10</v>
      </c>
      <c r="Q37" s="54" t="s">
        <v>53</v>
      </c>
      <c r="R37" s="89" t="s">
        <v>488</v>
      </c>
      <c r="S37" s="33" t="s">
        <v>493</v>
      </c>
    </row>
    <row r="38" spans="1:19" ht="21.75" x14ac:dyDescent="0.2">
      <c r="A38" s="55"/>
      <c r="B38" s="54"/>
      <c r="C38" s="24" t="s">
        <v>41</v>
      </c>
      <c r="D38" s="24">
        <f>D37*50/100</f>
        <v>2500</v>
      </c>
      <c r="E38" s="24">
        <f t="shared" ref="E38:O38" si="9">MROUND(E37*50/100,50)</f>
        <v>2250</v>
      </c>
      <c r="F38" s="24">
        <f t="shared" si="9"/>
        <v>2000</v>
      </c>
      <c r="G38" s="24">
        <f t="shared" si="9"/>
        <v>1750</v>
      </c>
      <c r="H38" s="24">
        <f t="shared" si="9"/>
        <v>2250</v>
      </c>
      <c r="I38" s="24">
        <f t="shared" si="9"/>
        <v>2050</v>
      </c>
      <c r="J38" s="24">
        <f t="shared" si="9"/>
        <v>1800</v>
      </c>
      <c r="K38" s="24">
        <f t="shared" si="9"/>
        <v>1600</v>
      </c>
      <c r="L38" s="24">
        <f t="shared" si="9"/>
        <v>2000</v>
      </c>
      <c r="M38" s="24">
        <f t="shared" si="9"/>
        <v>1800</v>
      </c>
      <c r="N38" s="24">
        <f t="shared" si="9"/>
        <v>1600</v>
      </c>
      <c r="O38" s="24">
        <f t="shared" si="9"/>
        <v>1400</v>
      </c>
      <c r="P38" s="54"/>
      <c r="Q38" s="54"/>
      <c r="R38" s="89"/>
      <c r="S38" s="33" t="s">
        <v>493</v>
      </c>
    </row>
    <row r="39" spans="1:19" ht="58.5" customHeight="1" x14ac:dyDescent="0.2">
      <c r="A39" s="22" t="s">
        <v>426</v>
      </c>
      <c r="B39" s="24" t="s">
        <v>27</v>
      </c>
      <c r="C39" s="24" t="s">
        <v>57</v>
      </c>
      <c r="D39" s="54">
        <v>5000</v>
      </c>
      <c r="E39" s="54">
        <f>D39-(D39*10/100)</f>
        <v>4500</v>
      </c>
      <c r="F39" s="54">
        <f>D39-(D39*20/100)</f>
        <v>4000</v>
      </c>
      <c r="G39" s="54">
        <f>D39-(D39*30/100)</f>
        <v>3500</v>
      </c>
      <c r="H39" s="54">
        <f>D39-(D39*20/100)</f>
        <v>4000</v>
      </c>
      <c r="I39" s="54"/>
      <c r="J39" s="54"/>
      <c r="K39" s="54"/>
      <c r="L39" s="54">
        <f>D39-(D39*40/100)</f>
        <v>3000</v>
      </c>
      <c r="M39" s="54"/>
      <c r="N39" s="54"/>
      <c r="O39" s="54"/>
      <c r="P39" s="24" t="s">
        <v>9</v>
      </c>
      <c r="Q39" s="24" t="s">
        <v>53</v>
      </c>
      <c r="R39" s="40" t="s">
        <v>488</v>
      </c>
      <c r="S39" s="33" t="s">
        <v>493</v>
      </c>
    </row>
    <row r="40" spans="1:19" ht="69.75" customHeight="1" x14ac:dyDescent="0.2">
      <c r="A40" s="22" t="s">
        <v>427</v>
      </c>
      <c r="B40" s="24" t="s">
        <v>150</v>
      </c>
      <c r="C40" s="24" t="s">
        <v>57</v>
      </c>
      <c r="D40" s="54">
        <v>25000</v>
      </c>
      <c r="E40" s="54">
        <f>D40-(D40*10/100)</f>
        <v>22500</v>
      </c>
      <c r="F40" s="54">
        <f>D40-(D40*20/100)</f>
        <v>20000</v>
      </c>
      <c r="G40" s="54">
        <f>D40-(D40*30/100)</f>
        <v>17500</v>
      </c>
      <c r="H40" s="54">
        <f>D40-(D40*20/100)</f>
        <v>20000</v>
      </c>
      <c r="I40" s="54"/>
      <c r="J40" s="54"/>
      <c r="K40" s="54"/>
      <c r="L40" s="54">
        <f>D40-(D40*40/100)</f>
        <v>15000</v>
      </c>
      <c r="M40" s="54"/>
      <c r="N40" s="54"/>
      <c r="O40" s="54"/>
      <c r="P40" s="24" t="s">
        <v>9</v>
      </c>
      <c r="Q40" s="24" t="s">
        <v>53</v>
      </c>
      <c r="R40" s="40" t="s">
        <v>481</v>
      </c>
      <c r="S40" s="33" t="s">
        <v>493</v>
      </c>
    </row>
    <row r="41" spans="1:19" ht="65.25" x14ac:dyDescent="0.2">
      <c r="A41" s="22" t="s">
        <v>428</v>
      </c>
      <c r="B41" s="24" t="s">
        <v>151</v>
      </c>
      <c r="C41" s="24" t="s">
        <v>57</v>
      </c>
      <c r="D41" s="54">
        <v>30000</v>
      </c>
      <c r="E41" s="54">
        <f>D41-(D41*10/100)</f>
        <v>27000</v>
      </c>
      <c r="F41" s="54">
        <f>D41-(D41*20/100)</f>
        <v>24000</v>
      </c>
      <c r="G41" s="54">
        <f>D41-(D41*30/100)</f>
        <v>21000</v>
      </c>
      <c r="H41" s="54">
        <f>D41-(D41*20/100)</f>
        <v>24000</v>
      </c>
      <c r="I41" s="54"/>
      <c r="J41" s="54"/>
      <c r="K41" s="54"/>
      <c r="L41" s="54">
        <f>D41-(D41*40/100)</f>
        <v>18000</v>
      </c>
      <c r="M41" s="54"/>
      <c r="N41" s="54"/>
      <c r="O41" s="54"/>
      <c r="P41" s="24" t="s">
        <v>9</v>
      </c>
      <c r="Q41" s="24" t="s">
        <v>53</v>
      </c>
      <c r="R41" s="34" t="s">
        <v>517</v>
      </c>
      <c r="S41" s="33" t="s">
        <v>493</v>
      </c>
    </row>
    <row r="42" spans="1:19" s="1" customFormat="1" ht="21.75" x14ac:dyDescent="0.2">
      <c r="A42" s="55" t="s">
        <v>429</v>
      </c>
      <c r="B42" s="54" t="s">
        <v>43</v>
      </c>
      <c r="C42" s="24" t="s">
        <v>40</v>
      </c>
      <c r="D42" s="24">
        <v>5000</v>
      </c>
      <c r="E42" s="24">
        <f>MROUND(D42-(D42*10/100),50)</f>
        <v>4500</v>
      </c>
      <c r="F42" s="24">
        <f>MROUND(D42-(D42*20/100),50)</f>
        <v>4000</v>
      </c>
      <c r="G42" s="24">
        <f>MROUND(D42-(D42*30/100),50)</f>
        <v>3500</v>
      </c>
      <c r="H42" s="24">
        <f>MROUND(D42-(D42*10/100),50)</f>
        <v>4500</v>
      </c>
      <c r="I42" s="24">
        <f>MROUND(H42-(H42*10/100),50)</f>
        <v>4050</v>
      </c>
      <c r="J42" s="24">
        <f>MROUND(H42-(H42*20/100),50)</f>
        <v>3600</v>
      </c>
      <c r="K42" s="24">
        <f>MROUND(H42-(H42*30/100),50)</f>
        <v>3150</v>
      </c>
      <c r="L42" s="24">
        <f>MROUND(D42-(D42*20/100),50)</f>
        <v>4000</v>
      </c>
      <c r="M42" s="24">
        <f>MROUND(L42-(L42*10/100),50)</f>
        <v>3600</v>
      </c>
      <c r="N42" s="24">
        <f>MROUND(L42-(L42*20/100),50)</f>
        <v>3200</v>
      </c>
      <c r="O42" s="24">
        <f>MROUND(L42-(L42*30/100),50)</f>
        <v>2800</v>
      </c>
      <c r="P42" s="54" t="s">
        <v>10</v>
      </c>
      <c r="Q42" s="54" t="s">
        <v>53</v>
      </c>
      <c r="R42" s="54" t="s">
        <v>517</v>
      </c>
      <c r="S42" s="33" t="s">
        <v>493</v>
      </c>
    </row>
    <row r="43" spans="1:19" s="1" customFormat="1" ht="48" customHeight="1" x14ac:dyDescent="0.2">
      <c r="A43" s="55"/>
      <c r="B43" s="54"/>
      <c r="C43" s="24" t="s">
        <v>41</v>
      </c>
      <c r="D43" s="24">
        <f>D42*50/100</f>
        <v>2500</v>
      </c>
      <c r="E43" s="24">
        <f t="shared" ref="E43:O43" si="10">MROUND(E42*50/100,50)</f>
        <v>2250</v>
      </c>
      <c r="F43" s="24">
        <f t="shared" si="10"/>
        <v>2000</v>
      </c>
      <c r="G43" s="24">
        <f t="shared" si="10"/>
        <v>1750</v>
      </c>
      <c r="H43" s="24">
        <f t="shared" si="10"/>
        <v>2250</v>
      </c>
      <c r="I43" s="24">
        <f t="shared" si="10"/>
        <v>2050</v>
      </c>
      <c r="J43" s="24">
        <f t="shared" si="10"/>
        <v>1800</v>
      </c>
      <c r="K43" s="24">
        <f t="shared" si="10"/>
        <v>1600</v>
      </c>
      <c r="L43" s="24">
        <f t="shared" si="10"/>
        <v>2000</v>
      </c>
      <c r="M43" s="24">
        <f t="shared" si="10"/>
        <v>1800</v>
      </c>
      <c r="N43" s="24">
        <f t="shared" si="10"/>
        <v>1600</v>
      </c>
      <c r="O43" s="24">
        <f t="shared" si="10"/>
        <v>1400</v>
      </c>
      <c r="P43" s="54"/>
      <c r="Q43" s="54"/>
      <c r="R43" s="82"/>
      <c r="S43" s="33" t="s">
        <v>493</v>
      </c>
    </row>
    <row r="44" spans="1:19" s="1" customFormat="1" ht="35.25" customHeight="1" x14ac:dyDescent="0.2">
      <c r="A44" s="22" t="s">
        <v>430</v>
      </c>
      <c r="B44" s="24" t="s">
        <v>266</v>
      </c>
      <c r="C44" s="24" t="s">
        <v>57</v>
      </c>
      <c r="D44" s="54">
        <v>10000</v>
      </c>
      <c r="E44" s="54">
        <f>D44-(D44*10/100)</f>
        <v>9000</v>
      </c>
      <c r="F44" s="54">
        <f>D44-(D44*20/100)</f>
        <v>8000</v>
      </c>
      <c r="G44" s="54">
        <f>D44-(D44*30/100)</f>
        <v>7000</v>
      </c>
      <c r="H44" s="54">
        <f>D44-(D44*20/100)</f>
        <v>8000</v>
      </c>
      <c r="I44" s="54"/>
      <c r="J44" s="54"/>
      <c r="K44" s="54"/>
      <c r="L44" s="54">
        <f>D44-(D44*40/100)</f>
        <v>6000</v>
      </c>
      <c r="M44" s="54"/>
      <c r="N44" s="54"/>
      <c r="O44" s="54"/>
      <c r="P44" s="24" t="s">
        <v>9</v>
      </c>
      <c r="Q44" s="24" t="s">
        <v>53</v>
      </c>
      <c r="R44" s="37" t="s">
        <v>481</v>
      </c>
      <c r="S44" s="33" t="s">
        <v>493</v>
      </c>
    </row>
    <row r="45" spans="1:19" s="1" customFormat="1" ht="55.5" customHeight="1" x14ac:dyDescent="0.2">
      <c r="A45" s="22" t="s">
        <v>431</v>
      </c>
      <c r="B45" s="24" t="s">
        <v>267</v>
      </c>
      <c r="C45" s="24" t="s">
        <v>57</v>
      </c>
      <c r="D45" s="54">
        <v>10000</v>
      </c>
      <c r="E45" s="54">
        <f>D45-(D45*10/100)</f>
        <v>9000</v>
      </c>
      <c r="F45" s="54">
        <f>D45-(D45*20/100)</f>
        <v>8000</v>
      </c>
      <c r="G45" s="54">
        <f>D45-(D45*30/100)</f>
        <v>7000</v>
      </c>
      <c r="H45" s="54">
        <f>D45-(D45*20/100)</f>
        <v>8000</v>
      </c>
      <c r="I45" s="54"/>
      <c r="J45" s="54"/>
      <c r="K45" s="54"/>
      <c r="L45" s="54">
        <f>D45-(D45*40/100)</f>
        <v>6000</v>
      </c>
      <c r="M45" s="54"/>
      <c r="N45" s="54"/>
      <c r="O45" s="54"/>
      <c r="P45" s="24" t="s">
        <v>9</v>
      </c>
      <c r="Q45" s="24" t="s">
        <v>53</v>
      </c>
      <c r="R45" s="34" t="s">
        <v>517</v>
      </c>
      <c r="S45" s="33" t="s">
        <v>493</v>
      </c>
    </row>
    <row r="46" spans="1:19" s="1" customFormat="1" ht="51" customHeight="1" x14ac:dyDescent="0.2">
      <c r="A46" s="22" t="s">
        <v>432</v>
      </c>
      <c r="B46" s="24" t="s">
        <v>268</v>
      </c>
      <c r="C46" s="24" t="s">
        <v>57</v>
      </c>
      <c r="D46" s="54">
        <v>15000</v>
      </c>
      <c r="E46" s="54"/>
      <c r="F46" s="54"/>
      <c r="G46" s="54"/>
      <c r="H46" s="54">
        <v>12000</v>
      </c>
      <c r="I46" s="54"/>
      <c r="J46" s="54"/>
      <c r="K46" s="54"/>
      <c r="L46" s="54">
        <v>9600</v>
      </c>
      <c r="M46" s="54"/>
      <c r="N46" s="54"/>
      <c r="O46" s="54"/>
      <c r="P46" s="24" t="s">
        <v>9</v>
      </c>
      <c r="Q46" s="24" t="s">
        <v>53</v>
      </c>
      <c r="R46" s="34" t="s">
        <v>517</v>
      </c>
      <c r="S46" s="33" t="s">
        <v>493</v>
      </c>
    </row>
    <row r="47" spans="1:19" ht="51.75" customHeight="1" x14ac:dyDescent="0.2">
      <c r="A47" s="22" t="s">
        <v>433</v>
      </c>
      <c r="B47" s="24" t="s">
        <v>154</v>
      </c>
      <c r="C47" s="24" t="s">
        <v>57</v>
      </c>
      <c r="D47" s="54">
        <v>40000</v>
      </c>
      <c r="E47" s="54"/>
      <c r="F47" s="54"/>
      <c r="G47" s="54"/>
      <c r="H47" s="54">
        <f>D47-(D47*20/100)</f>
        <v>32000</v>
      </c>
      <c r="I47" s="54"/>
      <c r="J47" s="54"/>
      <c r="K47" s="54"/>
      <c r="L47" s="54">
        <f>D47-(D47*40/100)</f>
        <v>24000</v>
      </c>
      <c r="M47" s="54"/>
      <c r="N47" s="54"/>
      <c r="O47" s="54"/>
      <c r="P47" s="24" t="s">
        <v>9</v>
      </c>
      <c r="Q47" s="24" t="s">
        <v>53</v>
      </c>
      <c r="R47" s="34" t="s">
        <v>517</v>
      </c>
      <c r="S47" s="33" t="s">
        <v>493</v>
      </c>
    </row>
    <row r="48" spans="1:19" ht="67.5" customHeight="1" x14ac:dyDescent="0.2">
      <c r="A48" s="22" t="s">
        <v>434</v>
      </c>
      <c r="B48" s="24" t="s">
        <v>28</v>
      </c>
      <c r="C48" s="24" t="s">
        <v>57</v>
      </c>
      <c r="D48" s="54">
        <v>15000</v>
      </c>
      <c r="E48" s="54">
        <f>D48-(D48*10/100)</f>
        <v>13500</v>
      </c>
      <c r="F48" s="54">
        <f>D48-(D48*20/100)</f>
        <v>12000</v>
      </c>
      <c r="G48" s="54">
        <f>D48-(D48*30/100)</f>
        <v>10500</v>
      </c>
      <c r="H48" s="54">
        <f>D48-(D48*20/100)</f>
        <v>12000</v>
      </c>
      <c r="I48" s="54"/>
      <c r="J48" s="54"/>
      <c r="K48" s="54"/>
      <c r="L48" s="54">
        <f>D48-(D48*40/100)</f>
        <v>9000</v>
      </c>
      <c r="M48" s="54"/>
      <c r="N48" s="54"/>
      <c r="O48" s="54"/>
      <c r="P48" s="24" t="s">
        <v>9</v>
      </c>
      <c r="Q48" s="24" t="s">
        <v>53</v>
      </c>
      <c r="R48" s="34" t="s">
        <v>517</v>
      </c>
      <c r="S48" s="33" t="s">
        <v>493</v>
      </c>
    </row>
    <row r="49" spans="1:19" s="2" customFormat="1" ht="39.950000000000003" customHeight="1" x14ac:dyDescent="0.2">
      <c r="A49" s="22" t="s">
        <v>435</v>
      </c>
      <c r="B49" s="24" t="s">
        <v>100</v>
      </c>
      <c r="C49" s="24" t="s">
        <v>57</v>
      </c>
      <c r="D49" s="54">
        <v>5000</v>
      </c>
      <c r="E49" s="54">
        <f>D49-(D49*10/100)</f>
        <v>4500</v>
      </c>
      <c r="F49" s="54">
        <f>D49-(D49*20/100)</f>
        <v>4000</v>
      </c>
      <c r="G49" s="54">
        <f>D49-(D49*30/100)</f>
        <v>3500</v>
      </c>
      <c r="H49" s="54">
        <f>D49-(D49*20/100)</f>
        <v>4000</v>
      </c>
      <c r="I49" s="54"/>
      <c r="J49" s="54"/>
      <c r="K49" s="54"/>
      <c r="L49" s="54">
        <f>D49-(D49*40/100)</f>
        <v>3000</v>
      </c>
      <c r="M49" s="54"/>
      <c r="N49" s="54"/>
      <c r="O49" s="54"/>
      <c r="P49" s="24" t="s">
        <v>9</v>
      </c>
      <c r="Q49" s="24" t="s">
        <v>242</v>
      </c>
      <c r="R49" s="34" t="s">
        <v>495</v>
      </c>
      <c r="S49" s="33" t="s">
        <v>493</v>
      </c>
    </row>
    <row r="50" spans="1:19" s="7" customFormat="1" ht="39.950000000000003" customHeight="1" x14ac:dyDescent="0.2">
      <c r="A50" s="22" t="s">
        <v>436</v>
      </c>
      <c r="B50" s="24" t="s">
        <v>101</v>
      </c>
      <c r="C50" s="24" t="s">
        <v>57</v>
      </c>
      <c r="D50" s="54">
        <v>5000</v>
      </c>
      <c r="E50" s="54">
        <f>D50-(D50*10/100)</f>
        <v>4500</v>
      </c>
      <c r="F50" s="54">
        <f>D50-(D50*20/100)</f>
        <v>4000</v>
      </c>
      <c r="G50" s="54">
        <f>D50-(D50*30/100)</f>
        <v>3500</v>
      </c>
      <c r="H50" s="54">
        <f>D50-(D50*20/100)</f>
        <v>4000</v>
      </c>
      <c r="I50" s="54"/>
      <c r="J50" s="54"/>
      <c r="K50" s="54"/>
      <c r="L50" s="54">
        <f>D50-(D50*40/100)</f>
        <v>3000</v>
      </c>
      <c r="M50" s="54"/>
      <c r="N50" s="54"/>
      <c r="O50" s="54"/>
      <c r="P50" s="24" t="s">
        <v>9</v>
      </c>
      <c r="Q50" s="24" t="s">
        <v>242</v>
      </c>
      <c r="R50" s="34" t="s">
        <v>495</v>
      </c>
      <c r="S50" s="33" t="s">
        <v>493</v>
      </c>
    </row>
    <row r="51" spans="1:19" s="7" customFormat="1" ht="21.75" x14ac:dyDescent="0.2">
      <c r="A51" s="55" t="s">
        <v>437</v>
      </c>
      <c r="B51" s="54" t="s">
        <v>155</v>
      </c>
      <c r="C51" s="24" t="s">
        <v>40</v>
      </c>
      <c r="D51" s="24">
        <v>1000</v>
      </c>
      <c r="E51" s="24">
        <f>MROUND(D51-(D51*10/100),50)</f>
        <v>900</v>
      </c>
      <c r="F51" s="24">
        <f>MROUND(D51-(D51*20/100),50)</f>
        <v>800</v>
      </c>
      <c r="G51" s="24">
        <f>MROUND(D51-(D51*30/100),50)</f>
        <v>700</v>
      </c>
      <c r="H51" s="24">
        <f>MROUND(D51-(D51*10/100),50)</f>
        <v>900</v>
      </c>
      <c r="I51" s="24">
        <f>MROUND(H51-(H51*10/100),50)</f>
        <v>800</v>
      </c>
      <c r="J51" s="24">
        <f>MROUND(H51-(H51*20/100),50)</f>
        <v>700</v>
      </c>
      <c r="K51" s="24">
        <f>MROUND(H51-(H51*30/100),50)</f>
        <v>650</v>
      </c>
      <c r="L51" s="24">
        <f>MROUND(D51-(D51*20/100),50)</f>
        <v>800</v>
      </c>
      <c r="M51" s="24">
        <f>MROUND(L51-(L51*10/100),50)</f>
        <v>700</v>
      </c>
      <c r="N51" s="24">
        <f>MROUND(L51-(L51*20/100),50)</f>
        <v>650</v>
      </c>
      <c r="O51" s="24">
        <f>MROUND(L51-(L51*30/100),50)</f>
        <v>550</v>
      </c>
      <c r="P51" s="54" t="s">
        <v>10</v>
      </c>
      <c r="Q51" s="54" t="s">
        <v>243</v>
      </c>
      <c r="R51" s="71" t="s">
        <v>495</v>
      </c>
      <c r="S51" s="33" t="s">
        <v>493</v>
      </c>
    </row>
    <row r="52" spans="1:19" s="7" customFormat="1" ht="21.75" x14ac:dyDescent="0.2">
      <c r="A52" s="55"/>
      <c r="B52" s="54"/>
      <c r="C52" s="24" t="s">
        <v>41</v>
      </c>
      <c r="D52" s="24">
        <f>D51*50/100</f>
        <v>500</v>
      </c>
      <c r="E52" s="24">
        <f t="shared" ref="E52:O52" si="11">MROUND(E51*50/100,50)</f>
        <v>450</v>
      </c>
      <c r="F52" s="24">
        <f t="shared" si="11"/>
        <v>400</v>
      </c>
      <c r="G52" s="24">
        <f t="shared" si="11"/>
        <v>350</v>
      </c>
      <c r="H52" s="24">
        <f t="shared" si="11"/>
        <v>450</v>
      </c>
      <c r="I52" s="24">
        <f t="shared" si="11"/>
        <v>400</v>
      </c>
      <c r="J52" s="24">
        <f t="shared" si="11"/>
        <v>350</v>
      </c>
      <c r="K52" s="24">
        <f t="shared" si="11"/>
        <v>350</v>
      </c>
      <c r="L52" s="24">
        <f t="shared" si="11"/>
        <v>400</v>
      </c>
      <c r="M52" s="24">
        <f t="shared" si="11"/>
        <v>350</v>
      </c>
      <c r="N52" s="24">
        <f t="shared" si="11"/>
        <v>350</v>
      </c>
      <c r="O52" s="24">
        <f t="shared" si="11"/>
        <v>300</v>
      </c>
      <c r="P52" s="54"/>
      <c r="Q52" s="54"/>
      <c r="R52" s="72"/>
      <c r="S52" s="33" t="s">
        <v>493</v>
      </c>
    </row>
    <row r="53" spans="1:19" s="1" customFormat="1" ht="43.5" customHeight="1" x14ac:dyDescent="0.2">
      <c r="A53" s="22" t="s">
        <v>438</v>
      </c>
      <c r="B53" s="24" t="s">
        <v>172</v>
      </c>
      <c r="C53" s="24" t="s">
        <v>57</v>
      </c>
      <c r="D53" s="54">
        <v>5000</v>
      </c>
      <c r="E53" s="54">
        <f>D53-(D53*10/100)</f>
        <v>4500</v>
      </c>
      <c r="F53" s="54">
        <f>D53-(D53*20/100)</f>
        <v>4000</v>
      </c>
      <c r="G53" s="54">
        <f>D53-(D53*30/100)</f>
        <v>3500</v>
      </c>
      <c r="H53" s="54">
        <f>D53-(D53*20/100)</f>
        <v>4000</v>
      </c>
      <c r="I53" s="54"/>
      <c r="J53" s="54"/>
      <c r="K53" s="54"/>
      <c r="L53" s="54">
        <f>D53-(D53*40/100)</f>
        <v>3000</v>
      </c>
      <c r="M53" s="54"/>
      <c r="N53" s="54"/>
      <c r="O53" s="54"/>
      <c r="P53" s="24" t="s">
        <v>9</v>
      </c>
      <c r="Q53" s="24" t="s">
        <v>242</v>
      </c>
      <c r="R53" s="34" t="s">
        <v>495</v>
      </c>
      <c r="S53" s="33" t="s">
        <v>493</v>
      </c>
    </row>
    <row r="54" spans="1:19" s="7" customFormat="1" ht="66" customHeight="1" x14ac:dyDescent="0.2">
      <c r="A54" s="22" t="s">
        <v>439</v>
      </c>
      <c r="B54" s="24" t="s">
        <v>84</v>
      </c>
      <c r="C54" s="24" t="s">
        <v>57</v>
      </c>
      <c r="D54" s="54">
        <v>20000</v>
      </c>
      <c r="E54" s="54">
        <f>D54-(D54*10/100)</f>
        <v>18000</v>
      </c>
      <c r="F54" s="54">
        <f>D54-(D54*20/100)</f>
        <v>16000</v>
      </c>
      <c r="G54" s="54">
        <f>D54-(D54*30/100)</f>
        <v>14000</v>
      </c>
      <c r="H54" s="54">
        <f>D54-(D54*20/100)</f>
        <v>16000</v>
      </c>
      <c r="I54" s="54"/>
      <c r="J54" s="54"/>
      <c r="K54" s="54"/>
      <c r="L54" s="54">
        <f>D54-(D54*40/100)</f>
        <v>12000</v>
      </c>
      <c r="M54" s="54"/>
      <c r="N54" s="54"/>
      <c r="O54" s="54"/>
      <c r="P54" s="24" t="s">
        <v>9</v>
      </c>
      <c r="Q54" s="24" t="s">
        <v>53</v>
      </c>
      <c r="R54" s="34" t="s">
        <v>495</v>
      </c>
      <c r="S54" s="33" t="s">
        <v>493</v>
      </c>
    </row>
    <row r="55" spans="1:19" s="1" customFormat="1" ht="30" customHeight="1" x14ac:dyDescent="0.2">
      <c r="A55" s="22" t="s">
        <v>440</v>
      </c>
      <c r="B55" s="24" t="s">
        <v>269</v>
      </c>
      <c r="C55" s="24" t="s">
        <v>57</v>
      </c>
      <c r="D55" s="54">
        <v>10000</v>
      </c>
      <c r="E55" s="54">
        <f>D55-(D55*10/100)</f>
        <v>9000</v>
      </c>
      <c r="F55" s="54">
        <f>D55-(D55*20/100)</f>
        <v>8000</v>
      </c>
      <c r="G55" s="54">
        <f>D55-(D55*30/100)</f>
        <v>7000</v>
      </c>
      <c r="H55" s="54">
        <f>D55-(D55*20/100)</f>
        <v>8000</v>
      </c>
      <c r="I55" s="54"/>
      <c r="J55" s="54"/>
      <c r="K55" s="54"/>
      <c r="L55" s="54">
        <f>D55-(D55*40/100)</f>
        <v>6000</v>
      </c>
      <c r="M55" s="54"/>
      <c r="N55" s="54"/>
      <c r="O55" s="54"/>
      <c r="P55" s="24" t="s">
        <v>9</v>
      </c>
      <c r="Q55" s="24" t="s">
        <v>53</v>
      </c>
      <c r="R55" s="34" t="s">
        <v>495</v>
      </c>
      <c r="S55" s="33" t="s">
        <v>493</v>
      </c>
    </row>
    <row r="56" spans="1:19" s="1" customFormat="1" ht="26.25" customHeight="1" x14ac:dyDescent="0.2">
      <c r="A56" s="22" t="s">
        <v>441</v>
      </c>
      <c r="B56" s="24" t="s">
        <v>270</v>
      </c>
      <c r="C56" s="24" t="s">
        <v>57</v>
      </c>
      <c r="D56" s="54">
        <v>5000</v>
      </c>
      <c r="E56" s="54">
        <f>D56-(D56*10/100)</f>
        <v>4500</v>
      </c>
      <c r="F56" s="54">
        <f>D56-(D56*20/100)</f>
        <v>4000</v>
      </c>
      <c r="G56" s="54">
        <f>D56-(D56*30/100)</f>
        <v>3500</v>
      </c>
      <c r="H56" s="54">
        <f>D56-(D56*20/100)</f>
        <v>4000</v>
      </c>
      <c r="I56" s="54"/>
      <c r="J56" s="54"/>
      <c r="K56" s="54"/>
      <c r="L56" s="54">
        <f>D56-(D56*40/100)</f>
        <v>3000</v>
      </c>
      <c r="M56" s="54"/>
      <c r="N56" s="54"/>
      <c r="O56" s="54"/>
      <c r="P56" s="24" t="s">
        <v>9</v>
      </c>
      <c r="Q56" s="24" t="s">
        <v>53</v>
      </c>
      <c r="R56" s="34" t="s">
        <v>495</v>
      </c>
      <c r="S56" s="33" t="s">
        <v>493</v>
      </c>
    </row>
    <row r="57" spans="1:19" ht="39.950000000000003" customHeight="1" x14ac:dyDescent="0.2">
      <c r="A57" s="55" t="s">
        <v>442</v>
      </c>
      <c r="B57" s="54" t="s">
        <v>164</v>
      </c>
      <c r="C57" s="24" t="s">
        <v>40</v>
      </c>
      <c r="D57" s="24">
        <v>5000</v>
      </c>
      <c r="E57" s="24">
        <f>MROUND(D57-(D57*10/100),50)</f>
        <v>4500</v>
      </c>
      <c r="F57" s="24">
        <f>MROUND(D57-(D57*20/100),50)</f>
        <v>4000</v>
      </c>
      <c r="G57" s="24">
        <f>MROUND(D57-(D57*30/100),50)</f>
        <v>3500</v>
      </c>
      <c r="H57" s="24">
        <f>MROUND(D57-(D57*10/100),50)</f>
        <v>4500</v>
      </c>
      <c r="I57" s="24">
        <f>MROUND(H57-(H57*10/100),50)</f>
        <v>4050</v>
      </c>
      <c r="J57" s="24">
        <f>MROUND(H57-(H57*20/100),50)</f>
        <v>3600</v>
      </c>
      <c r="K57" s="24">
        <f>MROUND(H57-(H57*30/100),50)</f>
        <v>3150</v>
      </c>
      <c r="L57" s="24">
        <f>MROUND(D57-(D57*20/100),50)</f>
        <v>4000</v>
      </c>
      <c r="M57" s="24">
        <f>MROUND(L57-(L57*10/100),50)</f>
        <v>3600</v>
      </c>
      <c r="N57" s="24">
        <f>MROUND(L57-(L57*20/100),50)</f>
        <v>3200</v>
      </c>
      <c r="O57" s="24">
        <f>MROUND(L57-(L57*30/100),50)</f>
        <v>2800</v>
      </c>
      <c r="P57" s="54" t="s">
        <v>10</v>
      </c>
      <c r="Q57" s="54" t="s">
        <v>53</v>
      </c>
      <c r="R57" s="54" t="s">
        <v>495</v>
      </c>
      <c r="S57" s="33" t="s">
        <v>493</v>
      </c>
    </row>
    <row r="58" spans="1:19" ht="47.25" customHeight="1" x14ac:dyDescent="0.2">
      <c r="A58" s="55"/>
      <c r="B58" s="54"/>
      <c r="C58" s="24" t="s">
        <v>41</v>
      </c>
      <c r="D58" s="24">
        <f>D57*50/100</f>
        <v>2500</v>
      </c>
      <c r="E58" s="24">
        <f t="shared" ref="E58:O58" si="12">MROUND(E57*50/100,50)</f>
        <v>2250</v>
      </c>
      <c r="F58" s="24">
        <f t="shared" si="12"/>
        <v>2000</v>
      </c>
      <c r="G58" s="24">
        <f t="shared" si="12"/>
        <v>1750</v>
      </c>
      <c r="H58" s="24">
        <f t="shared" si="12"/>
        <v>2250</v>
      </c>
      <c r="I58" s="24">
        <f t="shared" si="12"/>
        <v>2050</v>
      </c>
      <c r="J58" s="24">
        <f t="shared" si="12"/>
        <v>1800</v>
      </c>
      <c r="K58" s="24">
        <f t="shared" si="12"/>
        <v>1600</v>
      </c>
      <c r="L58" s="24">
        <f t="shared" si="12"/>
        <v>2000</v>
      </c>
      <c r="M58" s="24">
        <f t="shared" si="12"/>
        <v>1800</v>
      </c>
      <c r="N58" s="24">
        <f t="shared" si="12"/>
        <v>1600</v>
      </c>
      <c r="O58" s="24">
        <f t="shared" si="12"/>
        <v>1400</v>
      </c>
      <c r="P58" s="54"/>
      <c r="Q58" s="54"/>
      <c r="R58" s="54"/>
      <c r="S58" s="33" t="s">
        <v>493</v>
      </c>
    </row>
    <row r="59" spans="1:19" s="1" customFormat="1" ht="66.75" customHeight="1" x14ac:dyDescent="0.2">
      <c r="A59" s="22" t="s">
        <v>443</v>
      </c>
      <c r="B59" s="24" t="s">
        <v>271</v>
      </c>
      <c r="C59" s="24" t="s">
        <v>57</v>
      </c>
      <c r="D59" s="54">
        <v>5000</v>
      </c>
      <c r="E59" s="54"/>
      <c r="F59" s="54"/>
      <c r="G59" s="54"/>
      <c r="H59" s="54">
        <f>D59-(D59*20/100)</f>
        <v>4000</v>
      </c>
      <c r="I59" s="54"/>
      <c r="J59" s="54"/>
      <c r="K59" s="54"/>
      <c r="L59" s="54">
        <f>D59-(D59*40/100)</f>
        <v>3000</v>
      </c>
      <c r="M59" s="54"/>
      <c r="N59" s="54"/>
      <c r="O59" s="54"/>
      <c r="P59" s="24" t="s">
        <v>9</v>
      </c>
      <c r="Q59" s="24" t="s">
        <v>530</v>
      </c>
      <c r="R59" s="32" t="s">
        <v>518</v>
      </c>
      <c r="S59" s="33" t="s">
        <v>493</v>
      </c>
    </row>
    <row r="60" spans="1:19" s="16" customFormat="1" ht="39.950000000000003" customHeight="1" x14ac:dyDescent="0.2">
      <c r="A60" s="55" t="s">
        <v>444</v>
      </c>
      <c r="B60" s="54" t="s">
        <v>140</v>
      </c>
      <c r="C60" s="24" t="s">
        <v>40</v>
      </c>
      <c r="D60" s="24">
        <v>5000</v>
      </c>
      <c r="E60" s="24">
        <f>MROUND(D60-(D60*10/100),50)</f>
        <v>4500</v>
      </c>
      <c r="F60" s="24">
        <f>MROUND(D60-(D60*20/100),50)</f>
        <v>4000</v>
      </c>
      <c r="G60" s="24">
        <f>MROUND(D60-(D60*30/100),50)</f>
        <v>3500</v>
      </c>
      <c r="H60" s="24">
        <f>MROUND(D60-(D60*10/100),50)</f>
        <v>4500</v>
      </c>
      <c r="I60" s="24">
        <f>MROUND(H60-(H60*10/100),50)</f>
        <v>4050</v>
      </c>
      <c r="J60" s="24">
        <f>MROUND(H60-(H60*20/100),50)</f>
        <v>3600</v>
      </c>
      <c r="K60" s="24">
        <f>MROUND(H60-(H60*30/100),50)</f>
        <v>3150</v>
      </c>
      <c r="L60" s="24">
        <f>MROUND(D60-(D60*20/100),50)</f>
        <v>4000</v>
      </c>
      <c r="M60" s="24">
        <f>MROUND(L60-(L60*10/100),50)</f>
        <v>3600</v>
      </c>
      <c r="N60" s="24">
        <f>MROUND(L60-(L60*20/100),50)</f>
        <v>3200</v>
      </c>
      <c r="O60" s="24">
        <f>MROUND(L60-(L60*30/100),50)</f>
        <v>2800</v>
      </c>
      <c r="P60" s="54" t="s">
        <v>10</v>
      </c>
      <c r="Q60" s="54" t="s">
        <v>53</v>
      </c>
      <c r="R60" s="54" t="s">
        <v>501</v>
      </c>
      <c r="S60" s="33" t="s">
        <v>493</v>
      </c>
    </row>
    <row r="61" spans="1:19" s="16" customFormat="1" ht="39.950000000000003" customHeight="1" x14ac:dyDescent="0.2">
      <c r="A61" s="55"/>
      <c r="B61" s="54"/>
      <c r="C61" s="24" t="s">
        <v>41</v>
      </c>
      <c r="D61" s="24">
        <f>D60*50/100</f>
        <v>2500</v>
      </c>
      <c r="E61" s="24">
        <f t="shared" ref="E61:O61" si="13">MROUND(E60*50/100,50)</f>
        <v>2250</v>
      </c>
      <c r="F61" s="24">
        <f t="shared" si="13"/>
        <v>2000</v>
      </c>
      <c r="G61" s="24">
        <f t="shared" si="13"/>
        <v>1750</v>
      </c>
      <c r="H61" s="24">
        <f t="shared" si="13"/>
        <v>2250</v>
      </c>
      <c r="I61" s="24">
        <f t="shared" si="13"/>
        <v>2050</v>
      </c>
      <c r="J61" s="24">
        <f t="shared" si="13"/>
        <v>1800</v>
      </c>
      <c r="K61" s="24">
        <f t="shared" si="13"/>
        <v>1600</v>
      </c>
      <c r="L61" s="24">
        <f t="shared" si="13"/>
        <v>2000</v>
      </c>
      <c r="M61" s="24">
        <f t="shared" si="13"/>
        <v>1800</v>
      </c>
      <c r="N61" s="24">
        <f t="shared" si="13"/>
        <v>1600</v>
      </c>
      <c r="O61" s="24">
        <f t="shared" si="13"/>
        <v>1400</v>
      </c>
      <c r="P61" s="54"/>
      <c r="Q61" s="54"/>
      <c r="R61" s="54"/>
      <c r="S61" s="33" t="s">
        <v>493</v>
      </c>
    </row>
    <row r="62" spans="1:19" ht="39.950000000000003" customHeight="1" x14ac:dyDescent="0.2">
      <c r="A62" s="22" t="s">
        <v>445</v>
      </c>
      <c r="B62" s="24" t="s">
        <v>75</v>
      </c>
      <c r="C62" s="24" t="s">
        <v>57</v>
      </c>
      <c r="D62" s="54">
        <v>5000</v>
      </c>
      <c r="E62" s="54"/>
      <c r="F62" s="54"/>
      <c r="G62" s="54"/>
      <c r="H62" s="54">
        <f>D62-(D62*20/100)</f>
        <v>4000</v>
      </c>
      <c r="I62" s="54"/>
      <c r="J62" s="54"/>
      <c r="K62" s="54"/>
      <c r="L62" s="54">
        <f>D62-(D62*40/100)</f>
        <v>3000</v>
      </c>
      <c r="M62" s="54"/>
      <c r="N62" s="54"/>
      <c r="O62" s="54"/>
      <c r="P62" s="24" t="s">
        <v>9</v>
      </c>
      <c r="Q62" s="24" t="s">
        <v>53</v>
      </c>
      <c r="R62" s="34" t="s">
        <v>495</v>
      </c>
      <c r="S62" s="33" t="s">
        <v>493</v>
      </c>
    </row>
    <row r="63" spans="1:19" s="1" customFormat="1" ht="33.75" customHeight="1" x14ac:dyDescent="0.2">
      <c r="A63" s="22" t="s">
        <v>446</v>
      </c>
      <c r="B63" s="24" t="s">
        <v>69</v>
      </c>
      <c r="C63" s="24" t="s">
        <v>57</v>
      </c>
      <c r="D63" s="54">
        <v>3000</v>
      </c>
      <c r="E63" s="54">
        <f>D63-(D63*10/100)</f>
        <v>2700</v>
      </c>
      <c r="F63" s="54">
        <f>D63-(D63*20/100)</f>
        <v>2400</v>
      </c>
      <c r="G63" s="54">
        <f>D63-(D63*30/100)</f>
        <v>2100</v>
      </c>
      <c r="H63" s="54">
        <f>D63-(D63*20/100)</f>
        <v>2400</v>
      </c>
      <c r="I63" s="54"/>
      <c r="J63" s="54"/>
      <c r="K63" s="54"/>
      <c r="L63" s="54">
        <f>D63-(D63*40/100)</f>
        <v>1800</v>
      </c>
      <c r="M63" s="54"/>
      <c r="N63" s="54"/>
      <c r="O63" s="54"/>
      <c r="P63" s="24" t="s">
        <v>9</v>
      </c>
      <c r="Q63" s="24" t="s">
        <v>53</v>
      </c>
      <c r="R63" s="34" t="s">
        <v>495</v>
      </c>
      <c r="S63" s="33" t="s">
        <v>493</v>
      </c>
    </row>
    <row r="64" spans="1:19" s="1" customFormat="1" ht="43.5" x14ac:dyDescent="0.2">
      <c r="A64" s="22" t="s">
        <v>447</v>
      </c>
      <c r="B64" s="24" t="s">
        <v>111</v>
      </c>
      <c r="C64" s="24" t="s">
        <v>57</v>
      </c>
      <c r="D64" s="54">
        <v>5000</v>
      </c>
      <c r="E64" s="54"/>
      <c r="F64" s="54"/>
      <c r="G64" s="54"/>
      <c r="H64" s="54">
        <f>D64-(D64*20/100)</f>
        <v>4000</v>
      </c>
      <c r="I64" s="54"/>
      <c r="J64" s="54"/>
      <c r="K64" s="54"/>
      <c r="L64" s="54">
        <f>D64-(D64*40/100)</f>
        <v>3000</v>
      </c>
      <c r="M64" s="54"/>
      <c r="N64" s="54"/>
      <c r="O64" s="54"/>
      <c r="P64" s="24" t="s">
        <v>9</v>
      </c>
      <c r="Q64" s="24" t="s">
        <v>276</v>
      </c>
      <c r="R64" s="34" t="s">
        <v>495</v>
      </c>
      <c r="S64" s="33" t="s">
        <v>493</v>
      </c>
    </row>
    <row r="65" spans="1:19" s="2" customFormat="1" ht="39.950000000000003" customHeight="1" x14ac:dyDescent="0.2">
      <c r="A65" s="55" t="s">
        <v>448</v>
      </c>
      <c r="B65" s="54" t="s">
        <v>113</v>
      </c>
      <c r="C65" s="24" t="s">
        <v>40</v>
      </c>
      <c r="D65" s="24">
        <v>5000</v>
      </c>
      <c r="E65" s="24">
        <f>MROUND(D65-(D65*10/100),50)</f>
        <v>4500</v>
      </c>
      <c r="F65" s="24">
        <f>MROUND(D65-(D65*20/100),50)</f>
        <v>4000</v>
      </c>
      <c r="G65" s="24">
        <f>MROUND(D65-(D65*30/100),50)</f>
        <v>3500</v>
      </c>
      <c r="H65" s="24">
        <f>MROUND(D65-(D65*10/100),50)</f>
        <v>4500</v>
      </c>
      <c r="I65" s="24">
        <f>MROUND(H65-(H65*10/100),50)</f>
        <v>4050</v>
      </c>
      <c r="J65" s="24">
        <f>MROUND(H65-(H65*20/100),50)</f>
        <v>3600</v>
      </c>
      <c r="K65" s="24">
        <f>MROUND(H65-(H65*30/100),50)</f>
        <v>3150</v>
      </c>
      <c r="L65" s="24">
        <f>MROUND(D65-(D65*20/100),50)</f>
        <v>4000</v>
      </c>
      <c r="M65" s="24">
        <f>MROUND(L65-(L65*10/100),50)</f>
        <v>3600</v>
      </c>
      <c r="N65" s="24">
        <f>MROUND(L65-(L65*20/100),50)</f>
        <v>3200</v>
      </c>
      <c r="O65" s="24">
        <f>MROUND(L65-(L65*30/100),50)</f>
        <v>2800</v>
      </c>
      <c r="P65" s="54" t="s">
        <v>10</v>
      </c>
      <c r="Q65" s="54" t="s">
        <v>241</v>
      </c>
      <c r="R65" s="82" t="s">
        <v>517</v>
      </c>
      <c r="S65" s="33" t="s">
        <v>493</v>
      </c>
    </row>
    <row r="66" spans="1:19" s="2" customFormat="1" ht="39.950000000000003" customHeight="1" x14ac:dyDescent="0.2">
      <c r="A66" s="55"/>
      <c r="B66" s="54"/>
      <c r="C66" s="24" t="s">
        <v>41</v>
      </c>
      <c r="D66" s="24">
        <f>D65*50/100</f>
        <v>2500</v>
      </c>
      <c r="E66" s="24">
        <f t="shared" ref="E66:O66" si="14">MROUND(E65*50/100,50)</f>
        <v>2250</v>
      </c>
      <c r="F66" s="24">
        <f t="shared" si="14"/>
        <v>2000</v>
      </c>
      <c r="G66" s="24">
        <f t="shared" si="14"/>
        <v>1750</v>
      </c>
      <c r="H66" s="24">
        <f t="shared" si="14"/>
        <v>2250</v>
      </c>
      <c r="I66" s="24">
        <f t="shared" si="14"/>
        <v>2050</v>
      </c>
      <c r="J66" s="24">
        <f t="shared" si="14"/>
        <v>1800</v>
      </c>
      <c r="K66" s="24">
        <f t="shared" si="14"/>
        <v>1600</v>
      </c>
      <c r="L66" s="24">
        <f t="shared" si="14"/>
        <v>2000</v>
      </c>
      <c r="M66" s="24">
        <f t="shared" si="14"/>
        <v>1800</v>
      </c>
      <c r="N66" s="24">
        <f t="shared" si="14"/>
        <v>1600</v>
      </c>
      <c r="O66" s="24">
        <f t="shared" si="14"/>
        <v>1400</v>
      </c>
      <c r="P66" s="54"/>
      <c r="Q66" s="54"/>
      <c r="R66" s="82"/>
      <c r="S66" s="33" t="s">
        <v>493</v>
      </c>
    </row>
    <row r="67" spans="1:19" ht="39.950000000000003" customHeight="1" x14ac:dyDescent="0.2">
      <c r="A67" s="55" t="s">
        <v>449</v>
      </c>
      <c r="B67" s="54" t="s">
        <v>109</v>
      </c>
      <c r="C67" s="24" t="s">
        <v>40</v>
      </c>
      <c r="D67" s="24">
        <v>3000</v>
      </c>
      <c r="E67" s="24">
        <f>MROUND(D67-(D67*10/100),50)</f>
        <v>2700</v>
      </c>
      <c r="F67" s="24">
        <f>MROUND(D67-(D67*20/100),50)</f>
        <v>2400</v>
      </c>
      <c r="G67" s="24">
        <f>MROUND(D67-(D67*30/100),50)</f>
        <v>2100</v>
      </c>
      <c r="H67" s="24">
        <f>MROUND(D67-(D67*10/100),50)</f>
        <v>2700</v>
      </c>
      <c r="I67" s="24">
        <f>MROUND(H67-(H67*10/100),50)</f>
        <v>2450</v>
      </c>
      <c r="J67" s="24">
        <f>MROUND(H67-(H67*20/100),50)</f>
        <v>2150</v>
      </c>
      <c r="K67" s="24">
        <f>MROUND(H67-(H67*30/100),50)</f>
        <v>1900</v>
      </c>
      <c r="L67" s="24">
        <f>MROUND(D67-(D67*20/100),50)</f>
        <v>2400</v>
      </c>
      <c r="M67" s="24">
        <f>MROUND(L67-(L67*10/100),50)</f>
        <v>2150</v>
      </c>
      <c r="N67" s="24">
        <f>MROUND(L67-(L67*20/100),50)</f>
        <v>1900</v>
      </c>
      <c r="O67" s="24">
        <f>MROUND(L67-(L67*30/100),50)</f>
        <v>1700</v>
      </c>
      <c r="P67" s="54" t="s">
        <v>10</v>
      </c>
      <c r="Q67" s="54" t="s">
        <v>241</v>
      </c>
      <c r="R67" s="54" t="s">
        <v>519</v>
      </c>
      <c r="S67" s="33" t="s">
        <v>493</v>
      </c>
    </row>
    <row r="68" spans="1:19" ht="39.950000000000003" customHeight="1" x14ac:dyDescent="0.2">
      <c r="A68" s="55"/>
      <c r="B68" s="54"/>
      <c r="C68" s="24" t="s">
        <v>41</v>
      </c>
      <c r="D68" s="24">
        <f>D67*50/100</f>
        <v>1500</v>
      </c>
      <c r="E68" s="24">
        <f t="shared" ref="E68:O68" si="15">MROUND(E67*50/100,50)</f>
        <v>1350</v>
      </c>
      <c r="F68" s="24">
        <f t="shared" si="15"/>
        <v>1200</v>
      </c>
      <c r="G68" s="24">
        <f t="shared" si="15"/>
        <v>1050</v>
      </c>
      <c r="H68" s="24">
        <f t="shared" si="15"/>
        <v>1350</v>
      </c>
      <c r="I68" s="24">
        <f t="shared" si="15"/>
        <v>1250</v>
      </c>
      <c r="J68" s="24">
        <f t="shared" si="15"/>
        <v>1100</v>
      </c>
      <c r="K68" s="24">
        <f t="shared" si="15"/>
        <v>950</v>
      </c>
      <c r="L68" s="24">
        <f t="shared" si="15"/>
        <v>1200</v>
      </c>
      <c r="M68" s="24">
        <f t="shared" si="15"/>
        <v>1100</v>
      </c>
      <c r="N68" s="24">
        <f t="shared" si="15"/>
        <v>950</v>
      </c>
      <c r="O68" s="24">
        <f t="shared" si="15"/>
        <v>850</v>
      </c>
      <c r="P68" s="54"/>
      <c r="Q68" s="54"/>
      <c r="R68" s="82"/>
      <c r="S68" s="33" t="s">
        <v>493</v>
      </c>
    </row>
    <row r="69" spans="1:19" ht="39.950000000000003" customHeight="1" x14ac:dyDescent="0.2">
      <c r="A69" s="55" t="s">
        <v>450</v>
      </c>
      <c r="B69" s="54" t="s">
        <v>110</v>
      </c>
      <c r="C69" s="24" t="s">
        <v>45</v>
      </c>
      <c r="D69" s="24">
        <v>2000</v>
      </c>
      <c r="E69" s="24">
        <f>MROUND(D69-(D69*10/100),50)</f>
        <v>1800</v>
      </c>
      <c r="F69" s="24">
        <f>MROUND(D69-(D69*20/100),50)</f>
        <v>1600</v>
      </c>
      <c r="G69" s="24">
        <f>MROUND(D69-(D69*30/100),50)</f>
        <v>1400</v>
      </c>
      <c r="H69" s="24">
        <f>MROUND(D69-(D69*10/100),50)</f>
        <v>1800</v>
      </c>
      <c r="I69" s="24">
        <f>MROUND(H69-(H69*10/100),50)</f>
        <v>1600</v>
      </c>
      <c r="J69" s="24">
        <f>MROUND(H69-(H69*20/100),50)</f>
        <v>1450</v>
      </c>
      <c r="K69" s="24">
        <f>MROUND(H69-(H69*30/100),50)</f>
        <v>1250</v>
      </c>
      <c r="L69" s="24">
        <f>MROUND(D69-(D69*20/100),50)</f>
        <v>1600</v>
      </c>
      <c r="M69" s="24">
        <f>MROUND(L69-(L69*10/100),50)</f>
        <v>1450</v>
      </c>
      <c r="N69" s="24">
        <f>MROUND(L69-(L69*20/100),50)</f>
        <v>1300</v>
      </c>
      <c r="O69" s="24">
        <f>MROUND(L69-(L69*30/100),50)</f>
        <v>1100</v>
      </c>
      <c r="P69" s="54" t="s">
        <v>10</v>
      </c>
      <c r="Q69" s="54" t="s">
        <v>241</v>
      </c>
      <c r="R69" s="82" t="s">
        <v>482</v>
      </c>
      <c r="S69" s="33" t="s">
        <v>493</v>
      </c>
    </row>
    <row r="70" spans="1:19" ht="39.950000000000003" customHeight="1" x14ac:dyDescent="0.2">
      <c r="A70" s="55"/>
      <c r="B70" s="54"/>
      <c r="C70" s="24" t="s">
        <v>41</v>
      </c>
      <c r="D70" s="24">
        <f>D69*50/100</f>
        <v>1000</v>
      </c>
      <c r="E70" s="24">
        <f t="shared" ref="E70:O70" si="16">MROUND(E69*50/100,50)</f>
        <v>900</v>
      </c>
      <c r="F70" s="24">
        <f t="shared" si="16"/>
        <v>800</v>
      </c>
      <c r="G70" s="24">
        <f t="shared" si="16"/>
        <v>700</v>
      </c>
      <c r="H70" s="24">
        <f t="shared" si="16"/>
        <v>900</v>
      </c>
      <c r="I70" s="24">
        <f t="shared" si="16"/>
        <v>800</v>
      </c>
      <c r="J70" s="24">
        <f t="shared" si="16"/>
        <v>750</v>
      </c>
      <c r="K70" s="24">
        <f t="shared" si="16"/>
        <v>650</v>
      </c>
      <c r="L70" s="24">
        <f t="shared" si="16"/>
        <v>800</v>
      </c>
      <c r="M70" s="24">
        <f t="shared" si="16"/>
        <v>750</v>
      </c>
      <c r="N70" s="24">
        <f t="shared" si="16"/>
        <v>650</v>
      </c>
      <c r="O70" s="24">
        <f t="shared" si="16"/>
        <v>550</v>
      </c>
      <c r="P70" s="54"/>
      <c r="Q70" s="54"/>
      <c r="R70" s="82"/>
      <c r="S70" s="33" t="s">
        <v>493</v>
      </c>
    </row>
    <row r="71" spans="1:19" ht="39.950000000000003" customHeight="1" x14ac:dyDescent="0.2">
      <c r="A71" s="88" t="s">
        <v>73</v>
      </c>
      <c r="B71" s="88"/>
      <c r="C71" s="88"/>
      <c r="D71" s="88"/>
      <c r="E71" s="88"/>
      <c r="F71" s="88"/>
      <c r="G71" s="88"/>
      <c r="H71" s="88"/>
      <c r="I71" s="88"/>
      <c r="J71" s="88"/>
      <c r="K71" s="88"/>
      <c r="L71" s="88"/>
      <c r="M71" s="88"/>
      <c r="N71" s="88"/>
      <c r="O71" s="88"/>
      <c r="P71" s="88"/>
      <c r="Q71" s="88"/>
      <c r="R71" s="88"/>
      <c r="S71" s="33" t="s">
        <v>493</v>
      </c>
    </row>
    <row r="72" spans="1:19" ht="65.25" x14ac:dyDescent="0.2">
      <c r="A72" s="35" t="s">
        <v>185</v>
      </c>
      <c r="B72" s="34" t="s">
        <v>129</v>
      </c>
      <c r="C72" s="20" t="s">
        <v>57</v>
      </c>
      <c r="D72" s="54">
        <v>100000</v>
      </c>
      <c r="E72" s="54"/>
      <c r="F72" s="54"/>
      <c r="G72" s="54"/>
      <c r="H72" s="54">
        <f t="shared" ref="H72:H77" si="17">D72-(D72*20/100)</f>
        <v>80000</v>
      </c>
      <c r="I72" s="54"/>
      <c r="J72" s="54"/>
      <c r="K72" s="54"/>
      <c r="L72" s="54">
        <f t="shared" ref="L72:L77" si="18">D72-(D72*40/100)</f>
        <v>60000</v>
      </c>
      <c r="M72" s="54"/>
      <c r="N72" s="54"/>
      <c r="O72" s="54"/>
      <c r="P72" s="38" t="s">
        <v>9</v>
      </c>
      <c r="Q72" s="20" t="s">
        <v>53</v>
      </c>
      <c r="R72" s="53" t="s">
        <v>527</v>
      </c>
    </row>
    <row r="73" spans="1:19" s="1" customFormat="1" ht="32.25" customHeight="1" x14ac:dyDescent="0.2">
      <c r="A73" s="35" t="s">
        <v>202</v>
      </c>
      <c r="B73" s="34" t="s">
        <v>63</v>
      </c>
      <c r="C73" s="34" t="s">
        <v>57</v>
      </c>
      <c r="D73" s="54">
        <v>30000</v>
      </c>
      <c r="E73" s="54">
        <f>D73-(D73*10/100)</f>
        <v>27000</v>
      </c>
      <c r="F73" s="54">
        <f>D73-(D73*20/100)</f>
        <v>24000</v>
      </c>
      <c r="G73" s="54">
        <f>D73-(D73*30/100)</f>
        <v>21000</v>
      </c>
      <c r="H73" s="54">
        <f t="shared" si="17"/>
        <v>24000</v>
      </c>
      <c r="I73" s="54"/>
      <c r="J73" s="54"/>
      <c r="K73" s="54"/>
      <c r="L73" s="54">
        <f t="shared" si="18"/>
        <v>18000</v>
      </c>
      <c r="M73" s="54"/>
      <c r="N73" s="54"/>
      <c r="O73" s="54"/>
      <c r="P73" s="34" t="s">
        <v>9</v>
      </c>
      <c r="Q73" s="34" t="s">
        <v>53</v>
      </c>
      <c r="R73" s="34" t="s">
        <v>483</v>
      </c>
    </row>
    <row r="74" spans="1:19" s="16" customFormat="1" ht="39.950000000000003" customHeight="1" x14ac:dyDescent="0.2">
      <c r="A74" s="35" t="s">
        <v>218</v>
      </c>
      <c r="B74" s="39" t="s">
        <v>168</v>
      </c>
      <c r="C74" s="39" t="s">
        <v>57</v>
      </c>
      <c r="D74" s="86">
        <v>20000</v>
      </c>
      <c r="E74" s="86">
        <f>D74-(D74*10/100)</f>
        <v>18000</v>
      </c>
      <c r="F74" s="86">
        <f>D74-(D74*20/100)</f>
        <v>16000</v>
      </c>
      <c r="G74" s="86">
        <f>D74-(D74*30/100)</f>
        <v>14000</v>
      </c>
      <c r="H74" s="86">
        <f t="shared" si="17"/>
        <v>16000</v>
      </c>
      <c r="I74" s="86"/>
      <c r="J74" s="86"/>
      <c r="K74" s="86"/>
      <c r="L74" s="86">
        <f t="shared" si="18"/>
        <v>12000</v>
      </c>
      <c r="M74" s="86"/>
      <c r="N74" s="86"/>
      <c r="O74" s="86"/>
      <c r="P74" s="39" t="s">
        <v>9</v>
      </c>
      <c r="Q74" s="39" t="s">
        <v>53</v>
      </c>
      <c r="R74" s="34" t="s">
        <v>483</v>
      </c>
    </row>
    <row r="75" spans="1:19" ht="39.950000000000003" customHeight="1" x14ac:dyDescent="0.2">
      <c r="A75" s="35" t="s">
        <v>231</v>
      </c>
      <c r="B75" s="34" t="s">
        <v>130</v>
      </c>
      <c r="C75" s="20" t="s">
        <v>57</v>
      </c>
      <c r="D75" s="54">
        <v>15000</v>
      </c>
      <c r="E75" s="54">
        <f>D75-(D75*10/100)</f>
        <v>13500</v>
      </c>
      <c r="F75" s="54">
        <f>D75-(D75*20/100)</f>
        <v>12000</v>
      </c>
      <c r="G75" s="54">
        <f>D75-(D75*30/100)</f>
        <v>10500</v>
      </c>
      <c r="H75" s="54">
        <f t="shared" si="17"/>
        <v>12000</v>
      </c>
      <c r="I75" s="54"/>
      <c r="J75" s="54"/>
      <c r="K75" s="54"/>
      <c r="L75" s="54">
        <f t="shared" si="18"/>
        <v>9000</v>
      </c>
      <c r="M75" s="54"/>
      <c r="N75" s="54"/>
      <c r="O75" s="54"/>
      <c r="P75" s="38" t="s">
        <v>9</v>
      </c>
      <c r="Q75" s="20" t="s">
        <v>53</v>
      </c>
      <c r="R75" s="34" t="s">
        <v>484</v>
      </c>
    </row>
    <row r="76" spans="1:19" ht="81.75" customHeight="1" x14ac:dyDescent="0.2">
      <c r="A76" s="35" t="s">
        <v>451</v>
      </c>
      <c r="B76" s="34" t="s">
        <v>136</v>
      </c>
      <c r="C76" s="20" t="s">
        <v>57</v>
      </c>
      <c r="D76" s="54">
        <v>50000</v>
      </c>
      <c r="E76" s="54">
        <f>D76-(D76*10/100)</f>
        <v>45000</v>
      </c>
      <c r="F76" s="54">
        <f>D76-(D76*20/100)</f>
        <v>40000</v>
      </c>
      <c r="G76" s="54">
        <f>D76-(D76*30/100)</f>
        <v>35000</v>
      </c>
      <c r="H76" s="54">
        <f t="shared" si="17"/>
        <v>40000</v>
      </c>
      <c r="I76" s="54"/>
      <c r="J76" s="54"/>
      <c r="K76" s="54"/>
      <c r="L76" s="54">
        <f t="shared" si="18"/>
        <v>30000</v>
      </c>
      <c r="M76" s="54"/>
      <c r="N76" s="54"/>
      <c r="O76" s="54"/>
      <c r="P76" s="38" t="s">
        <v>9</v>
      </c>
      <c r="Q76" s="20" t="s">
        <v>53</v>
      </c>
      <c r="R76" s="34" t="s">
        <v>514</v>
      </c>
    </row>
    <row r="77" spans="1:19" s="1" customFormat="1" ht="31.5" customHeight="1" x14ac:dyDescent="0.2">
      <c r="A77" s="35" t="s">
        <v>452</v>
      </c>
      <c r="B77" s="34" t="s">
        <v>272</v>
      </c>
      <c r="C77" s="34" t="s">
        <v>57</v>
      </c>
      <c r="D77" s="54">
        <v>5000</v>
      </c>
      <c r="E77" s="54">
        <f>D77-(D77*10/100)</f>
        <v>4500</v>
      </c>
      <c r="F77" s="54">
        <f>D77-(D77*20/100)</f>
        <v>4000</v>
      </c>
      <c r="G77" s="54">
        <f>D77-(D77*30/100)</f>
        <v>3500</v>
      </c>
      <c r="H77" s="54">
        <f t="shared" si="17"/>
        <v>4000</v>
      </c>
      <c r="I77" s="54"/>
      <c r="J77" s="54"/>
      <c r="K77" s="54"/>
      <c r="L77" s="54">
        <f t="shared" si="18"/>
        <v>3000</v>
      </c>
      <c r="M77" s="54"/>
      <c r="N77" s="54"/>
      <c r="O77" s="54"/>
      <c r="P77" s="34" t="s">
        <v>9</v>
      </c>
      <c r="Q77" s="34" t="s">
        <v>53</v>
      </c>
      <c r="R77" s="34" t="s">
        <v>490</v>
      </c>
    </row>
  </sheetData>
  <mergeCells count="213">
    <mergeCell ref="A1:R1"/>
    <mergeCell ref="A4:R4"/>
    <mergeCell ref="A16:R16"/>
    <mergeCell ref="A71:R71"/>
    <mergeCell ref="R2:R3"/>
    <mergeCell ref="R8:R9"/>
    <mergeCell ref="R10:R11"/>
    <mergeCell ref="R12:R13"/>
    <mergeCell ref="R14:R15"/>
    <mergeCell ref="R30:R31"/>
    <mergeCell ref="R37:R38"/>
    <mergeCell ref="R42:R43"/>
    <mergeCell ref="A69:A70"/>
    <mergeCell ref="D59:G59"/>
    <mergeCell ref="H59:K59"/>
    <mergeCell ref="L59:O59"/>
    <mergeCell ref="L62:O62"/>
    <mergeCell ref="A60:A61"/>
    <mergeCell ref="B51:B52"/>
    <mergeCell ref="R51:R52"/>
    <mergeCell ref="H74:K74"/>
    <mergeCell ref="L74:O74"/>
    <mergeCell ref="D73:G73"/>
    <mergeCell ref="H73:K73"/>
    <mergeCell ref="L73:O73"/>
    <mergeCell ref="D75:G75"/>
    <mergeCell ref="R57:R58"/>
    <mergeCell ref="R60:R61"/>
    <mergeCell ref="R65:R66"/>
    <mergeCell ref="R67:R68"/>
    <mergeCell ref="R69:R70"/>
    <mergeCell ref="B2:B3"/>
    <mergeCell ref="C2:C3"/>
    <mergeCell ref="B69:B70"/>
    <mergeCell ref="L28:O28"/>
    <mergeCell ref="D29:G29"/>
    <mergeCell ref="H29:K29"/>
    <mergeCell ref="L29:O29"/>
    <mergeCell ref="H20:K20"/>
    <mergeCell ref="L20:O20"/>
    <mergeCell ref="D25:G25"/>
    <mergeCell ref="H25:K25"/>
    <mergeCell ref="L25:O25"/>
    <mergeCell ref="D24:G24"/>
    <mergeCell ref="H24:K24"/>
    <mergeCell ref="B60:B61"/>
    <mergeCell ref="D28:G28"/>
    <mergeCell ref="H28:K28"/>
    <mergeCell ref="L24:O24"/>
    <mergeCell ref="D22:G22"/>
    <mergeCell ref="H22:K22"/>
    <mergeCell ref="B65:B66"/>
    <mergeCell ref="D40:G40"/>
    <mergeCell ref="Q37:Q38"/>
    <mergeCell ref="L47:O47"/>
    <mergeCell ref="P12:P13"/>
    <mergeCell ref="P51:P52"/>
    <mergeCell ref="P14:P15"/>
    <mergeCell ref="H19:K19"/>
    <mergeCell ref="L19:O19"/>
    <mergeCell ref="H18:K18"/>
    <mergeCell ref="Q42:Q43"/>
    <mergeCell ref="Q2:Q3"/>
    <mergeCell ref="D6:G6"/>
    <mergeCell ref="H6:K6"/>
    <mergeCell ref="L6:O6"/>
    <mergeCell ref="H5:K5"/>
    <mergeCell ref="L5:O5"/>
    <mergeCell ref="D7:G7"/>
    <mergeCell ref="H7:K7"/>
    <mergeCell ref="L7:O7"/>
    <mergeCell ref="P69:P70"/>
    <mergeCell ref="P65:P66"/>
    <mergeCell ref="L23:O23"/>
    <mergeCell ref="L22:O22"/>
    <mergeCell ref="L21:O21"/>
    <mergeCell ref="L32:O32"/>
    <mergeCell ref="L33:O33"/>
    <mergeCell ref="L36:O36"/>
    <mergeCell ref="L35:O35"/>
    <mergeCell ref="L34:O34"/>
    <mergeCell ref="L56:O56"/>
    <mergeCell ref="P42:P43"/>
    <mergeCell ref="Q67:Q68"/>
    <mergeCell ref="Q60:Q61"/>
    <mergeCell ref="Q69:Q70"/>
    <mergeCell ref="Q57:Q58"/>
    <mergeCell ref="Q51:Q52"/>
    <mergeCell ref="Q65:Q66"/>
    <mergeCell ref="L18:O18"/>
    <mergeCell ref="L17:O17"/>
    <mergeCell ref="A42:A43"/>
    <mergeCell ref="B42:B43"/>
    <mergeCell ref="B57:B58"/>
    <mergeCell ref="P57:P58"/>
    <mergeCell ref="D49:G49"/>
    <mergeCell ref="H49:K49"/>
    <mergeCell ref="L49:O49"/>
    <mergeCell ref="P67:P68"/>
    <mergeCell ref="B67:B68"/>
    <mergeCell ref="H63:K63"/>
    <mergeCell ref="L63:O63"/>
    <mergeCell ref="D64:G64"/>
    <mergeCell ref="H64:K64"/>
    <mergeCell ref="L64:O64"/>
    <mergeCell ref="L48:O48"/>
    <mergeCell ref="A67:A68"/>
    <mergeCell ref="A51:A52"/>
    <mergeCell ref="A57:A58"/>
    <mergeCell ref="L54:O54"/>
    <mergeCell ref="A65:A66"/>
    <mergeCell ref="L53:O53"/>
    <mergeCell ref="D50:G50"/>
    <mergeCell ref="H50:K50"/>
    <mergeCell ref="L50:O50"/>
    <mergeCell ref="D39:G39"/>
    <mergeCell ref="D54:G54"/>
    <mergeCell ref="H54:K54"/>
    <mergeCell ref="D47:G47"/>
    <mergeCell ref="H47:K47"/>
    <mergeCell ref="D48:G48"/>
    <mergeCell ref="H62:K62"/>
    <mergeCell ref="D63:G63"/>
    <mergeCell ref="H40:K40"/>
    <mergeCell ref="D62:G62"/>
    <mergeCell ref="D56:G56"/>
    <mergeCell ref="H56:K56"/>
    <mergeCell ref="P60:P61"/>
    <mergeCell ref="H39:K39"/>
    <mergeCell ref="L39:O39"/>
    <mergeCell ref="L40:O40"/>
    <mergeCell ref="D32:G32"/>
    <mergeCell ref="H32:K32"/>
    <mergeCell ref="D33:G33"/>
    <mergeCell ref="H33:K33"/>
    <mergeCell ref="D36:G36"/>
    <mergeCell ref="H36:K36"/>
    <mergeCell ref="D34:G34"/>
    <mergeCell ref="H34:K34"/>
    <mergeCell ref="D35:G35"/>
    <mergeCell ref="D53:G53"/>
    <mergeCell ref="H53:K53"/>
    <mergeCell ref="D41:G41"/>
    <mergeCell ref="H41:K41"/>
    <mergeCell ref="L41:O41"/>
    <mergeCell ref="H48:K48"/>
    <mergeCell ref="A30:A31"/>
    <mergeCell ref="Q30:Q31"/>
    <mergeCell ref="Q14:Q15"/>
    <mergeCell ref="Q8:Q9"/>
    <mergeCell ref="Q10:Q11"/>
    <mergeCell ref="Q12:Q13"/>
    <mergeCell ref="P10:P11"/>
    <mergeCell ref="A8:A9"/>
    <mergeCell ref="B8:B9"/>
    <mergeCell ref="A12:A13"/>
    <mergeCell ref="B12:B13"/>
    <mergeCell ref="H17:K17"/>
    <mergeCell ref="D18:G18"/>
    <mergeCell ref="P8:P9"/>
    <mergeCell ref="A10:A11"/>
    <mergeCell ref="B10:B11"/>
    <mergeCell ref="D17:G17"/>
    <mergeCell ref="B14:B15"/>
    <mergeCell ref="B30:B31"/>
    <mergeCell ref="A2:A3"/>
    <mergeCell ref="D2:G2"/>
    <mergeCell ref="H2:K2"/>
    <mergeCell ref="L2:O2"/>
    <mergeCell ref="P2:P3"/>
    <mergeCell ref="D5:G5"/>
    <mergeCell ref="A14:A15"/>
    <mergeCell ref="A37:A38"/>
    <mergeCell ref="B37:B38"/>
    <mergeCell ref="P37:P38"/>
    <mergeCell ref="D20:G20"/>
    <mergeCell ref="D26:G26"/>
    <mergeCell ref="H26:K26"/>
    <mergeCell ref="P30:P31"/>
    <mergeCell ref="L26:O26"/>
    <mergeCell ref="D27:G27"/>
    <mergeCell ref="H27:K27"/>
    <mergeCell ref="L27:O27"/>
    <mergeCell ref="D23:G23"/>
    <mergeCell ref="H23:K23"/>
    <mergeCell ref="H35:K35"/>
    <mergeCell ref="D21:G21"/>
    <mergeCell ref="H21:K21"/>
    <mergeCell ref="D19:G19"/>
    <mergeCell ref="D77:G77"/>
    <mergeCell ref="H77:K77"/>
    <mergeCell ref="L77:O77"/>
    <mergeCell ref="D44:G44"/>
    <mergeCell ref="H44:K44"/>
    <mergeCell ref="L44:O44"/>
    <mergeCell ref="D45:G45"/>
    <mergeCell ref="H45:K45"/>
    <mergeCell ref="L45:O45"/>
    <mergeCell ref="D46:G46"/>
    <mergeCell ref="H46:K46"/>
    <mergeCell ref="L46:O46"/>
    <mergeCell ref="D55:G55"/>
    <mergeCell ref="H55:K55"/>
    <mergeCell ref="L55:O55"/>
    <mergeCell ref="H76:K76"/>
    <mergeCell ref="L76:O76"/>
    <mergeCell ref="D76:G76"/>
    <mergeCell ref="H75:K75"/>
    <mergeCell ref="L75:O75"/>
    <mergeCell ref="D72:G72"/>
    <mergeCell ref="H72:K72"/>
    <mergeCell ref="L72:O72"/>
    <mergeCell ref="D74:G74"/>
  </mergeCells>
  <pageMargins left="0.7" right="0.7" top="0.75" bottom="0.75" header="0.3" footer="0.3"/>
  <pageSetup paperSize="9" scale="51"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S52"/>
  <sheetViews>
    <sheetView rightToLeft="1" topLeftCell="A41" zoomScale="90" zoomScaleNormal="90" workbookViewId="0">
      <selection activeCell="B52" sqref="B52"/>
    </sheetView>
  </sheetViews>
  <sheetFormatPr defaultColWidth="9.125" defaultRowHeight="14.25" x14ac:dyDescent="0.2"/>
  <cols>
    <col min="1" max="1" width="7.25" style="29" customWidth="1"/>
    <col min="2" max="2" width="74" style="5" customWidth="1"/>
    <col min="3" max="3" width="11.125" style="5" customWidth="1"/>
    <col min="4" max="4" width="5.375" style="5" bestFit="1" customWidth="1"/>
    <col min="5" max="5" width="6.25" style="5" bestFit="1" customWidth="1"/>
    <col min="6" max="6" width="6.125" style="5" bestFit="1" customWidth="1"/>
    <col min="7" max="7" width="5.75" style="5" bestFit="1" customWidth="1"/>
    <col min="8" max="8" width="5.375" style="5" bestFit="1" customWidth="1"/>
    <col min="9" max="9" width="6.25" style="5" bestFit="1" customWidth="1"/>
    <col min="10" max="10" width="6.125" style="5" bestFit="1" customWidth="1"/>
    <col min="11" max="11" width="5.75" style="5" bestFit="1" customWidth="1"/>
    <col min="12" max="12" width="5.375" style="5" bestFit="1" customWidth="1"/>
    <col min="13" max="13" width="6.25" style="5" bestFit="1" customWidth="1"/>
    <col min="14" max="14" width="6.125" style="5" bestFit="1" customWidth="1"/>
    <col min="15" max="15" width="5.75" style="5" customWidth="1"/>
    <col min="16" max="16" width="8.375" style="5" customWidth="1"/>
    <col min="17" max="17" width="18.375" style="5" bestFit="1" customWidth="1"/>
    <col min="18" max="18" width="29" style="5" customWidth="1"/>
    <col min="19" max="19" width="9.125" style="4"/>
    <col min="20" max="16384" width="9.125" style="5"/>
  </cols>
  <sheetData>
    <row r="1" spans="1:18" ht="61.5" customHeight="1" x14ac:dyDescent="0.2">
      <c r="A1" s="98" t="s">
        <v>146</v>
      </c>
      <c r="B1" s="98"/>
      <c r="C1" s="98"/>
      <c r="D1" s="98"/>
      <c r="E1" s="98"/>
      <c r="F1" s="98"/>
      <c r="G1" s="98"/>
      <c r="H1" s="98"/>
      <c r="I1" s="98"/>
      <c r="J1" s="98"/>
      <c r="K1" s="98"/>
      <c r="L1" s="98"/>
      <c r="M1" s="98"/>
      <c r="N1" s="98"/>
      <c r="O1" s="98"/>
      <c r="P1" s="98"/>
      <c r="Q1" s="98"/>
      <c r="R1" s="98"/>
    </row>
    <row r="2" spans="1:18" ht="44.25" customHeight="1" x14ac:dyDescent="0.2">
      <c r="A2" s="94" t="s">
        <v>4</v>
      </c>
      <c r="B2" s="56" t="s">
        <v>3</v>
      </c>
      <c r="C2" s="56" t="s">
        <v>141</v>
      </c>
      <c r="D2" s="56" t="s">
        <v>2</v>
      </c>
      <c r="E2" s="56"/>
      <c r="F2" s="56"/>
      <c r="G2" s="56"/>
      <c r="H2" s="56" t="s">
        <v>1</v>
      </c>
      <c r="I2" s="56"/>
      <c r="J2" s="56"/>
      <c r="K2" s="56"/>
      <c r="L2" s="56" t="s">
        <v>0</v>
      </c>
      <c r="M2" s="56"/>
      <c r="N2" s="56"/>
      <c r="O2" s="56"/>
      <c r="P2" s="56" t="s">
        <v>11</v>
      </c>
      <c r="Q2" s="56" t="s">
        <v>52</v>
      </c>
      <c r="R2" s="56" t="s">
        <v>477</v>
      </c>
    </row>
    <row r="3" spans="1:18" ht="46.5" x14ac:dyDescent="0.2">
      <c r="A3" s="94"/>
      <c r="B3" s="56"/>
      <c r="C3" s="56"/>
      <c r="D3" s="30" t="s">
        <v>8</v>
      </c>
      <c r="E3" s="30" t="s">
        <v>7</v>
      </c>
      <c r="F3" s="30" t="s">
        <v>6</v>
      </c>
      <c r="G3" s="30" t="s">
        <v>5</v>
      </c>
      <c r="H3" s="30" t="s">
        <v>8</v>
      </c>
      <c r="I3" s="30" t="s">
        <v>7</v>
      </c>
      <c r="J3" s="30" t="s">
        <v>6</v>
      </c>
      <c r="K3" s="30" t="s">
        <v>5</v>
      </c>
      <c r="L3" s="30" t="s">
        <v>8</v>
      </c>
      <c r="M3" s="30" t="s">
        <v>7</v>
      </c>
      <c r="N3" s="30" t="s">
        <v>6</v>
      </c>
      <c r="O3" s="30" t="s">
        <v>5</v>
      </c>
      <c r="P3" s="56"/>
      <c r="Q3" s="56"/>
      <c r="R3" s="56"/>
    </row>
    <row r="4" spans="1:18" ht="23.25" customHeight="1" x14ac:dyDescent="0.2">
      <c r="A4" s="88" t="s">
        <v>98</v>
      </c>
      <c r="B4" s="88"/>
      <c r="C4" s="88"/>
      <c r="D4" s="88"/>
      <c r="E4" s="88"/>
      <c r="F4" s="88"/>
      <c r="G4" s="88"/>
      <c r="H4" s="88"/>
      <c r="I4" s="88"/>
      <c r="J4" s="88"/>
      <c r="K4" s="88"/>
      <c r="L4" s="88"/>
      <c r="M4" s="88"/>
      <c r="N4" s="88"/>
      <c r="O4" s="88"/>
      <c r="P4" s="88"/>
      <c r="Q4" s="88"/>
      <c r="R4" s="88"/>
    </row>
    <row r="5" spans="1:18" ht="87" x14ac:dyDescent="0.2">
      <c r="A5" s="49" t="s">
        <v>176</v>
      </c>
      <c r="B5" s="50" t="s">
        <v>99</v>
      </c>
      <c r="C5" s="50" t="s">
        <v>48</v>
      </c>
      <c r="D5" s="81">
        <v>15000</v>
      </c>
      <c r="E5" s="81"/>
      <c r="F5" s="81"/>
      <c r="G5" s="81"/>
      <c r="H5" s="81">
        <f>D5-(D5*20/100)</f>
        <v>12000</v>
      </c>
      <c r="I5" s="81"/>
      <c r="J5" s="81"/>
      <c r="K5" s="81"/>
      <c r="L5" s="81">
        <f>D5-(D5*40/100)</f>
        <v>9000</v>
      </c>
      <c r="M5" s="81"/>
      <c r="N5" s="81"/>
      <c r="O5" s="81"/>
      <c r="P5" s="50" t="s">
        <v>9</v>
      </c>
      <c r="Q5" s="50" t="s">
        <v>53</v>
      </c>
      <c r="R5" s="50" t="s">
        <v>520</v>
      </c>
    </row>
    <row r="6" spans="1:18" ht="87" x14ac:dyDescent="0.2">
      <c r="A6" s="49" t="s">
        <v>193</v>
      </c>
      <c r="B6" s="50" t="s">
        <v>90</v>
      </c>
      <c r="C6" s="50" t="s">
        <v>48</v>
      </c>
      <c r="D6" s="81">
        <v>5000</v>
      </c>
      <c r="E6" s="81"/>
      <c r="F6" s="81"/>
      <c r="G6" s="81"/>
      <c r="H6" s="81">
        <f>D6-(D6*20/100)</f>
        <v>4000</v>
      </c>
      <c r="I6" s="81"/>
      <c r="J6" s="81"/>
      <c r="K6" s="81"/>
      <c r="L6" s="81">
        <f>D6-(D6*40/100)</f>
        <v>3000</v>
      </c>
      <c r="M6" s="81"/>
      <c r="N6" s="81"/>
      <c r="O6" s="81"/>
      <c r="P6" s="50" t="s">
        <v>50</v>
      </c>
      <c r="Q6" s="50" t="s">
        <v>53</v>
      </c>
      <c r="R6" s="50" t="s">
        <v>520</v>
      </c>
    </row>
    <row r="7" spans="1:18" ht="21.75" x14ac:dyDescent="0.2">
      <c r="A7" s="92" t="s">
        <v>209</v>
      </c>
      <c r="B7" s="81" t="s">
        <v>91</v>
      </c>
      <c r="C7" s="50" t="s">
        <v>40</v>
      </c>
      <c r="D7" s="50">
        <v>5000</v>
      </c>
      <c r="E7" s="50">
        <f>MROUND(D7-(D7*10/100),50)</f>
        <v>4500</v>
      </c>
      <c r="F7" s="50">
        <f>MROUND(D7-(D7*20/100),50)</f>
        <v>4000</v>
      </c>
      <c r="G7" s="50">
        <f>MROUND(D7-(D7*30/100),50)</f>
        <v>3500</v>
      </c>
      <c r="H7" s="50">
        <f>MROUND(D7-(D7*10/100),50)</f>
        <v>4500</v>
      </c>
      <c r="I7" s="50">
        <f>MROUND(H7-(H7*10/100),50)</f>
        <v>4050</v>
      </c>
      <c r="J7" s="50">
        <f>MROUND(H7-(H7*20/100),50)</f>
        <v>3600</v>
      </c>
      <c r="K7" s="50">
        <f>MROUND(H7-(H7*30/100),50)</f>
        <v>3150</v>
      </c>
      <c r="L7" s="50">
        <f>MROUND(D7-(D7*20/100),50)</f>
        <v>4000</v>
      </c>
      <c r="M7" s="50">
        <f>MROUND(L7-(L7*10/100),50)</f>
        <v>3600</v>
      </c>
      <c r="N7" s="50">
        <f>MROUND(L7-(L7*20/100),50)</f>
        <v>3200</v>
      </c>
      <c r="O7" s="50">
        <f>MROUND(L7-(L7*30/100),50)</f>
        <v>2800</v>
      </c>
      <c r="P7" s="81" t="s">
        <v>10</v>
      </c>
      <c r="Q7" s="81" t="s">
        <v>53</v>
      </c>
      <c r="R7" s="100" t="s">
        <v>520</v>
      </c>
    </row>
    <row r="8" spans="1:18" ht="21.75" x14ac:dyDescent="0.2">
      <c r="A8" s="92"/>
      <c r="B8" s="81"/>
      <c r="C8" s="50" t="s">
        <v>41</v>
      </c>
      <c r="D8" s="50">
        <f t="shared" ref="D8" si="0">D7*50/100</f>
        <v>2500</v>
      </c>
      <c r="E8" s="50">
        <f t="shared" ref="E8:O8" si="1">MROUND(E7*50/100,50)</f>
        <v>2250</v>
      </c>
      <c r="F8" s="50">
        <f t="shared" si="1"/>
        <v>2000</v>
      </c>
      <c r="G8" s="50">
        <f t="shared" si="1"/>
        <v>1750</v>
      </c>
      <c r="H8" s="50">
        <f t="shared" si="1"/>
        <v>2250</v>
      </c>
      <c r="I8" s="50">
        <f t="shared" si="1"/>
        <v>2050</v>
      </c>
      <c r="J8" s="50">
        <f t="shared" si="1"/>
        <v>1800</v>
      </c>
      <c r="K8" s="50">
        <f t="shared" si="1"/>
        <v>1600</v>
      </c>
      <c r="L8" s="50">
        <f t="shared" si="1"/>
        <v>2000</v>
      </c>
      <c r="M8" s="50">
        <f t="shared" si="1"/>
        <v>1800</v>
      </c>
      <c r="N8" s="50">
        <f t="shared" si="1"/>
        <v>1600</v>
      </c>
      <c r="O8" s="50">
        <f t="shared" si="1"/>
        <v>1400</v>
      </c>
      <c r="P8" s="81"/>
      <c r="Q8" s="81"/>
      <c r="R8" s="101"/>
    </row>
    <row r="9" spans="1:18" s="1" customFormat="1" ht="28.5" customHeight="1" x14ac:dyDescent="0.2">
      <c r="A9" s="91" t="s">
        <v>223</v>
      </c>
      <c r="B9" s="93" t="s">
        <v>105</v>
      </c>
      <c r="C9" s="36" t="s">
        <v>45</v>
      </c>
      <c r="D9" s="36">
        <v>3000</v>
      </c>
      <c r="E9" s="36">
        <f>MROUND(D9-(D9*10/100),50)</f>
        <v>2700</v>
      </c>
      <c r="F9" s="36">
        <f>MROUND(D9-(D9*20/100),50)</f>
        <v>2400</v>
      </c>
      <c r="G9" s="36">
        <f>MROUND(D9-(D9*30/100),50)</f>
        <v>2100</v>
      </c>
      <c r="H9" s="36">
        <f>MROUND(D9-(D9*10/100),50)</f>
        <v>2700</v>
      </c>
      <c r="I9" s="36">
        <f>MROUND(H9-(H9*10/100),50)</f>
        <v>2450</v>
      </c>
      <c r="J9" s="36">
        <f>MROUND(H9-(H9*20/100),50)</f>
        <v>2150</v>
      </c>
      <c r="K9" s="36">
        <f>MROUND(H9-(H9*30/100),50)</f>
        <v>1900</v>
      </c>
      <c r="L9" s="36">
        <f>MROUND(D9-(D9*20/100),50)</f>
        <v>2400</v>
      </c>
      <c r="M9" s="36">
        <f>MROUND(L9-(L9*10/100),50)</f>
        <v>2150</v>
      </c>
      <c r="N9" s="36">
        <f>MROUND(L9-(L9*20/100),50)</f>
        <v>1900</v>
      </c>
      <c r="O9" s="36">
        <f>MROUND(L9-(L9*30/100),50)</f>
        <v>1700</v>
      </c>
      <c r="P9" s="73" t="s">
        <v>10</v>
      </c>
      <c r="Q9" s="73" t="s">
        <v>53</v>
      </c>
      <c r="R9" s="73" t="s">
        <v>487</v>
      </c>
    </row>
    <row r="10" spans="1:18" s="1" customFormat="1" ht="57.75" customHeight="1" x14ac:dyDescent="0.2">
      <c r="A10" s="91"/>
      <c r="B10" s="93"/>
      <c r="C10" s="36" t="s">
        <v>41</v>
      </c>
      <c r="D10" s="36">
        <f>D9*50/100</f>
        <v>1500</v>
      </c>
      <c r="E10" s="41">
        <f t="shared" ref="E10:O10" si="2">MROUND(E9*50/100,50)</f>
        <v>1350</v>
      </c>
      <c r="F10" s="41">
        <f t="shared" si="2"/>
        <v>1200</v>
      </c>
      <c r="G10" s="41">
        <f t="shared" si="2"/>
        <v>1050</v>
      </c>
      <c r="H10" s="41">
        <f t="shared" si="2"/>
        <v>1350</v>
      </c>
      <c r="I10" s="41">
        <f t="shared" si="2"/>
        <v>1250</v>
      </c>
      <c r="J10" s="41">
        <f t="shared" si="2"/>
        <v>1100</v>
      </c>
      <c r="K10" s="41">
        <f t="shared" si="2"/>
        <v>950</v>
      </c>
      <c r="L10" s="41">
        <f t="shared" si="2"/>
        <v>1200</v>
      </c>
      <c r="M10" s="41">
        <f t="shared" si="2"/>
        <v>1100</v>
      </c>
      <c r="N10" s="41">
        <f t="shared" si="2"/>
        <v>950</v>
      </c>
      <c r="O10" s="41">
        <f t="shared" si="2"/>
        <v>850</v>
      </c>
      <c r="P10" s="73"/>
      <c r="Q10" s="73"/>
      <c r="R10" s="73"/>
    </row>
    <row r="11" spans="1:18" ht="23.25" customHeight="1" x14ac:dyDescent="0.2">
      <c r="A11" s="99" t="s">
        <v>96</v>
      </c>
      <c r="B11" s="99"/>
      <c r="C11" s="99"/>
      <c r="D11" s="99"/>
      <c r="E11" s="99"/>
      <c r="F11" s="99"/>
      <c r="G11" s="99"/>
      <c r="H11" s="99"/>
      <c r="I11" s="99"/>
      <c r="J11" s="99"/>
      <c r="K11" s="99"/>
      <c r="L11" s="99"/>
      <c r="M11" s="99"/>
      <c r="N11" s="99"/>
      <c r="O11" s="99"/>
      <c r="P11" s="99"/>
      <c r="Q11" s="99"/>
      <c r="R11" s="99"/>
    </row>
    <row r="12" spans="1:18" ht="66" customHeight="1" x14ac:dyDescent="0.2">
      <c r="A12" s="27" t="s">
        <v>181</v>
      </c>
      <c r="B12" s="39" t="s">
        <v>147</v>
      </c>
      <c r="C12" s="39" t="s">
        <v>48</v>
      </c>
      <c r="D12" s="86">
        <v>15000</v>
      </c>
      <c r="E12" s="86"/>
      <c r="F12" s="86"/>
      <c r="G12" s="86"/>
      <c r="H12" s="86">
        <f>D12-(D12*20/100)</f>
        <v>12000</v>
      </c>
      <c r="I12" s="86"/>
      <c r="J12" s="86"/>
      <c r="K12" s="86"/>
      <c r="L12" s="86">
        <f>D12-(D12*40/100)</f>
        <v>9000</v>
      </c>
      <c r="M12" s="86"/>
      <c r="N12" s="86"/>
      <c r="O12" s="86"/>
      <c r="P12" s="39" t="s">
        <v>9</v>
      </c>
      <c r="Q12" s="39" t="s">
        <v>252</v>
      </c>
      <c r="R12" s="36" t="s">
        <v>492</v>
      </c>
    </row>
    <row r="13" spans="1:18" ht="43.5" customHeight="1" x14ac:dyDescent="0.2">
      <c r="A13" s="91" t="s">
        <v>198</v>
      </c>
      <c r="B13" s="86" t="s">
        <v>171</v>
      </c>
      <c r="C13" s="39" t="s">
        <v>40</v>
      </c>
      <c r="D13" s="86" t="s">
        <v>33</v>
      </c>
      <c r="E13" s="86"/>
      <c r="F13" s="86"/>
      <c r="G13" s="86"/>
      <c r="H13" s="86"/>
      <c r="I13" s="86"/>
      <c r="J13" s="86"/>
      <c r="K13" s="86"/>
      <c r="L13" s="86"/>
      <c r="M13" s="86"/>
      <c r="N13" s="86"/>
      <c r="O13" s="86"/>
      <c r="P13" s="86" t="s">
        <v>10</v>
      </c>
      <c r="Q13" s="86" t="s">
        <v>252</v>
      </c>
      <c r="R13" s="86" t="s">
        <v>491</v>
      </c>
    </row>
    <row r="14" spans="1:18" ht="43.5" customHeight="1" x14ac:dyDescent="0.2">
      <c r="A14" s="91"/>
      <c r="B14" s="86"/>
      <c r="C14" s="39" t="s">
        <v>41</v>
      </c>
      <c r="D14" s="86" t="s">
        <v>34</v>
      </c>
      <c r="E14" s="86"/>
      <c r="F14" s="86"/>
      <c r="G14" s="86"/>
      <c r="H14" s="86"/>
      <c r="I14" s="86"/>
      <c r="J14" s="86"/>
      <c r="K14" s="86"/>
      <c r="L14" s="86"/>
      <c r="M14" s="86"/>
      <c r="N14" s="86"/>
      <c r="O14" s="86"/>
      <c r="P14" s="86"/>
      <c r="Q14" s="86"/>
      <c r="R14" s="86"/>
    </row>
    <row r="15" spans="1:18" ht="21.75" x14ac:dyDescent="0.2">
      <c r="A15" s="91" t="s">
        <v>214</v>
      </c>
      <c r="B15" s="85" t="s">
        <v>12</v>
      </c>
      <c r="C15" s="38" t="s">
        <v>40</v>
      </c>
      <c r="D15" s="38">
        <v>5000</v>
      </c>
      <c r="E15" s="38">
        <f>MROUND(D15-(D15*10/100),50)</f>
        <v>4500</v>
      </c>
      <c r="F15" s="38">
        <f>MROUND(D15-(D15*20/100),50)</f>
        <v>4000</v>
      </c>
      <c r="G15" s="38">
        <f>MROUND(D15-(D15*30/100),50)</f>
        <v>3500</v>
      </c>
      <c r="H15" s="38">
        <f>MROUND(D15-(D15*10/100),50)</f>
        <v>4500</v>
      </c>
      <c r="I15" s="38">
        <f>MROUND(H15-(H15*10/100),50)</f>
        <v>4050</v>
      </c>
      <c r="J15" s="38">
        <f>MROUND(H15-(H15*20/100),50)</f>
        <v>3600</v>
      </c>
      <c r="K15" s="38">
        <f>MROUND(H15-(H15*30/100),50)</f>
        <v>3150</v>
      </c>
      <c r="L15" s="38">
        <f>MROUND(D15-(D15*20/100),50)</f>
        <v>4000</v>
      </c>
      <c r="M15" s="38">
        <f>MROUND(L15-(L15*10/100),50)</f>
        <v>3600</v>
      </c>
      <c r="N15" s="38">
        <f>MROUND(L15-(L15*20/100),50)</f>
        <v>3200</v>
      </c>
      <c r="O15" s="38">
        <f>MROUND(L15-(L15*30/100),50)</f>
        <v>2800</v>
      </c>
      <c r="P15" s="85" t="s">
        <v>10</v>
      </c>
      <c r="Q15" s="85" t="s">
        <v>53</v>
      </c>
      <c r="R15" s="85" t="s">
        <v>491</v>
      </c>
    </row>
    <row r="16" spans="1:18" ht="21.75" x14ac:dyDescent="0.2">
      <c r="A16" s="91"/>
      <c r="B16" s="85"/>
      <c r="C16" s="38" t="s">
        <v>41</v>
      </c>
      <c r="D16" s="38">
        <f t="shared" ref="D16" si="3">D15*50/100</f>
        <v>2500</v>
      </c>
      <c r="E16" s="34">
        <f t="shared" ref="E16:O16" si="4">MROUND(E15*50/100,50)</f>
        <v>2250</v>
      </c>
      <c r="F16" s="34">
        <f t="shared" si="4"/>
        <v>2000</v>
      </c>
      <c r="G16" s="34">
        <f t="shared" si="4"/>
        <v>1750</v>
      </c>
      <c r="H16" s="34">
        <f t="shared" si="4"/>
        <v>2250</v>
      </c>
      <c r="I16" s="34">
        <f t="shared" si="4"/>
        <v>2050</v>
      </c>
      <c r="J16" s="34">
        <f t="shared" si="4"/>
        <v>1800</v>
      </c>
      <c r="K16" s="34">
        <f t="shared" si="4"/>
        <v>1600</v>
      </c>
      <c r="L16" s="34">
        <f t="shared" si="4"/>
        <v>2000</v>
      </c>
      <c r="M16" s="34">
        <f t="shared" si="4"/>
        <v>1800</v>
      </c>
      <c r="N16" s="34">
        <f t="shared" si="4"/>
        <v>1600</v>
      </c>
      <c r="O16" s="34">
        <f t="shared" si="4"/>
        <v>1400</v>
      </c>
      <c r="P16" s="85"/>
      <c r="Q16" s="85" t="s">
        <v>53</v>
      </c>
      <c r="R16" s="85"/>
    </row>
    <row r="17" spans="1:18" ht="21.75" x14ac:dyDescent="0.2">
      <c r="A17" s="91" t="s">
        <v>227</v>
      </c>
      <c r="B17" s="85" t="s">
        <v>131</v>
      </c>
      <c r="C17" s="38" t="s">
        <v>40</v>
      </c>
      <c r="D17" s="38">
        <v>5000</v>
      </c>
      <c r="E17" s="38">
        <f>MROUND(D17-(D17*10/100),50)</f>
        <v>4500</v>
      </c>
      <c r="F17" s="38">
        <f>MROUND(D17-(D17*20/100),50)</f>
        <v>4000</v>
      </c>
      <c r="G17" s="38">
        <f>MROUND(D17-(D17*30/100),50)</f>
        <v>3500</v>
      </c>
      <c r="H17" s="38">
        <f>MROUND(D17-(D17*10/100),50)</f>
        <v>4500</v>
      </c>
      <c r="I17" s="38">
        <f>MROUND(H17-(H17*10/100),50)</f>
        <v>4050</v>
      </c>
      <c r="J17" s="38">
        <f>MROUND(H17-(H17*20/100),50)</f>
        <v>3600</v>
      </c>
      <c r="K17" s="38">
        <f>MROUND(H17-(H17*30/100),50)</f>
        <v>3150</v>
      </c>
      <c r="L17" s="38">
        <f>MROUND(D17-(D17*20/100),50)</f>
        <v>4000</v>
      </c>
      <c r="M17" s="38">
        <f>MROUND(L17-(L17*10/100),50)</f>
        <v>3600</v>
      </c>
      <c r="N17" s="38">
        <f>MROUND(L17-(L17*20/100),50)</f>
        <v>3200</v>
      </c>
      <c r="O17" s="38">
        <f>MROUND(L17-(L17*30/100),50)</f>
        <v>2800</v>
      </c>
      <c r="P17" s="85" t="s">
        <v>10</v>
      </c>
      <c r="Q17" s="85" t="s">
        <v>53</v>
      </c>
      <c r="R17" s="85" t="s">
        <v>491</v>
      </c>
    </row>
    <row r="18" spans="1:18" ht="21.75" x14ac:dyDescent="0.2">
      <c r="A18" s="91"/>
      <c r="B18" s="85"/>
      <c r="C18" s="38" t="s">
        <v>41</v>
      </c>
      <c r="D18" s="38">
        <f t="shared" ref="D18" si="5">D17*50/100</f>
        <v>2500</v>
      </c>
      <c r="E18" s="34">
        <f t="shared" ref="E18:O18" si="6">MROUND(E17*50/100,50)</f>
        <v>2250</v>
      </c>
      <c r="F18" s="34">
        <f t="shared" si="6"/>
        <v>2000</v>
      </c>
      <c r="G18" s="34">
        <f t="shared" si="6"/>
        <v>1750</v>
      </c>
      <c r="H18" s="34">
        <f t="shared" si="6"/>
        <v>2250</v>
      </c>
      <c r="I18" s="34">
        <f t="shared" si="6"/>
        <v>2050</v>
      </c>
      <c r="J18" s="34">
        <f t="shared" si="6"/>
        <v>1800</v>
      </c>
      <c r="K18" s="34">
        <f t="shared" si="6"/>
        <v>1600</v>
      </c>
      <c r="L18" s="34">
        <f t="shared" si="6"/>
        <v>2000</v>
      </c>
      <c r="M18" s="34">
        <f t="shared" si="6"/>
        <v>1800</v>
      </c>
      <c r="N18" s="34">
        <f t="shared" si="6"/>
        <v>1600</v>
      </c>
      <c r="O18" s="34">
        <f t="shared" si="6"/>
        <v>1400</v>
      </c>
      <c r="P18" s="85"/>
      <c r="Q18" s="85"/>
      <c r="R18" s="85"/>
    </row>
    <row r="19" spans="1:18" ht="43.5" x14ac:dyDescent="0.2">
      <c r="A19" s="35" t="s">
        <v>236</v>
      </c>
      <c r="B19" s="34" t="s">
        <v>13</v>
      </c>
      <c r="C19" s="20" t="s">
        <v>48</v>
      </c>
      <c r="D19" s="54">
        <v>10000</v>
      </c>
      <c r="E19" s="54"/>
      <c r="F19" s="54"/>
      <c r="G19" s="54"/>
      <c r="H19" s="54">
        <f>D19-(D19*20/100)</f>
        <v>8000</v>
      </c>
      <c r="I19" s="54"/>
      <c r="J19" s="54"/>
      <c r="K19" s="54"/>
      <c r="L19" s="54">
        <f>D19-(D19*40/100)</f>
        <v>6000</v>
      </c>
      <c r="M19" s="54"/>
      <c r="N19" s="54"/>
      <c r="O19" s="54"/>
      <c r="P19" s="38" t="s">
        <v>9</v>
      </c>
      <c r="Q19" s="38" t="s">
        <v>53</v>
      </c>
      <c r="R19" s="36" t="s">
        <v>491</v>
      </c>
    </row>
    <row r="20" spans="1:18" ht="21.75" x14ac:dyDescent="0.2">
      <c r="A20" s="91" t="s">
        <v>453</v>
      </c>
      <c r="B20" s="54" t="s">
        <v>83</v>
      </c>
      <c r="C20" s="38" t="s">
        <v>40</v>
      </c>
      <c r="D20" s="38">
        <v>5000</v>
      </c>
      <c r="E20" s="38">
        <f>MROUND(D20-(D20*10/100),50)</f>
        <v>4500</v>
      </c>
      <c r="F20" s="38">
        <f>MROUND(D20-(D20*20/100),50)</f>
        <v>4000</v>
      </c>
      <c r="G20" s="38">
        <f>MROUND(D20-(D20*30/100),50)</f>
        <v>3500</v>
      </c>
      <c r="H20" s="38">
        <f>MROUND(D20-(D20*10/100),50)</f>
        <v>4500</v>
      </c>
      <c r="I20" s="38">
        <f>MROUND(H20-(H20*10/100),50)</f>
        <v>4050</v>
      </c>
      <c r="J20" s="38">
        <f>MROUND(H20-(H20*20/100),50)</f>
        <v>3600</v>
      </c>
      <c r="K20" s="38">
        <f>MROUND(H20-(H20*30/100),50)</f>
        <v>3150</v>
      </c>
      <c r="L20" s="38">
        <f>MROUND(D20-(D20*20/100),50)</f>
        <v>4000</v>
      </c>
      <c r="M20" s="38">
        <f>MROUND(L20-(L20*10/100),50)</f>
        <v>3600</v>
      </c>
      <c r="N20" s="38">
        <f>MROUND(L20-(L20*20/100),50)</f>
        <v>3200</v>
      </c>
      <c r="O20" s="38">
        <f>MROUND(L20-(L20*30/100),50)</f>
        <v>2800</v>
      </c>
      <c r="P20" s="85" t="s">
        <v>10</v>
      </c>
      <c r="Q20" s="54" t="s">
        <v>53</v>
      </c>
      <c r="R20" s="54" t="s">
        <v>491</v>
      </c>
    </row>
    <row r="21" spans="1:18" ht="21.75" x14ac:dyDescent="0.2">
      <c r="A21" s="91"/>
      <c r="B21" s="54"/>
      <c r="C21" s="38" t="s">
        <v>41</v>
      </c>
      <c r="D21" s="38">
        <f t="shared" ref="D21" si="7">D20*50/100</f>
        <v>2500</v>
      </c>
      <c r="E21" s="34">
        <f t="shared" ref="E21:O21" si="8">MROUND(E20*50/100,50)</f>
        <v>2250</v>
      </c>
      <c r="F21" s="34">
        <f t="shared" si="8"/>
        <v>2000</v>
      </c>
      <c r="G21" s="34">
        <f t="shared" si="8"/>
        <v>1750</v>
      </c>
      <c r="H21" s="34">
        <f t="shared" si="8"/>
        <v>2250</v>
      </c>
      <c r="I21" s="34">
        <f t="shared" si="8"/>
        <v>2050</v>
      </c>
      <c r="J21" s="34">
        <f t="shared" si="8"/>
        <v>1800</v>
      </c>
      <c r="K21" s="34">
        <f t="shared" si="8"/>
        <v>1600</v>
      </c>
      <c r="L21" s="34">
        <f t="shared" si="8"/>
        <v>2000</v>
      </c>
      <c r="M21" s="34">
        <f t="shared" si="8"/>
        <v>1800</v>
      </c>
      <c r="N21" s="34">
        <f t="shared" si="8"/>
        <v>1600</v>
      </c>
      <c r="O21" s="34">
        <f t="shared" si="8"/>
        <v>1400</v>
      </c>
      <c r="P21" s="85"/>
      <c r="Q21" s="54"/>
      <c r="R21" s="54"/>
    </row>
    <row r="22" spans="1:18" ht="43.5" x14ac:dyDescent="0.2">
      <c r="A22" s="28" t="s">
        <v>454</v>
      </c>
      <c r="B22" s="20" t="s">
        <v>58</v>
      </c>
      <c r="C22" s="20" t="s">
        <v>48</v>
      </c>
      <c r="D22" s="54">
        <v>5000</v>
      </c>
      <c r="E22" s="54"/>
      <c r="F22" s="54"/>
      <c r="G22" s="54"/>
      <c r="H22" s="54">
        <f>D22-(D22*20/100)</f>
        <v>4000</v>
      </c>
      <c r="I22" s="54"/>
      <c r="J22" s="54"/>
      <c r="K22" s="54"/>
      <c r="L22" s="54">
        <f>D22-(D22*40/100)</f>
        <v>3000</v>
      </c>
      <c r="M22" s="54"/>
      <c r="N22" s="54"/>
      <c r="O22" s="54"/>
      <c r="P22" s="38" t="s">
        <v>9</v>
      </c>
      <c r="Q22" s="20" t="s">
        <v>253</v>
      </c>
      <c r="R22" s="36" t="s">
        <v>491</v>
      </c>
    </row>
    <row r="23" spans="1:18" ht="43.5" customHeight="1" x14ac:dyDescent="0.2">
      <c r="A23" s="91" t="s">
        <v>455</v>
      </c>
      <c r="B23" s="85" t="s">
        <v>14</v>
      </c>
      <c r="C23" s="38" t="s">
        <v>40</v>
      </c>
      <c r="D23" s="38">
        <v>5000</v>
      </c>
      <c r="E23" s="38">
        <f>MROUND(D23-(D23*10/100),50)</f>
        <v>4500</v>
      </c>
      <c r="F23" s="38">
        <f>MROUND(D23-(D23*20/100),50)</f>
        <v>4000</v>
      </c>
      <c r="G23" s="38">
        <f>MROUND(D23-(D23*30/100),50)</f>
        <v>3500</v>
      </c>
      <c r="H23" s="38">
        <f>MROUND(D23-(D23*10/100),50)</f>
        <v>4500</v>
      </c>
      <c r="I23" s="38">
        <f>MROUND(H23-(H23*10/100),50)</f>
        <v>4050</v>
      </c>
      <c r="J23" s="38">
        <f>MROUND(H23-(H23*20/100),50)</f>
        <v>3600</v>
      </c>
      <c r="K23" s="38">
        <f>MROUND(H23-(H23*30/100),50)</f>
        <v>3150</v>
      </c>
      <c r="L23" s="38">
        <f>MROUND(D23-(D23*20/100),50)</f>
        <v>4000</v>
      </c>
      <c r="M23" s="38">
        <f>MROUND(L23-(L23*10/100),50)</f>
        <v>3600</v>
      </c>
      <c r="N23" s="38">
        <f>MROUND(L23-(L23*20/100),50)</f>
        <v>3200</v>
      </c>
      <c r="O23" s="38">
        <f>MROUND(L23-(L23*30/100),50)</f>
        <v>2800</v>
      </c>
      <c r="P23" s="85" t="s">
        <v>10</v>
      </c>
      <c r="Q23" s="85" t="s">
        <v>53</v>
      </c>
      <c r="R23" s="85" t="s">
        <v>491</v>
      </c>
    </row>
    <row r="24" spans="1:18" ht="21.75" x14ac:dyDescent="0.2">
      <c r="A24" s="91"/>
      <c r="B24" s="85"/>
      <c r="C24" s="38" t="s">
        <v>41</v>
      </c>
      <c r="D24" s="38">
        <f t="shared" ref="D24" si="9">D23*50/100</f>
        <v>2500</v>
      </c>
      <c r="E24" s="34">
        <f t="shared" ref="E24:O24" si="10">MROUND(E23*50/100,50)</f>
        <v>2250</v>
      </c>
      <c r="F24" s="34">
        <f t="shared" si="10"/>
        <v>2000</v>
      </c>
      <c r="G24" s="34">
        <f t="shared" si="10"/>
        <v>1750</v>
      </c>
      <c r="H24" s="34">
        <f t="shared" si="10"/>
        <v>2250</v>
      </c>
      <c r="I24" s="34">
        <f t="shared" si="10"/>
        <v>2050</v>
      </c>
      <c r="J24" s="34">
        <f t="shared" si="10"/>
        <v>1800</v>
      </c>
      <c r="K24" s="34">
        <f t="shared" si="10"/>
        <v>1600</v>
      </c>
      <c r="L24" s="34">
        <f t="shared" si="10"/>
        <v>2000</v>
      </c>
      <c r="M24" s="34">
        <f t="shared" si="10"/>
        <v>1800</v>
      </c>
      <c r="N24" s="34">
        <f t="shared" si="10"/>
        <v>1600</v>
      </c>
      <c r="O24" s="34">
        <f t="shared" si="10"/>
        <v>1400</v>
      </c>
      <c r="P24" s="85"/>
      <c r="Q24" s="85"/>
      <c r="R24" s="85"/>
    </row>
    <row r="25" spans="1:18" ht="43.5" x14ac:dyDescent="0.2">
      <c r="A25" s="35" t="s">
        <v>456</v>
      </c>
      <c r="B25" s="34" t="s">
        <v>79</v>
      </c>
      <c r="C25" s="20" t="s">
        <v>48</v>
      </c>
      <c r="D25" s="54">
        <v>5000</v>
      </c>
      <c r="E25" s="54"/>
      <c r="F25" s="54"/>
      <c r="G25" s="54"/>
      <c r="H25" s="54">
        <f>D25-(D25*20/100)</f>
        <v>4000</v>
      </c>
      <c r="I25" s="54"/>
      <c r="J25" s="54"/>
      <c r="K25" s="54"/>
      <c r="L25" s="54">
        <f>D25-(D25*40/100)</f>
        <v>3000</v>
      </c>
      <c r="M25" s="54"/>
      <c r="N25" s="54"/>
      <c r="O25" s="54"/>
      <c r="P25" s="38" t="s">
        <v>9</v>
      </c>
      <c r="Q25" s="34" t="s">
        <v>254</v>
      </c>
      <c r="R25" s="36" t="s">
        <v>491</v>
      </c>
    </row>
    <row r="26" spans="1:18" ht="43.5" x14ac:dyDescent="0.2">
      <c r="A26" s="35" t="s">
        <v>457</v>
      </c>
      <c r="B26" s="34" t="s">
        <v>15</v>
      </c>
      <c r="C26" s="20" t="s">
        <v>48</v>
      </c>
      <c r="D26" s="54">
        <v>10000</v>
      </c>
      <c r="E26" s="54"/>
      <c r="F26" s="54"/>
      <c r="G26" s="54"/>
      <c r="H26" s="54">
        <f>D26-(D26*20/100)</f>
        <v>8000</v>
      </c>
      <c r="I26" s="54"/>
      <c r="J26" s="54"/>
      <c r="K26" s="54"/>
      <c r="L26" s="54">
        <f>D26-(D26*40/100)</f>
        <v>6000</v>
      </c>
      <c r="M26" s="54"/>
      <c r="N26" s="54"/>
      <c r="O26" s="54"/>
      <c r="P26" s="38" t="s">
        <v>9</v>
      </c>
      <c r="Q26" s="20" t="s">
        <v>53</v>
      </c>
      <c r="R26" s="36" t="s">
        <v>491</v>
      </c>
    </row>
    <row r="27" spans="1:18" ht="43.5" x14ac:dyDescent="0.2">
      <c r="A27" s="35" t="s">
        <v>458</v>
      </c>
      <c r="B27" s="34" t="s">
        <v>16</v>
      </c>
      <c r="C27" s="20" t="s">
        <v>48</v>
      </c>
      <c r="D27" s="54">
        <v>2000</v>
      </c>
      <c r="E27" s="54"/>
      <c r="F27" s="54"/>
      <c r="G27" s="54"/>
      <c r="H27" s="54">
        <f>D27-(D27*20/100)</f>
        <v>1600</v>
      </c>
      <c r="I27" s="54"/>
      <c r="J27" s="54"/>
      <c r="K27" s="54"/>
      <c r="L27" s="54">
        <f>D27-(D27*40/100)</f>
        <v>1200</v>
      </c>
      <c r="M27" s="54"/>
      <c r="N27" s="54"/>
      <c r="O27" s="54"/>
      <c r="P27" s="38" t="s">
        <v>9</v>
      </c>
      <c r="Q27" s="20" t="s">
        <v>53</v>
      </c>
      <c r="R27" s="36" t="s">
        <v>491</v>
      </c>
    </row>
    <row r="28" spans="1:18" ht="43.5" customHeight="1" x14ac:dyDescent="0.2">
      <c r="A28" s="91" t="s">
        <v>465</v>
      </c>
      <c r="B28" s="85" t="s">
        <v>17</v>
      </c>
      <c r="C28" s="38" t="s">
        <v>40</v>
      </c>
      <c r="D28" s="38">
        <v>5000</v>
      </c>
      <c r="E28" s="38">
        <f>MROUND(D28-(D28*10/100),50)</f>
        <v>4500</v>
      </c>
      <c r="F28" s="38">
        <f>MROUND(D28-(D28*20/100),50)</f>
        <v>4000</v>
      </c>
      <c r="G28" s="38">
        <f>MROUND(D28-(D28*30/100),50)</f>
        <v>3500</v>
      </c>
      <c r="H28" s="38">
        <f>MROUND(D28-(D28*10/100),50)</f>
        <v>4500</v>
      </c>
      <c r="I28" s="38">
        <f>MROUND(H28-(H28*10/100),50)</f>
        <v>4050</v>
      </c>
      <c r="J28" s="38">
        <f>MROUND(H28-(H28*20/100),50)</f>
        <v>3600</v>
      </c>
      <c r="K28" s="38">
        <f>MROUND(H28-(H28*30/100),50)</f>
        <v>3150</v>
      </c>
      <c r="L28" s="38">
        <f>MROUND(D28-(D28*20/100),50)</f>
        <v>4000</v>
      </c>
      <c r="M28" s="38">
        <f>MROUND(L28-(L28*10/100),50)</f>
        <v>3600</v>
      </c>
      <c r="N28" s="38">
        <f>MROUND(L28-(L28*20/100),50)</f>
        <v>3200</v>
      </c>
      <c r="O28" s="38">
        <f>MROUND(L28-(L28*30/100),50)</f>
        <v>2800</v>
      </c>
      <c r="P28" s="85" t="s">
        <v>10</v>
      </c>
      <c r="Q28" s="85" t="s">
        <v>53</v>
      </c>
      <c r="R28" s="85" t="s">
        <v>491</v>
      </c>
    </row>
    <row r="29" spans="1:18" ht="21.75" x14ac:dyDescent="0.2">
      <c r="A29" s="91"/>
      <c r="B29" s="85"/>
      <c r="C29" s="38" t="s">
        <v>41</v>
      </c>
      <c r="D29" s="38">
        <f t="shared" ref="D29" si="11">D28*50/100</f>
        <v>2500</v>
      </c>
      <c r="E29" s="34">
        <f t="shared" ref="E29:O29" si="12">MROUND(E28*50/100,50)</f>
        <v>2250</v>
      </c>
      <c r="F29" s="34">
        <f t="shared" si="12"/>
        <v>2000</v>
      </c>
      <c r="G29" s="34">
        <f t="shared" si="12"/>
        <v>1750</v>
      </c>
      <c r="H29" s="34">
        <f t="shared" si="12"/>
        <v>2250</v>
      </c>
      <c r="I29" s="34">
        <f t="shared" si="12"/>
        <v>2050</v>
      </c>
      <c r="J29" s="34">
        <f t="shared" si="12"/>
        <v>1800</v>
      </c>
      <c r="K29" s="34">
        <f t="shared" si="12"/>
        <v>1600</v>
      </c>
      <c r="L29" s="34">
        <f t="shared" si="12"/>
        <v>2000</v>
      </c>
      <c r="M29" s="34">
        <f t="shared" si="12"/>
        <v>1800</v>
      </c>
      <c r="N29" s="34">
        <f t="shared" si="12"/>
        <v>1600</v>
      </c>
      <c r="O29" s="34">
        <f t="shared" si="12"/>
        <v>1400</v>
      </c>
      <c r="P29" s="85"/>
      <c r="Q29" s="85"/>
      <c r="R29" s="85"/>
    </row>
    <row r="30" spans="1:18" ht="43.5" x14ac:dyDescent="0.2">
      <c r="A30" s="28" t="s">
        <v>459</v>
      </c>
      <c r="B30" s="20" t="s">
        <v>18</v>
      </c>
      <c r="C30" s="20" t="s">
        <v>48</v>
      </c>
      <c r="D30" s="54">
        <v>15000</v>
      </c>
      <c r="E30" s="54"/>
      <c r="F30" s="54"/>
      <c r="G30" s="54"/>
      <c r="H30" s="54">
        <f>D30-(D30*20/100)</f>
        <v>12000</v>
      </c>
      <c r="I30" s="54"/>
      <c r="J30" s="54"/>
      <c r="K30" s="54"/>
      <c r="L30" s="54">
        <f>D30-(D30*40/100)</f>
        <v>9000</v>
      </c>
      <c r="M30" s="54"/>
      <c r="N30" s="54"/>
      <c r="O30" s="54"/>
      <c r="P30" s="38" t="s">
        <v>9</v>
      </c>
      <c r="Q30" s="20" t="s">
        <v>53</v>
      </c>
      <c r="R30" s="36" t="s">
        <v>492</v>
      </c>
    </row>
    <row r="31" spans="1:18" ht="43.5" x14ac:dyDescent="0.2">
      <c r="A31" s="28" t="s">
        <v>460</v>
      </c>
      <c r="B31" s="20" t="s">
        <v>19</v>
      </c>
      <c r="C31" s="20" t="s">
        <v>48</v>
      </c>
      <c r="D31" s="54">
        <v>100000</v>
      </c>
      <c r="E31" s="54">
        <f t="shared" ref="E31:E33" si="13">D31-(D31*10/100)</f>
        <v>90000</v>
      </c>
      <c r="F31" s="54">
        <f t="shared" ref="F31:F33" si="14">D31-(D31*20/100)</f>
        <v>80000</v>
      </c>
      <c r="G31" s="54">
        <f t="shared" ref="G31:G33" si="15">D31-(D31*30/100)</f>
        <v>70000</v>
      </c>
      <c r="H31" s="54">
        <f>D31-(D31*20/100)</f>
        <v>80000</v>
      </c>
      <c r="I31" s="54"/>
      <c r="J31" s="54"/>
      <c r="K31" s="54"/>
      <c r="L31" s="54">
        <f>D31-(D31*40/100)</f>
        <v>60000</v>
      </c>
      <c r="M31" s="54"/>
      <c r="N31" s="54"/>
      <c r="O31" s="54"/>
      <c r="P31" s="38" t="s">
        <v>9</v>
      </c>
      <c r="Q31" s="39" t="s">
        <v>255</v>
      </c>
      <c r="R31" s="36" t="s">
        <v>491</v>
      </c>
    </row>
    <row r="32" spans="1:18" ht="43.5" x14ac:dyDescent="0.2">
      <c r="A32" s="28" t="s">
        <v>461</v>
      </c>
      <c r="B32" s="20" t="s">
        <v>20</v>
      </c>
      <c r="C32" s="20" t="s">
        <v>48</v>
      </c>
      <c r="D32" s="54">
        <v>50000</v>
      </c>
      <c r="E32" s="54">
        <f t="shared" si="13"/>
        <v>45000</v>
      </c>
      <c r="F32" s="54">
        <f t="shared" si="14"/>
        <v>40000</v>
      </c>
      <c r="G32" s="54">
        <f t="shared" si="15"/>
        <v>35000</v>
      </c>
      <c r="H32" s="54">
        <f>D32-(D32*20/100)</f>
        <v>40000</v>
      </c>
      <c r="I32" s="54"/>
      <c r="J32" s="54"/>
      <c r="K32" s="54"/>
      <c r="L32" s="54">
        <f>D32-(D32*40/100)</f>
        <v>30000</v>
      </c>
      <c r="M32" s="54"/>
      <c r="N32" s="54"/>
      <c r="O32" s="54"/>
      <c r="P32" s="38" t="s">
        <v>9</v>
      </c>
      <c r="Q32" s="39" t="s">
        <v>256</v>
      </c>
      <c r="R32" s="36" t="s">
        <v>492</v>
      </c>
    </row>
    <row r="33" spans="1:19" ht="43.5" x14ac:dyDescent="0.2">
      <c r="A33" s="35" t="s">
        <v>462</v>
      </c>
      <c r="B33" s="34" t="s">
        <v>36</v>
      </c>
      <c r="C33" s="20" t="s">
        <v>48</v>
      </c>
      <c r="D33" s="54">
        <v>10000</v>
      </c>
      <c r="E33" s="54">
        <f t="shared" si="13"/>
        <v>9000</v>
      </c>
      <c r="F33" s="54">
        <f t="shared" si="14"/>
        <v>8000</v>
      </c>
      <c r="G33" s="54">
        <f t="shared" si="15"/>
        <v>7000</v>
      </c>
      <c r="H33" s="54">
        <f>D33-(D33*20/100)</f>
        <v>8000</v>
      </c>
      <c r="I33" s="54"/>
      <c r="J33" s="54"/>
      <c r="K33" s="54"/>
      <c r="L33" s="54">
        <f>D33-(D33*40/100)</f>
        <v>6000</v>
      </c>
      <c r="M33" s="54"/>
      <c r="N33" s="54"/>
      <c r="O33" s="54"/>
      <c r="P33" s="38" t="s">
        <v>9</v>
      </c>
      <c r="Q33" s="39" t="s">
        <v>257</v>
      </c>
      <c r="R33" s="36" t="s">
        <v>491</v>
      </c>
    </row>
    <row r="34" spans="1:19" ht="43.5" x14ac:dyDescent="0.2">
      <c r="A34" s="35" t="s">
        <v>463</v>
      </c>
      <c r="B34" s="34" t="s">
        <v>21</v>
      </c>
      <c r="C34" s="20" t="s">
        <v>48</v>
      </c>
      <c r="D34" s="54">
        <v>5000</v>
      </c>
      <c r="E34" s="54"/>
      <c r="F34" s="54"/>
      <c r="G34" s="54"/>
      <c r="H34" s="54">
        <f>D34-(D34*20/100)</f>
        <v>4000</v>
      </c>
      <c r="I34" s="54"/>
      <c r="J34" s="54"/>
      <c r="K34" s="54"/>
      <c r="L34" s="54">
        <f>D34-(D34*40/100)</f>
        <v>3000</v>
      </c>
      <c r="M34" s="54"/>
      <c r="N34" s="54"/>
      <c r="O34" s="54"/>
      <c r="P34" s="38" t="s">
        <v>9</v>
      </c>
      <c r="Q34" s="34" t="s">
        <v>53</v>
      </c>
      <c r="R34" s="36" t="s">
        <v>492</v>
      </c>
    </row>
    <row r="35" spans="1:19" ht="43.5" customHeight="1" x14ac:dyDescent="0.2">
      <c r="A35" s="91" t="s">
        <v>464</v>
      </c>
      <c r="B35" s="54" t="s">
        <v>22</v>
      </c>
      <c r="C35" s="38" t="s">
        <v>40</v>
      </c>
      <c r="D35" s="38">
        <v>5000</v>
      </c>
      <c r="E35" s="38">
        <f>MROUND(D35-(D35*10/100),50)</f>
        <v>4500</v>
      </c>
      <c r="F35" s="38">
        <f>MROUND(D35-(D35*20/100),50)</f>
        <v>4000</v>
      </c>
      <c r="G35" s="38">
        <f>MROUND(D35-(D35*30/100),50)</f>
        <v>3500</v>
      </c>
      <c r="H35" s="38">
        <f>MROUND(D35-(D35*10/100),50)</f>
        <v>4500</v>
      </c>
      <c r="I35" s="38">
        <f>MROUND(H35-(H35*10/100),50)</f>
        <v>4050</v>
      </c>
      <c r="J35" s="38">
        <f>MROUND(H35-(H35*20/100),50)</f>
        <v>3600</v>
      </c>
      <c r="K35" s="38">
        <f>MROUND(H35-(H35*30/100),50)</f>
        <v>3150</v>
      </c>
      <c r="L35" s="38">
        <f>MROUND(D35-(D35*20/100),50)</f>
        <v>4000</v>
      </c>
      <c r="M35" s="38">
        <f>MROUND(L35-(L35*10/100),50)</f>
        <v>3600</v>
      </c>
      <c r="N35" s="38">
        <f>MROUND(L35-(L35*20/100),50)</f>
        <v>3200</v>
      </c>
      <c r="O35" s="38">
        <f>MROUND(L35-(L35*30/100),50)</f>
        <v>2800</v>
      </c>
      <c r="P35" s="85" t="s">
        <v>10</v>
      </c>
      <c r="Q35" s="54" t="s">
        <v>53</v>
      </c>
      <c r="R35" s="54" t="s">
        <v>491</v>
      </c>
    </row>
    <row r="36" spans="1:19" ht="21.75" x14ac:dyDescent="0.2">
      <c r="A36" s="91"/>
      <c r="B36" s="54"/>
      <c r="C36" s="38" t="s">
        <v>41</v>
      </c>
      <c r="D36" s="38">
        <f t="shared" ref="D36" si="16">D35*50/100</f>
        <v>2500</v>
      </c>
      <c r="E36" s="34">
        <f t="shared" ref="E36:O36" si="17">MROUND(E35*50/100,50)</f>
        <v>2250</v>
      </c>
      <c r="F36" s="34">
        <f t="shared" si="17"/>
        <v>2000</v>
      </c>
      <c r="G36" s="34">
        <f t="shared" si="17"/>
        <v>1750</v>
      </c>
      <c r="H36" s="34">
        <f t="shared" si="17"/>
        <v>2250</v>
      </c>
      <c r="I36" s="34">
        <f t="shared" si="17"/>
        <v>2050</v>
      </c>
      <c r="J36" s="34">
        <f t="shared" si="17"/>
        <v>1800</v>
      </c>
      <c r="K36" s="34">
        <f t="shared" si="17"/>
        <v>1600</v>
      </c>
      <c r="L36" s="34">
        <f t="shared" si="17"/>
        <v>2000</v>
      </c>
      <c r="M36" s="34">
        <f t="shared" si="17"/>
        <v>1800</v>
      </c>
      <c r="N36" s="34">
        <f t="shared" si="17"/>
        <v>1600</v>
      </c>
      <c r="O36" s="34">
        <f t="shared" si="17"/>
        <v>1400</v>
      </c>
      <c r="P36" s="85"/>
      <c r="Q36" s="54"/>
      <c r="R36" s="54"/>
    </row>
    <row r="37" spans="1:19" ht="24" customHeight="1" x14ac:dyDescent="0.2">
      <c r="A37" s="91" t="s">
        <v>466</v>
      </c>
      <c r="B37" s="54" t="s">
        <v>23</v>
      </c>
      <c r="C37" s="38" t="s">
        <v>40</v>
      </c>
      <c r="D37" s="38">
        <v>5000</v>
      </c>
      <c r="E37" s="38">
        <f>MROUND(D37-(D37*10/100),50)</f>
        <v>4500</v>
      </c>
      <c r="F37" s="38">
        <f>MROUND(D37-(D37*20/100),50)</f>
        <v>4000</v>
      </c>
      <c r="G37" s="38">
        <f>MROUND(D37-(D37*30/100),50)</f>
        <v>3500</v>
      </c>
      <c r="H37" s="38">
        <f>MROUND(D37-(D37*10/100),50)</f>
        <v>4500</v>
      </c>
      <c r="I37" s="38">
        <f>MROUND(H37-(H37*10/100),50)</f>
        <v>4050</v>
      </c>
      <c r="J37" s="38">
        <f>MROUND(H37-(H37*20/100),50)</f>
        <v>3600</v>
      </c>
      <c r="K37" s="38">
        <f>MROUND(H37-(H37*30/100),50)</f>
        <v>3150</v>
      </c>
      <c r="L37" s="38">
        <f>MROUND(D37-(D37*20/100),50)</f>
        <v>4000</v>
      </c>
      <c r="M37" s="38">
        <f>MROUND(L37-(L37*10/100),50)</f>
        <v>3600</v>
      </c>
      <c r="N37" s="38">
        <f>MROUND(L37-(L37*20/100),50)</f>
        <v>3200</v>
      </c>
      <c r="O37" s="38">
        <f>MROUND(L37-(L37*30/100),50)</f>
        <v>2800</v>
      </c>
      <c r="P37" s="85" t="s">
        <v>10</v>
      </c>
      <c r="Q37" s="54" t="s">
        <v>53</v>
      </c>
      <c r="R37" s="54" t="s">
        <v>491</v>
      </c>
    </row>
    <row r="38" spans="1:19" ht="21.75" x14ac:dyDescent="0.2">
      <c r="A38" s="91"/>
      <c r="B38" s="54"/>
      <c r="C38" s="38" t="s">
        <v>41</v>
      </c>
      <c r="D38" s="38">
        <f t="shared" ref="D38" si="18">D37*50/100</f>
        <v>2500</v>
      </c>
      <c r="E38" s="34">
        <f t="shared" ref="E38:O38" si="19">MROUND(E37*50/100,50)</f>
        <v>2250</v>
      </c>
      <c r="F38" s="34">
        <f t="shared" si="19"/>
        <v>2000</v>
      </c>
      <c r="G38" s="34">
        <f t="shared" si="19"/>
        <v>1750</v>
      </c>
      <c r="H38" s="34">
        <f t="shared" si="19"/>
        <v>2250</v>
      </c>
      <c r="I38" s="34">
        <f t="shared" si="19"/>
        <v>2050</v>
      </c>
      <c r="J38" s="34">
        <f t="shared" si="19"/>
        <v>1800</v>
      </c>
      <c r="K38" s="34">
        <f t="shared" si="19"/>
        <v>1600</v>
      </c>
      <c r="L38" s="34">
        <f t="shared" si="19"/>
        <v>2000</v>
      </c>
      <c r="M38" s="34">
        <f t="shared" si="19"/>
        <v>1800</v>
      </c>
      <c r="N38" s="34">
        <f t="shared" si="19"/>
        <v>1600</v>
      </c>
      <c r="O38" s="34">
        <f t="shared" si="19"/>
        <v>1400</v>
      </c>
      <c r="P38" s="85"/>
      <c r="Q38" s="54"/>
      <c r="R38" s="54"/>
      <c r="S38" s="5"/>
    </row>
    <row r="39" spans="1:19" ht="34.5" customHeight="1" x14ac:dyDescent="0.2">
      <c r="A39" s="91" t="s">
        <v>467</v>
      </c>
      <c r="B39" s="54" t="s">
        <v>107</v>
      </c>
      <c r="C39" s="38" t="s">
        <v>40</v>
      </c>
      <c r="D39" s="38">
        <v>5000</v>
      </c>
      <c r="E39" s="38">
        <f>MROUND(D39-(D39*10/100),50)</f>
        <v>4500</v>
      </c>
      <c r="F39" s="38">
        <f>MROUND(D39-(D39*20/100),50)</f>
        <v>4000</v>
      </c>
      <c r="G39" s="38">
        <f>MROUND(D39-(D39*30/100),50)</f>
        <v>3500</v>
      </c>
      <c r="H39" s="38">
        <f>MROUND(D39-(D39*10/100),50)</f>
        <v>4500</v>
      </c>
      <c r="I39" s="38">
        <f>MROUND(H39-(H39*10/100),50)</f>
        <v>4050</v>
      </c>
      <c r="J39" s="38">
        <f>MROUND(H39-(H39*20/100),50)</f>
        <v>3600</v>
      </c>
      <c r="K39" s="38">
        <f>MROUND(H39-(H39*30/100),50)</f>
        <v>3150</v>
      </c>
      <c r="L39" s="38">
        <f>MROUND(D39-(D39*20/100),50)</f>
        <v>4000</v>
      </c>
      <c r="M39" s="38">
        <f>MROUND(L39-(L39*10/100),50)</f>
        <v>3600</v>
      </c>
      <c r="N39" s="38">
        <f>MROUND(L39-(L39*20/100),50)</f>
        <v>3200</v>
      </c>
      <c r="O39" s="38">
        <f>MROUND(L39-(L39*30/100),50)</f>
        <v>2800</v>
      </c>
      <c r="P39" s="85" t="s">
        <v>10</v>
      </c>
      <c r="Q39" s="85" t="s">
        <v>241</v>
      </c>
      <c r="R39" s="96" t="s">
        <v>492</v>
      </c>
      <c r="S39" s="5"/>
    </row>
    <row r="40" spans="1:19" ht="21.75" x14ac:dyDescent="0.2">
      <c r="A40" s="91"/>
      <c r="B40" s="54"/>
      <c r="C40" s="38" t="s">
        <v>41</v>
      </c>
      <c r="D40" s="38">
        <f>D39*50/100</f>
        <v>2500</v>
      </c>
      <c r="E40" s="34">
        <f t="shared" ref="E40:O40" si="20">MROUND(E39*50/100,50)</f>
        <v>2250</v>
      </c>
      <c r="F40" s="34">
        <f t="shared" si="20"/>
        <v>2000</v>
      </c>
      <c r="G40" s="34">
        <f t="shared" si="20"/>
        <v>1750</v>
      </c>
      <c r="H40" s="34">
        <f t="shared" si="20"/>
        <v>2250</v>
      </c>
      <c r="I40" s="34">
        <f t="shared" si="20"/>
        <v>2050</v>
      </c>
      <c r="J40" s="34">
        <f t="shared" si="20"/>
        <v>1800</v>
      </c>
      <c r="K40" s="34">
        <f t="shared" si="20"/>
        <v>1600</v>
      </c>
      <c r="L40" s="34">
        <f t="shared" si="20"/>
        <v>2000</v>
      </c>
      <c r="M40" s="34">
        <f t="shared" si="20"/>
        <v>1800</v>
      </c>
      <c r="N40" s="34">
        <f t="shared" si="20"/>
        <v>1600</v>
      </c>
      <c r="O40" s="34">
        <f t="shared" si="20"/>
        <v>1400</v>
      </c>
      <c r="P40" s="85"/>
      <c r="Q40" s="85"/>
      <c r="R40" s="97"/>
      <c r="S40" s="5"/>
    </row>
    <row r="41" spans="1:19" ht="43.5" customHeight="1" x14ac:dyDescent="0.2">
      <c r="A41" s="91" t="s">
        <v>468</v>
      </c>
      <c r="B41" s="85" t="s">
        <v>108</v>
      </c>
      <c r="C41" s="38" t="s">
        <v>40</v>
      </c>
      <c r="D41" s="38">
        <v>5000</v>
      </c>
      <c r="E41" s="38">
        <f>MROUND(D41-(D41*10/100),50)</f>
        <v>4500</v>
      </c>
      <c r="F41" s="38">
        <f>MROUND(D41-(D41*20/100),50)</f>
        <v>4000</v>
      </c>
      <c r="G41" s="38">
        <f>MROUND(D41-(D41*30/100),50)</f>
        <v>3500</v>
      </c>
      <c r="H41" s="38">
        <f>MROUND(D41-(D41*10/100),50)</f>
        <v>4500</v>
      </c>
      <c r="I41" s="38">
        <f>MROUND(H41-(H41*10/100),50)</f>
        <v>4050</v>
      </c>
      <c r="J41" s="38">
        <f>MROUND(H41-(H41*20/100),50)</f>
        <v>3600</v>
      </c>
      <c r="K41" s="38">
        <f>MROUND(H41-(H41*30/100),50)</f>
        <v>3150</v>
      </c>
      <c r="L41" s="38">
        <f>MROUND(D41-(D41*20/100),50)</f>
        <v>4000</v>
      </c>
      <c r="M41" s="38">
        <f>MROUND(L41-(L41*10/100),50)</f>
        <v>3600</v>
      </c>
      <c r="N41" s="38">
        <f>MROUND(L41-(L41*20/100),50)</f>
        <v>3200</v>
      </c>
      <c r="O41" s="38">
        <f>MROUND(L41-(L41*30/100),50)</f>
        <v>2800</v>
      </c>
      <c r="P41" s="85" t="s">
        <v>10</v>
      </c>
      <c r="Q41" s="85" t="s">
        <v>241</v>
      </c>
      <c r="R41" s="85" t="s">
        <v>491</v>
      </c>
      <c r="S41" s="5"/>
    </row>
    <row r="42" spans="1:19" ht="21.75" x14ac:dyDescent="0.2">
      <c r="A42" s="91"/>
      <c r="B42" s="85"/>
      <c r="C42" s="38" t="s">
        <v>41</v>
      </c>
      <c r="D42" s="38">
        <f>D41*50/100</f>
        <v>2500</v>
      </c>
      <c r="E42" s="34">
        <f t="shared" ref="E42:O42" si="21">MROUND(E41*50/100,50)</f>
        <v>2250</v>
      </c>
      <c r="F42" s="34">
        <f t="shared" si="21"/>
        <v>2000</v>
      </c>
      <c r="G42" s="34">
        <f t="shared" si="21"/>
        <v>1750</v>
      </c>
      <c r="H42" s="34">
        <f t="shared" si="21"/>
        <v>2250</v>
      </c>
      <c r="I42" s="34">
        <f t="shared" si="21"/>
        <v>2050</v>
      </c>
      <c r="J42" s="34">
        <f t="shared" si="21"/>
        <v>1800</v>
      </c>
      <c r="K42" s="34">
        <f t="shared" si="21"/>
        <v>1600</v>
      </c>
      <c r="L42" s="34">
        <f t="shared" si="21"/>
        <v>2000</v>
      </c>
      <c r="M42" s="34">
        <f t="shared" si="21"/>
        <v>1800</v>
      </c>
      <c r="N42" s="34">
        <f t="shared" si="21"/>
        <v>1600</v>
      </c>
      <c r="O42" s="34">
        <f t="shared" si="21"/>
        <v>1400</v>
      </c>
      <c r="P42" s="85"/>
      <c r="Q42" s="85"/>
      <c r="R42" s="85"/>
      <c r="S42" s="5"/>
    </row>
    <row r="43" spans="1:19" ht="23.25" customHeight="1" x14ac:dyDescent="0.2">
      <c r="A43" s="99" t="s">
        <v>94</v>
      </c>
      <c r="B43" s="99"/>
      <c r="C43" s="99"/>
      <c r="D43" s="99"/>
      <c r="E43" s="99"/>
      <c r="F43" s="99"/>
      <c r="G43" s="99"/>
      <c r="H43" s="99"/>
      <c r="I43" s="99"/>
      <c r="J43" s="99"/>
      <c r="K43" s="99"/>
      <c r="L43" s="99"/>
      <c r="M43" s="99"/>
      <c r="N43" s="99"/>
      <c r="O43" s="99"/>
      <c r="P43" s="99"/>
      <c r="Q43" s="99"/>
      <c r="R43" s="99"/>
      <c r="S43" s="5"/>
    </row>
    <row r="44" spans="1:19" ht="65.25" x14ac:dyDescent="0.2">
      <c r="A44" s="35" t="s">
        <v>186</v>
      </c>
      <c r="B44" s="53" t="s">
        <v>138</v>
      </c>
      <c r="C44" s="20" t="s">
        <v>48</v>
      </c>
      <c r="D44" s="54">
        <v>100000</v>
      </c>
      <c r="E44" s="54"/>
      <c r="F44" s="54"/>
      <c r="G44" s="54"/>
      <c r="H44" s="54">
        <f>D44-(D44*20/100)</f>
        <v>80000</v>
      </c>
      <c r="I44" s="54"/>
      <c r="J44" s="54"/>
      <c r="K44" s="54"/>
      <c r="L44" s="54">
        <f>D44-(D44*40/100)</f>
        <v>60000</v>
      </c>
      <c r="M44" s="54"/>
      <c r="N44" s="54"/>
      <c r="O44" s="54"/>
      <c r="P44" s="38" t="s">
        <v>9</v>
      </c>
      <c r="Q44" s="34" t="s">
        <v>53</v>
      </c>
      <c r="R44" s="53" t="s">
        <v>526</v>
      </c>
      <c r="S44" s="5"/>
    </row>
    <row r="45" spans="1:19" s="12" customFormat="1" ht="43.5" x14ac:dyDescent="0.2">
      <c r="A45" s="35" t="s">
        <v>203</v>
      </c>
      <c r="B45" s="53" t="s">
        <v>128</v>
      </c>
      <c r="C45" s="20" t="s">
        <v>57</v>
      </c>
      <c r="D45" s="54">
        <v>100000</v>
      </c>
      <c r="E45" s="54"/>
      <c r="F45" s="54"/>
      <c r="G45" s="54"/>
      <c r="H45" s="54">
        <f t="shared" ref="H45" si="22">D45-(D45*20/100)</f>
        <v>80000</v>
      </c>
      <c r="I45" s="54"/>
      <c r="J45" s="54"/>
      <c r="K45" s="54"/>
      <c r="L45" s="54">
        <f t="shared" ref="L45" si="23">D45-(D45*40/100)</f>
        <v>60000</v>
      </c>
      <c r="M45" s="54"/>
      <c r="N45" s="54"/>
      <c r="O45" s="54"/>
      <c r="P45" s="38" t="s">
        <v>9</v>
      </c>
      <c r="Q45" s="20" t="s">
        <v>53</v>
      </c>
      <c r="R45" s="34" t="s">
        <v>521</v>
      </c>
    </row>
    <row r="46" spans="1:19" s="4" customFormat="1" ht="43.5" x14ac:dyDescent="0.2">
      <c r="A46" s="35" t="s">
        <v>219</v>
      </c>
      <c r="B46" s="53" t="s">
        <v>29</v>
      </c>
      <c r="C46" s="34" t="s">
        <v>48</v>
      </c>
      <c r="D46" s="54">
        <v>10000</v>
      </c>
      <c r="E46" s="54">
        <f t="shared" ref="E46" si="24">D46-(D46*10/100)</f>
        <v>9000</v>
      </c>
      <c r="F46" s="54">
        <f t="shared" ref="F46" si="25">D46-(D46*20/100)</f>
        <v>8000</v>
      </c>
      <c r="G46" s="54">
        <f t="shared" ref="G46" si="26">D46-(D46*30/100)</f>
        <v>7000</v>
      </c>
      <c r="H46" s="54">
        <f>D46-(D46*20/100)</f>
        <v>8000</v>
      </c>
      <c r="I46" s="54"/>
      <c r="J46" s="54"/>
      <c r="K46" s="54"/>
      <c r="L46" s="54">
        <f>D46-(D46*40/100)</f>
        <v>6000</v>
      </c>
      <c r="M46" s="54"/>
      <c r="N46" s="54"/>
      <c r="O46" s="54"/>
      <c r="P46" s="34" t="s">
        <v>9</v>
      </c>
      <c r="Q46" s="34" t="s">
        <v>53</v>
      </c>
      <c r="R46" s="34" t="s">
        <v>531</v>
      </c>
    </row>
    <row r="47" spans="1:19" ht="21.75" x14ac:dyDescent="0.2">
      <c r="A47" s="35" t="s">
        <v>232</v>
      </c>
      <c r="B47" s="53" t="s">
        <v>63</v>
      </c>
      <c r="C47" s="34" t="s">
        <v>48</v>
      </c>
      <c r="D47" s="54">
        <v>30000</v>
      </c>
      <c r="E47" s="54">
        <f>D47-(D47*10/100)</f>
        <v>27000</v>
      </c>
      <c r="F47" s="54">
        <f>D47-(D47*20/100)</f>
        <v>24000</v>
      </c>
      <c r="G47" s="54">
        <f>D47-(D47*30/100)</f>
        <v>21000</v>
      </c>
      <c r="H47" s="54">
        <f>D47-(D47*20/100)</f>
        <v>24000</v>
      </c>
      <c r="I47" s="54"/>
      <c r="J47" s="54"/>
      <c r="K47" s="54"/>
      <c r="L47" s="54">
        <f>D47-(D47*40/100)</f>
        <v>18000</v>
      </c>
      <c r="M47" s="54"/>
      <c r="N47" s="54"/>
      <c r="O47" s="54"/>
      <c r="P47" s="34" t="s">
        <v>9</v>
      </c>
      <c r="Q47" s="34" t="s">
        <v>53</v>
      </c>
      <c r="R47" s="53" t="s">
        <v>483</v>
      </c>
      <c r="S47" s="5"/>
    </row>
    <row r="48" spans="1:19" ht="21.75" x14ac:dyDescent="0.2">
      <c r="A48" s="35" t="s">
        <v>469</v>
      </c>
      <c r="B48" s="53" t="s">
        <v>168</v>
      </c>
      <c r="C48" s="34" t="s">
        <v>48</v>
      </c>
      <c r="D48" s="54">
        <v>20000</v>
      </c>
      <c r="E48" s="54">
        <f t="shared" ref="E48" si="27">D48-(D48*10/100)</f>
        <v>18000</v>
      </c>
      <c r="F48" s="54">
        <f t="shared" ref="F48" si="28">D48-(D48*20/100)</f>
        <v>16000</v>
      </c>
      <c r="G48" s="54">
        <f t="shared" ref="G48" si="29">D48-(D48*30/100)</f>
        <v>14000</v>
      </c>
      <c r="H48" s="54">
        <f>D48-(D48*20/100)</f>
        <v>16000</v>
      </c>
      <c r="I48" s="54"/>
      <c r="J48" s="54"/>
      <c r="K48" s="54"/>
      <c r="L48" s="54">
        <f>D48-(D48*40/100)</f>
        <v>12000</v>
      </c>
      <c r="M48" s="54"/>
      <c r="N48" s="54"/>
      <c r="O48" s="54"/>
      <c r="P48" s="34" t="s">
        <v>9</v>
      </c>
      <c r="Q48" s="34" t="s">
        <v>53</v>
      </c>
      <c r="R48" s="53" t="s">
        <v>483</v>
      </c>
      <c r="S48" s="5"/>
    </row>
    <row r="49" spans="1:18" s="4" customFormat="1" ht="37.5" customHeight="1" x14ac:dyDescent="0.2">
      <c r="A49" s="35" t="s">
        <v>470</v>
      </c>
      <c r="B49" s="53" t="s">
        <v>30</v>
      </c>
      <c r="C49" s="34" t="s">
        <v>48</v>
      </c>
      <c r="D49" s="54">
        <v>5000</v>
      </c>
      <c r="E49" s="54">
        <f>D49-(D49*10/100)</f>
        <v>4500</v>
      </c>
      <c r="F49" s="54">
        <f>D49-(D49*20/100)</f>
        <v>4000</v>
      </c>
      <c r="G49" s="54">
        <f>D49-(D49*30/100)</f>
        <v>3500</v>
      </c>
      <c r="H49" s="54">
        <f>D49-(D49*20/100)</f>
        <v>4000</v>
      </c>
      <c r="I49" s="54"/>
      <c r="J49" s="54"/>
      <c r="K49" s="54"/>
      <c r="L49" s="54">
        <f>D49-(D49*40/100)</f>
        <v>3000</v>
      </c>
      <c r="M49" s="54"/>
      <c r="N49" s="54"/>
      <c r="O49" s="54"/>
      <c r="P49" s="34" t="s">
        <v>9</v>
      </c>
      <c r="Q49" s="34" t="s">
        <v>53</v>
      </c>
      <c r="R49" s="34" t="s">
        <v>522</v>
      </c>
    </row>
    <row r="50" spans="1:18" s="17" customFormat="1" ht="18.75" customHeight="1" x14ac:dyDescent="0.2">
      <c r="A50" s="115" t="s">
        <v>471</v>
      </c>
      <c r="B50" s="112" t="s">
        <v>140</v>
      </c>
      <c r="C50" s="116" t="s">
        <v>40</v>
      </c>
      <c r="D50" s="116">
        <v>1000</v>
      </c>
      <c r="E50" s="116">
        <f>MROUND(D50-(D50*10/100),50)</f>
        <v>900</v>
      </c>
      <c r="F50" s="116">
        <f>MROUND(D50-(D50*20/100),50)</f>
        <v>800</v>
      </c>
      <c r="G50" s="116">
        <f>MROUND(D50-(D50*30/100),50)</f>
        <v>700</v>
      </c>
      <c r="H50" s="116">
        <f>MROUND(D50-(D50*10/100),50)</f>
        <v>900</v>
      </c>
      <c r="I50" s="116">
        <f>MROUND(H50-(H50*10/100),50)</f>
        <v>800</v>
      </c>
      <c r="J50" s="116">
        <f>MROUND(H50-(H50*20/100),50)</f>
        <v>700</v>
      </c>
      <c r="K50" s="116">
        <f>MROUND(H50-(H50*30/100),50)</f>
        <v>650</v>
      </c>
      <c r="L50" s="116">
        <f>MROUND(D50-(D50*20/100),50)</f>
        <v>800</v>
      </c>
      <c r="M50" s="116">
        <f>MROUND(L50-(L50*10/100),50)</f>
        <v>700</v>
      </c>
      <c r="N50" s="116">
        <f>MROUND(L50-(L50*20/100),50)</f>
        <v>650</v>
      </c>
      <c r="O50" s="116">
        <f>MROUND(L50-(L50*30/100),50)</f>
        <v>550</v>
      </c>
      <c r="P50" s="112" t="s">
        <v>10</v>
      </c>
      <c r="Q50" s="112" t="s">
        <v>53</v>
      </c>
      <c r="R50" s="71" t="s">
        <v>501</v>
      </c>
    </row>
    <row r="51" spans="1:18" s="17" customFormat="1" ht="21.75" x14ac:dyDescent="0.2">
      <c r="A51" s="115"/>
      <c r="B51" s="112"/>
      <c r="C51" s="116" t="s">
        <v>41</v>
      </c>
      <c r="D51" s="116">
        <f t="shared" ref="D51" si="30">D50*50/100</f>
        <v>500</v>
      </c>
      <c r="E51" s="116">
        <f t="shared" ref="E51:O51" si="31">MROUND(E50*50/100,50)</f>
        <v>450</v>
      </c>
      <c r="F51" s="116">
        <f t="shared" si="31"/>
        <v>400</v>
      </c>
      <c r="G51" s="116">
        <f t="shared" si="31"/>
        <v>350</v>
      </c>
      <c r="H51" s="116">
        <f t="shared" si="31"/>
        <v>450</v>
      </c>
      <c r="I51" s="116">
        <f t="shared" si="31"/>
        <v>400</v>
      </c>
      <c r="J51" s="116">
        <f t="shared" si="31"/>
        <v>350</v>
      </c>
      <c r="K51" s="116">
        <f t="shared" si="31"/>
        <v>350</v>
      </c>
      <c r="L51" s="116">
        <f t="shared" si="31"/>
        <v>400</v>
      </c>
      <c r="M51" s="116">
        <f t="shared" si="31"/>
        <v>350</v>
      </c>
      <c r="N51" s="116">
        <f t="shared" si="31"/>
        <v>350</v>
      </c>
      <c r="O51" s="116">
        <f t="shared" si="31"/>
        <v>300</v>
      </c>
      <c r="P51" s="112"/>
      <c r="Q51" s="112"/>
      <c r="R51" s="72"/>
    </row>
    <row r="52" spans="1:18" s="1" customFormat="1" ht="21.75" x14ac:dyDescent="0.2">
      <c r="A52" s="35" t="s">
        <v>472</v>
      </c>
      <c r="B52" s="53" t="s">
        <v>272</v>
      </c>
      <c r="C52" s="34" t="s">
        <v>57</v>
      </c>
      <c r="D52" s="54">
        <v>5000</v>
      </c>
      <c r="E52" s="54">
        <f t="shared" ref="E52" si="32">D52-(D52*10/100)</f>
        <v>4500</v>
      </c>
      <c r="F52" s="54">
        <f t="shared" ref="F52" si="33">D52-(D52*20/100)</f>
        <v>4000</v>
      </c>
      <c r="G52" s="54">
        <f t="shared" ref="G52" si="34">D52-(D52*30/100)</f>
        <v>3500</v>
      </c>
      <c r="H52" s="54">
        <f t="shared" ref="H52" si="35">D52-(D52*20/100)</f>
        <v>4000</v>
      </c>
      <c r="I52" s="54"/>
      <c r="J52" s="54"/>
      <c r="K52" s="54"/>
      <c r="L52" s="54">
        <f t="shared" ref="L52" si="36">D52-(D52*40/100)</f>
        <v>3000</v>
      </c>
      <c r="M52" s="54"/>
      <c r="N52" s="54"/>
      <c r="O52" s="54"/>
      <c r="P52" s="34" t="s">
        <v>9</v>
      </c>
      <c r="Q52" s="34" t="s">
        <v>53</v>
      </c>
      <c r="R52" s="34" t="s">
        <v>490</v>
      </c>
    </row>
  </sheetData>
  <mergeCells count="140">
    <mergeCell ref="R35:R36"/>
    <mergeCell ref="R37:R38"/>
    <mergeCell ref="R39:R40"/>
    <mergeCell ref="R41:R42"/>
    <mergeCell ref="R50:R51"/>
    <mergeCell ref="A1:R1"/>
    <mergeCell ref="A4:R4"/>
    <mergeCell ref="A11:R11"/>
    <mergeCell ref="A43:R43"/>
    <mergeCell ref="R2:R3"/>
    <mergeCell ref="R7:R8"/>
    <mergeCell ref="R9:R10"/>
    <mergeCell ref="R13:R14"/>
    <mergeCell ref="R15:R16"/>
    <mergeCell ref="R17:R18"/>
    <mergeCell ref="R20:R21"/>
    <mergeCell ref="R23:R24"/>
    <mergeCell ref="R28:R29"/>
    <mergeCell ref="Q2:Q3"/>
    <mergeCell ref="D5:G5"/>
    <mergeCell ref="H5:K5"/>
    <mergeCell ref="L5:O5"/>
    <mergeCell ref="D6:G6"/>
    <mergeCell ref="H6:K6"/>
    <mergeCell ref="A50:A51"/>
    <mergeCell ref="B50:B51"/>
    <mergeCell ref="P50:P51"/>
    <mergeCell ref="D46:G46"/>
    <mergeCell ref="H46:K46"/>
    <mergeCell ref="L46:O46"/>
    <mergeCell ref="B13:B14"/>
    <mergeCell ref="A13:A14"/>
    <mergeCell ref="P17:P18"/>
    <mergeCell ref="D32:G32"/>
    <mergeCell ref="H32:K32"/>
    <mergeCell ref="D25:G25"/>
    <mergeCell ref="H25:K25"/>
    <mergeCell ref="L25:O25"/>
    <mergeCell ref="P28:P29"/>
    <mergeCell ref="H33:K33"/>
    <mergeCell ref="L33:O33"/>
    <mergeCell ref="D19:G19"/>
    <mergeCell ref="H19:K19"/>
    <mergeCell ref="P20:P21"/>
    <mergeCell ref="L30:O30"/>
    <mergeCell ref="D31:G31"/>
    <mergeCell ref="D13:O13"/>
    <mergeCell ref="P13:P14"/>
    <mergeCell ref="B2:B3"/>
    <mergeCell ref="C2:C3"/>
    <mergeCell ref="P9:P10"/>
    <mergeCell ref="P15:P16"/>
    <mergeCell ref="D12:G12"/>
    <mergeCell ref="A7:A8"/>
    <mergeCell ref="B9:B10"/>
    <mergeCell ref="A2:A3"/>
    <mergeCell ref="L19:O19"/>
    <mergeCell ref="D14:O14"/>
    <mergeCell ref="A17:A18"/>
    <mergeCell ref="B17:B18"/>
    <mergeCell ref="A15:A16"/>
    <mergeCell ref="B15:B16"/>
    <mergeCell ref="A9:A10"/>
    <mergeCell ref="H12:K12"/>
    <mergeCell ref="L12:O12"/>
    <mergeCell ref="L6:O6"/>
    <mergeCell ref="P7:P8"/>
    <mergeCell ref="D2:G2"/>
    <mergeCell ref="H2:K2"/>
    <mergeCell ref="L2:O2"/>
    <mergeCell ref="P2:P3"/>
    <mergeCell ref="A23:A24"/>
    <mergeCell ref="B23:B24"/>
    <mergeCell ref="B7:B8"/>
    <mergeCell ref="A20:A21"/>
    <mergeCell ref="B20:B21"/>
    <mergeCell ref="D22:G22"/>
    <mergeCell ref="H22:K22"/>
    <mergeCell ref="L22:O22"/>
    <mergeCell ref="A28:A29"/>
    <mergeCell ref="A37:A38"/>
    <mergeCell ref="H47:K47"/>
    <mergeCell ref="L47:O47"/>
    <mergeCell ref="B35:B36"/>
    <mergeCell ref="D45:G45"/>
    <mergeCell ref="H45:K45"/>
    <mergeCell ref="L45:O45"/>
    <mergeCell ref="B37:B38"/>
    <mergeCell ref="B39:B40"/>
    <mergeCell ref="D44:G44"/>
    <mergeCell ref="H44:K44"/>
    <mergeCell ref="L44:O44"/>
    <mergeCell ref="A39:A40"/>
    <mergeCell ref="A41:A42"/>
    <mergeCell ref="A35:A36"/>
    <mergeCell ref="Q7:Q8"/>
    <mergeCell ref="Q13:Q14"/>
    <mergeCell ref="Q15:Q16"/>
    <mergeCell ref="Q17:Q18"/>
    <mergeCell ref="Q20:Q21"/>
    <mergeCell ref="Q23:Q24"/>
    <mergeCell ref="Q9:Q10"/>
    <mergeCell ref="Q37:Q38"/>
    <mergeCell ref="D34:G34"/>
    <mergeCell ref="H34:K34"/>
    <mergeCell ref="L34:O34"/>
    <mergeCell ref="D26:G26"/>
    <mergeCell ref="H26:K26"/>
    <mergeCell ref="L26:O26"/>
    <mergeCell ref="D30:G30"/>
    <mergeCell ref="H30:K30"/>
    <mergeCell ref="H31:K31"/>
    <mergeCell ref="D27:G27"/>
    <mergeCell ref="H27:K27"/>
    <mergeCell ref="L27:O27"/>
    <mergeCell ref="P23:P24"/>
    <mergeCell ref="D52:G52"/>
    <mergeCell ref="H52:K52"/>
    <mergeCell ref="L52:O52"/>
    <mergeCell ref="Q28:Q29"/>
    <mergeCell ref="Q35:Q36"/>
    <mergeCell ref="P39:P40"/>
    <mergeCell ref="Q39:Q40"/>
    <mergeCell ref="B41:B42"/>
    <mergeCell ref="P41:P42"/>
    <mergeCell ref="Q41:Q42"/>
    <mergeCell ref="P35:P36"/>
    <mergeCell ref="D33:G33"/>
    <mergeCell ref="B28:B29"/>
    <mergeCell ref="L32:O32"/>
    <mergeCell ref="P37:P38"/>
    <mergeCell ref="L31:O31"/>
    <mergeCell ref="D49:G49"/>
    <mergeCell ref="H49:K49"/>
    <mergeCell ref="L49:O49"/>
    <mergeCell ref="Q50:Q51"/>
    <mergeCell ref="D48:G48"/>
    <mergeCell ref="H48:K48"/>
    <mergeCell ref="L48:O48"/>
    <mergeCell ref="D47:G47"/>
  </mergeCells>
  <pageMargins left="0.7" right="0.7" top="0.75" bottom="0.75" header="0.3" footer="0.3"/>
  <pageSetup paperSize="9" scale="58"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R21"/>
  <sheetViews>
    <sheetView rightToLeft="1" tabSelected="1" zoomScaleNormal="100" workbookViewId="0">
      <selection activeCell="R13" sqref="R13"/>
    </sheetView>
  </sheetViews>
  <sheetFormatPr defaultColWidth="9.125" defaultRowHeight="14.25" x14ac:dyDescent="0.2"/>
  <cols>
    <col min="1" max="1" width="9.375" style="29" customWidth="1"/>
    <col min="2" max="2" width="56.375" style="5" customWidth="1"/>
    <col min="3" max="3" width="15.125" style="5" customWidth="1"/>
    <col min="4" max="4" width="5.375" style="5" bestFit="1" customWidth="1"/>
    <col min="5" max="5" width="6.25" style="5" bestFit="1" customWidth="1"/>
    <col min="6" max="6" width="6.125" style="5" bestFit="1" customWidth="1"/>
    <col min="7" max="7" width="5.75" style="5" bestFit="1" customWidth="1"/>
    <col min="8" max="8" width="5.375" style="5" bestFit="1" customWidth="1"/>
    <col min="9" max="9" width="6.25" style="5" bestFit="1" customWidth="1"/>
    <col min="10" max="10" width="6.125" style="5" bestFit="1" customWidth="1"/>
    <col min="11" max="11" width="5.75" style="5" bestFit="1" customWidth="1"/>
    <col min="12" max="12" width="5.375" style="5" bestFit="1" customWidth="1"/>
    <col min="13" max="13" width="6.25" style="5" bestFit="1" customWidth="1"/>
    <col min="14" max="14" width="6.125" style="5" bestFit="1" customWidth="1"/>
    <col min="15" max="15" width="6.25" style="5" customWidth="1"/>
    <col min="16" max="16" width="8.25" style="5" customWidth="1"/>
    <col min="17" max="17" width="10" style="5" bestFit="1" customWidth="1"/>
    <col min="18" max="18" width="27.625" style="5" customWidth="1"/>
    <col min="19" max="16384" width="9.125" style="5"/>
  </cols>
  <sheetData>
    <row r="1" spans="1:18" ht="47.25" customHeight="1" x14ac:dyDescent="0.2">
      <c r="A1" s="98" t="s">
        <v>143</v>
      </c>
      <c r="B1" s="98"/>
      <c r="C1" s="98"/>
      <c r="D1" s="98"/>
      <c r="E1" s="98"/>
      <c r="F1" s="98"/>
      <c r="G1" s="98"/>
      <c r="H1" s="98"/>
      <c r="I1" s="98"/>
      <c r="J1" s="98"/>
      <c r="K1" s="98"/>
      <c r="L1" s="98"/>
      <c r="M1" s="98"/>
      <c r="N1" s="98"/>
      <c r="O1" s="98"/>
      <c r="P1" s="98"/>
      <c r="Q1" s="98"/>
      <c r="R1" s="98"/>
    </row>
    <row r="2" spans="1:18" ht="42" customHeight="1" x14ac:dyDescent="0.2">
      <c r="A2" s="102" t="s">
        <v>4</v>
      </c>
      <c r="B2" s="104" t="s">
        <v>3</v>
      </c>
      <c r="C2" s="106" t="s">
        <v>141</v>
      </c>
      <c r="D2" s="103" t="s">
        <v>2</v>
      </c>
      <c r="E2" s="103"/>
      <c r="F2" s="103"/>
      <c r="G2" s="103"/>
      <c r="H2" s="103" t="s">
        <v>1</v>
      </c>
      <c r="I2" s="103"/>
      <c r="J2" s="103"/>
      <c r="K2" s="103"/>
      <c r="L2" s="103" t="s">
        <v>0</v>
      </c>
      <c r="M2" s="103"/>
      <c r="N2" s="103"/>
      <c r="O2" s="103"/>
      <c r="P2" s="103" t="s">
        <v>11</v>
      </c>
      <c r="Q2" s="56" t="s">
        <v>52</v>
      </c>
      <c r="R2" s="56" t="s">
        <v>477</v>
      </c>
    </row>
    <row r="3" spans="1:18" ht="46.5" x14ac:dyDescent="0.2">
      <c r="A3" s="102"/>
      <c r="B3" s="105"/>
      <c r="C3" s="107"/>
      <c r="D3" s="31" t="s">
        <v>8</v>
      </c>
      <c r="E3" s="31" t="s">
        <v>7</v>
      </c>
      <c r="F3" s="31" t="s">
        <v>6</v>
      </c>
      <c r="G3" s="31" t="s">
        <v>5</v>
      </c>
      <c r="H3" s="31" t="s">
        <v>8</v>
      </c>
      <c r="I3" s="31" t="s">
        <v>7</v>
      </c>
      <c r="J3" s="31" t="s">
        <v>6</v>
      </c>
      <c r="K3" s="31" t="s">
        <v>5</v>
      </c>
      <c r="L3" s="31" t="s">
        <v>8</v>
      </c>
      <c r="M3" s="31" t="s">
        <v>7</v>
      </c>
      <c r="N3" s="31" t="s">
        <v>6</v>
      </c>
      <c r="O3" s="31" t="s">
        <v>5</v>
      </c>
      <c r="P3" s="103"/>
      <c r="Q3" s="56"/>
      <c r="R3" s="56"/>
    </row>
    <row r="4" spans="1:18" ht="23.25" customHeight="1" x14ac:dyDescent="0.2">
      <c r="A4" s="88" t="s">
        <v>135</v>
      </c>
      <c r="B4" s="88"/>
      <c r="C4" s="88"/>
      <c r="D4" s="88"/>
      <c r="E4" s="88"/>
      <c r="F4" s="88"/>
      <c r="G4" s="88"/>
      <c r="H4" s="88"/>
      <c r="I4" s="88"/>
      <c r="J4" s="88"/>
      <c r="K4" s="88"/>
      <c r="L4" s="88"/>
      <c r="M4" s="88"/>
      <c r="N4" s="88"/>
      <c r="O4" s="88"/>
      <c r="P4" s="88"/>
      <c r="Q4" s="88"/>
      <c r="R4" s="88"/>
    </row>
    <row r="5" spans="1:18" ht="43.5" x14ac:dyDescent="0.2">
      <c r="A5" s="35" t="s">
        <v>177</v>
      </c>
      <c r="B5" s="10" t="s">
        <v>99</v>
      </c>
      <c r="C5" s="10" t="s">
        <v>47</v>
      </c>
      <c r="D5" s="93">
        <v>15000</v>
      </c>
      <c r="E5" s="93"/>
      <c r="F5" s="93"/>
      <c r="G5" s="93"/>
      <c r="H5" s="93">
        <f>D5-(D5*20/100)</f>
        <v>12000</v>
      </c>
      <c r="I5" s="93"/>
      <c r="J5" s="93"/>
      <c r="K5" s="93"/>
      <c r="L5" s="93">
        <f>D5-(D5*40/100)</f>
        <v>9000</v>
      </c>
      <c r="M5" s="93"/>
      <c r="N5" s="93"/>
      <c r="O5" s="93"/>
      <c r="P5" s="36" t="s">
        <v>9</v>
      </c>
      <c r="Q5" s="10" t="s">
        <v>77</v>
      </c>
      <c r="R5" s="10" t="s">
        <v>478</v>
      </c>
    </row>
    <row r="6" spans="1:18" ht="43.5" x14ac:dyDescent="0.2">
      <c r="A6" s="27" t="s">
        <v>194</v>
      </c>
      <c r="B6" s="36" t="s">
        <v>90</v>
      </c>
      <c r="C6" s="10" t="s">
        <v>47</v>
      </c>
      <c r="D6" s="93">
        <v>2000</v>
      </c>
      <c r="E6" s="93"/>
      <c r="F6" s="93"/>
      <c r="G6" s="93"/>
      <c r="H6" s="93">
        <f>D6-(D6*20/100)</f>
        <v>1600</v>
      </c>
      <c r="I6" s="93"/>
      <c r="J6" s="93"/>
      <c r="K6" s="93"/>
      <c r="L6" s="93">
        <f>D6-(D6*40/100)</f>
        <v>1200</v>
      </c>
      <c r="M6" s="93"/>
      <c r="N6" s="93"/>
      <c r="O6" s="93"/>
      <c r="P6" s="36" t="s">
        <v>9</v>
      </c>
      <c r="Q6" s="10" t="s">
        <v>77</v>
      </c>
      <c r="R6" s="34" t="s">
        <v>478</v>
      </c>
    </row>
    <row r="7" spans="1:18" ht="21.75" customHeight="1" x14ac:dyDescent="0.2">
      <c r="A7" s="108" t="s">
        <v>210</v>
      </c>
      <c r="B7" s="73" t="s">
        <v>91</v>
      </c>
      <c r="C7" s="36" t="s">
        <v>40</v>
      </c>
      <c r="D7" s="36">
        <v>3000</v>
      </c>
      <c r="E7" s="36">
        <f>MROUND(D7-(D7*10/100),50)</f>
        <v>2700</v>
      </c>
      <c r="F7" s="36">
        <f>MROUND(D7-(D7*20/100),50)</f>
        <v>2400</v>
      </c>
      <c r="G7" s="36">
        <f>MROUND(D7-(D7*30/100),50)</f>
        <v>2100</v>
      </c>
      <c r="H7" s="36">
        <f>MROUND(D7-(D7*10/100),50)</f>
        <v>2700</v>
      </c>
      <c r="I7" s="36">
        <f>MROUND(H7-(H7*10/100),50)</f>
        <v>2450</v>
      </c>
      <c r="J7" s="36">
        <f>MROUND(H7-(H7*20/100),50)</f>
        <v>2150</v>
      </c>
      <c r="K7" s="36">
        <f>MROUND(H7-(H7*30/100),50)</f>
        <v>1900</v>
      </c>
      <c r="L7" s="36">
        <f>MROUND(D7-(D7*20/100),50)</f>
        <v>2400</v>
      </c>
      <c r="M7" s="36">
        <f>MROUND(L7-(L7*10/100),50)</f>
        <v>2150</v>
      </c>
      <c r="N7" s="36">
        <f>MROUND(L7-(L7*20/100),50)</f>
        <v>1900</v>
      </c>
      <c r="O7" s="36">
        <f>MROUND(L7-(L7*30/100),50)</f>
        <v>1700</v>
      </c>
      <c r="P7" s="73" t="s">
        <v>10</v>
      </c>
      <c r="Q7" s="73" t="s">
        <v>77</v>
      </c>
      <c r="R7" s="54" t="s">
        <v>478</v>
      </c>
    </row>
    <row r="8" spans="1:18" ht="21.75" x14ac:dyDescent="0.2">
      <c r="A8" s="109"/>
      <c r="B8" s="73"/>
      <c r="C8" s="36" t="s">
        <v>41</v>
      </c>
      <c r="D8" s="36">
        <f t="shared" ref="D8" si="0">D7*50/100</f>
        <v>1500</v>
      </c>
      <c r="E8" s="41">
        <f t="shared" ref="E8:O8" si="1">MROUND(E7*50/100,50)</f>
        <v>1350</v>
      </c>
      <c r="F8" s="41">
        <f t="shared" si="1"/>
        <v>1200</v>
      </c>
      <c r="G8" s="41">
        <f t="shared" si="1"/>
        <v>1050</v>
      </c>
      <c r="H8" s="41">
        <f t="shared" si="1"/>
        <v>1350</v>
      </c>
      <c r="I8" s="41">
        <f t="shared" si="1"/>
        <v>1250</v>
      </c>
      <c r="J8" s="41">
        <f t="shared" si="1"/>
        <v>1100</v>
      </c>
      <c r="K8" s="41">
        <f t="shared" si="1"/>
        <v>950</v>
      </c>
      <c r="L8" s="41">
        <f t="shared" si="1"/>
        <v>1200</v>
      </c>
      <c r="M8" s="41">
        <f t="shared" si="1"/>
        <v>1100</v>
      </c>
      <c r="N8" s="41">
        <f t="shared" si="1"/>
        <v>950</v>
      </c>
      <c r="O8" s="41">
        <f t="shared" si="1"/>
        <v>850</v>
      </c>
      <c r="P8" s="73"/>
      <c r="Q8" s="73"/>
      <c r="R8" s="54"/>
    </row>
    <row r="9" spans="1:18" s="1" customFormat="1" ht="18" customHeight="1" x14ac:dyDescent="0.2">
      <c r="A9" s="108" t="s">
        <v>473</v>
      </c>
      <c r="B9" s="93" t="s">
        <v>105</v>
      </c>
      <c r="C9" s="36" t="s">
        <v>45</v>
      </c>
      <c r="D9" s="41">
        <v>3000</v>
      </c>
      <c r="E9" s="36">
        <f>MROUND(D9-(D9*10/100),50)</f>
        <v>2700</v>
      </c>
      <c r="F9" s="36">
        <f>MROUND(D9-(D9*20/100),50)</f>
        <v>2400</v>
      </c>
      <c r="G9" s="36">
        <f>MROUND(D9-(D9*30/100),50)</f>
        <v>2100</v>
      </c>
      <c r="H9" s="36">
        <f>MROUND(D9-(D9*10/100),50)</f>
        <v>2700</v>
      </c>
      <c r="I9" s="36">
        <f>MROUND(H9-(H9*10/100),50)</f>
        <v>2450</v>
      </c>
      <c r="J9" s="36">
        <f>MROUND(H9-(H9*20/100),50)</f>
        <v>2150</v>
      </c>
      <c r="K9" s="36">
        <f>MROUND(H9-(H9*30/100),50)</f>
        <v>1900</v>
      </c>
      <c r="L9" s="36">
        <f>MROUND(D9-(D9*20/100),50)</f>
        <v>2400</v>
      </c>
      <c r="M9" s="36">
        <f>MROUND(L9-(L9*10/100),50)</f>
        <v>2150</v>
      </c>
      <c r="N9" s="36">
        <f>MROUND(L9-(L9*20/100),50)</f>
        <v>1900</v>
      </c>
      <c r="O9" s="36">
        <f>MROUND(L9-(L9*30/100),50)</f>
        <v>1700</v>
      </c>
      <c r="P9" s="73" t="s">
        <v>10</v>
      </c>
      <c r="Q9" s="73" t="s">
        <v>53</v>
      </c>
      <c r="R9" s="73" t="s">
        <v>487</v>
      </c>
    </row>
    <row r="10" spans="1:18" s="1" customFormat="1" ht="21.75" x14ac:dyDescent="0.2">
      <c r="A10" s="109"/>
      <c r="B10" s="93"/>
      <c r="C10" s="36" t="s">
        <v>41</v>
      </c>
      <c r="D10" s="36">
        <f>D9*50/100</f>
        <v>1500</v>
      </c>
      <c r="E10" s="41">
        <f t="shared" ref="E10:O10" si="2">MROUND(E9*50/100,50)</f>
        <v>1350</v>
      </c>
      <c r="F10" s="41">
        <f t="shared" si="2"/>
        <v>1200</v>
      </c>
      <c r="G10" s="41">
        <f t="shared" si="2"/>
        <v>1050</v>
      </c>
      <c r="H10" s="41">
        <f t="shared" si="2"/>
        <v>1350</v>
      </c>
      <c r="I10" s="41">
        <f t="shared" si="2"/>
        <v>1250</v>
      </c>
      <c r="J10" s="41">
        <f t="shared" si="2"/>
        <v>1100</v>
      </c>
      <c r="K10" s="41">
        <f t="shared" si="2"/>
        <v>950</v>
      </c>
      <c r="L10" s="41">
        <f t="shared" si="2"/>
        <v>1200</v>
      </c>
      <c r="M10" s="41">
        <f t="shared" si="2"/>
        <v>1100</v>
      </c>
      <c r="N10" s="41">
        <f t="shared" si="2"/>
        <v>950</v>
      </c>
      <c r="O10" s="41">
        <f t="shared" si="2"/>
        <v>850</v>
      </c>
      <c r="P10" s="73"/>
      <c r="Q10" s="73"/>
      <c r="R10" s="73"/>
    </row>
    <row r="11" spans="1:18" ht="23.25" customHeight="1" x14ac:dyDescent="0.2">
      <c r="A11" s="99" t="s">
        <v>72</v>
      </c>
      <c r="B11" s="99"/>
      <c r="C11" s="99"/>
      <c r="D11" s="99"/>
      <c r="E11" s="99"/>
      <c r="F11" s="99"/>
      <c r="G11" s="99"/>
      <c r="H11" s="99"/>
      <c r="I11" s="99"/>
      <c r="J11" s="99"/>
      <c r="K11" s="99"/>
      <c r="L11" s="99"/>
      <c r="M11" s="99"/>
      <c r="N11" s="99"/>
      <c r="O11" s="99"/>
      <c r="P11" s="99"/>
      <c r="Q11" s="99"/>
      <c r="R11" s="99"/>
    </row>
    <row r="12" spans="1:18" ht="79.5" customHeight="1" x14ac:dyDescent="0.2">
      <c r="A12" s="35" t="s">
        <v>182</v>
      </c>
      <c r="B12" s="34" t="s">
        <v>139</v>
      </c>
      <c r="C12" s="10" t="s">
        <v>47</v>
      </c>
      <c r="D12" s="93">
        <v>100000</v>
      </c>
      <c r="E12" s="93"/>
      <c r="F12" s="93"/>
      <c r="G12" s="93"/>
      <c r="H12" s="93">
        <f>D12-(D12*20/100)</f>
        <v>80000</v>
      </c>
      <c r="I12" s="93"/>
      <c r="J12" s="93"/>
      <c r="K12" s="93"/>
      <c r="L12" s="93">
        <f>D12-(D12*40/100)</f>
        <v>60000</v>
      </c>
      <c r="M12" s="93"/>
      <c r="N12" s="93"/>
      <c r="O12" s="93"/>
      <c r="P12" s="36" t="s">
        <v>9</v>
      </c>
      <c r="Q12" s="41" t="s">
        <v>77</v>
      </c>
      <c r="R12" s="34" t="s">
        <v>528</v>
      </c>
    </row>
    <row r="13" spans="1:18" s="12" customFormat="1" ht="65.25" x14ac:dyDescent="0.2">
      <c r="A13" s="49" t="s">
        <v>199</v>
      </c>
      <c r="B13" s="50" t="s">
        <v>128</v>
      </c>
      <c r="C13" s="50" t="s">
        <v>57</v>
      </c>
      <c r="D13" s="81">
        <v>100000</v>
      </c>
      <c r="E13" s="81"/>
      <c r="F13" s="81"/>
      <c r="G13" s="81"/>
      <c r="H13" s="81">
        <f t="shared" ref="H13" si="3">D13-(D13*20/100)</f>
        <v>80000</v>
      </c>
      <c r="I13" s="81"/>
      <c r="J13" s="81"/>
      <c r="K13" s="81"/>
      <c r="L13" s="81">
        <f t="shared" ref="L13" si="4">D13-(D13*40/100)</f>
        <v>60000</v>
      </c>
      <c r="M13" s="81"/>
      <c r="N13" s="81"/>
      <c r="O13" s="81"/>
      <c r="P13" s="50" t="s">
        <v>9</v>
      </c>
      <c r="Q13" s="50" t="s">
        <v>53</v>
      </c>
      <c r="R13" s="34" t="s">
        <v>528</v>
      </c>
    </row>
    <row r="14" spans="1:18" s="4" customFormat="1" ht="58.5" customHeight="1" x14ac:dyDescent="0.2">
      <c r="A14" s="49" t="s">
        <v>215</v>
      </c>
      <c r="B14" s="50" t="s">
        <v>29</v>
      </c>
      <c r="C14" s="50" t="s">
        <v>47</v>
      </c>
      <c r="D14" s="81">
        <v>10000</v>
      </c>
      <c r="E14" s="81">
        <f t="shared" ref="E14:E16" si="5">D14-(D14*10/100)</f>
        <v>9000</v>
      </c>
      <c r="F14" s="81">
        <f t="shared" ref="F14:F16" si="6">D14-(D14*20/100)</f>
        <v>8000</v>
      </c>
      <c r="G14" s="81">
        <f t="shared" ref="G14:G16" si="7">D14-(D14*30/100)</f>
        <v>7000</v>
      </c>
      <c r="H14" s="81">
        <f>D14-(D14*20/100)</f>
        <v>8000</v>
      </c>
      <c r="I14" s="81"/>
      <c r="J14" s="81"/>
      <c r="K14" s="81"/>
      <c r="L14" s="81">
        <f>D14-(D14*40/100)</f>
        <v>6000</v>
      </c>
      <c r="M14" s="81"/>
      <c r="N14" s="81"/>
      <c r="O14" s="81"/>
      <c r="P14" s="50" t="s">
        <v>9</v>
      </c>
      <c r="Q14" s="50" t="s">
        <v>77</v>
      </c>
      <c r="R14" s="34" t="s">
        <v>528</v>
      </c>
    </row>
    <row r="15" spans="1:18" ht="57.75" customHeight="1" x14ac:dyDescent="0.2">
      <c r="A15" s="35" t="s">
        <v>228</v>
      </c>
      <c r="B15" s="34" t="s">
        <v>63</v>
      </c>
      <c r="C15" s="41" t="s">
        <v>47</v>
      </c>
      <c r="D15" s="93">
        <v>30000</v>
      </c>
      <c r="E15" s="93">
        <f t="shared" si="5"/>
        <v>27000</v>
      </c>
      <c r="F15" s="93">
        <f t="shared" si="6"/>
        <v>24000</v>
      </c>
      <c r="G15" s="93">
        <f t="shared" si="7"/>
        <v>21000</v>
      </c>
      <c r="H15" s="93">
        <f>D15-(D15*20/100)</f>
        <v>24000</v>
      </c>
      <c r="I15" s="93"/>
      <c r="J15" s="93"/>
      <c r="K15" s="93"/>
      <c r="L15" s="93">
        <f>D15-(D15*40/100)</f>
        <v>18000</v>
      </c>
      <c r="M15" s="93"/>
      <c r="N15" s="93"/>
      <c r="O15" s="93"/>
      <c r="P15" s="41" t="s">
        <v>9</v>
      </c>
      <c r="Q15" s="41" t="s">
        <v>77</v>
      </c>
      <c r="R15" s="34" t="s">
        <v>483</v>
      </c>
    </row>
    <row r="16" spans="1:18" ht="63.75" customHeight="1" x14ac:dyDescent="0.2">
      <c r="A16" s="35" t="s">
        <v>237</v>
      </c>
      <c r="B16" s="34" t="s">
        <v>168</v>
      </c>
      <c r="C16" s="41" t="s">
        <v>47</v>
      </c>
      <c r="D16" s="93">
        <v>20000</v>
      </c>
      <c r="E16" s="93">
        <f t="shared" si="5"/>
        <v>18000</v>
      </c>
      <c r="F16" s="93">
        <f t="shared" si="6"/>
        <v>16000</v>
      </c>
      <c r="G16" s="93">
        <f t="shared" si="7"/>
        <v>14000</v>
      </c>
      <c r="H16" s="93">
        <f>D16-(D16*20/100)</f>
        <v>16000</v>
      </c>
      <c r="I16" s="93"/>
      <c r="J16" s="93"/>
      <c r="K16" s="93"/>
      <c r="L16" s="93">
        <f>D16-(D16*40/100)</f>
        <v>12000</v>
      </c>
      <c r="M16" s="93"/>
      <c r="N16" s="93"/>
      <c r="O16" s="93"/>
      <c r="P16" s="41" t="s">
        <v>9</v>
      </c>
      <c r="Q16" s="41" t="s">
        <v>77</v>
      </c>
      <c r="R16" s="34" t="s">
        <v>483</v>
      </c>
    </row>
    <row r="17" spans="1:18" s="17" customFormat="1" ht="38.25" customHeight="1" x14ac:dyDescent="0.5">
      <c r="A17" s="95" t="s">
        <v>474</v>
      </c>
      <c r="B17" s="112" t="s">
        <v>140</v>
      </c>
      <c r="C17" s="43" t="s">
        <v>40</v>
      </c>
      <c r="D17" s="51">
        <v>5000</v>
      </c>
      <c r="E17" s="51">
        <f>MROUND(D17-(D17*10/100),50)</f>
        <v>4500</v>
      </c>
      <c r="F17" s="51">
        <f>MROUND(D17-(D17*20/100),50)</f>
        <v>4000</v>
      </c>
      <c r="G17" s="51">
        <f>MROUND(D17-(D17*30/100),50)</f>
        <v>3500</v>
      </c>
      <c r="H17" s="51">
        <f>MROUND(D17-(D17*10/100),50)</f>
        <v>4500</v>
      </c>
      <c r="I17" s="51">
        <f>MROUND(H17-(H17*10/100),50)</f>
        <v>4050</v>
      </c>
      <c r="J17" s="51">
        <f>MROUND(H17-(H17*20/100),50)</f>
        <v>3600</v>
      </c>
      <c r="K17" s="51">
        <f>MROUND(H17-(H17*30/100),50)</f>
        <v>3150</v>
      </c>
      <c r="L17" s="51">
        <f>MROUND(D17-(D17*20/100),50)</f>
        <v>4000</v>
      </c>
      <c r="M17" s="51">
        <f>MROUND(L17-(L17*10/100),50)</f>
        <v>3600</v>
      </c>
      <c r="N17" s="51">
        <f>MROUND(L17-(L17*20/100),50)</f>
        <v>3200</v>
      </c>
      <c r="O17" s="51">
        <f>MROUND(L17-(L17*30/100),50)</f>
        <v>2800</v>
      </c>
      <c r="P17" s="90" t="s">
        <v>10</v>
      </c>
      <c r="Q17" s="90" t="s">
        <v>77</v>
      </c>
      <c r="R17" s="71" t="s">
        <v>501</v>
      </c>
    </row>
    <row r="18" spans="1:18" s="17" customFormat="1" ht="42" customHeight="1" x14ac:dyDescent="0.5">
      <c r="A18" s="95"/>
      <c r="B18" s="112"/>
      <c r="C18" s="43" t="s">
        <v>41</v>
      </c>
      <c r="D18" s="51">
        <f t="shared" ref="D18:D20" si="8">D17*50/100</f>
        <v>2500</v>
      </c>
      <c r="E18" s="51">
        <f t="shared" ref="E18:O18" si="9">MROUND(E17*50/100,50)</f>
        <v>2250</v>
      </c>
      <c r="F18" s="51">
        <f t="shared" si="9"/>
        <v>2000</v>
      </c>
      <c r="G18" s="51">
        <f t="shared" si="9"/>
        <v>1750</v>
      </c>
      <c r="H18" s="51">
        <f t="shared" si="9"/>
        <v>2250</v>
      </c>
      <c r="I18" s="51">
        <f t="shared" si="9"/>
        <v>2050</v>
      </c>
      <c r="J18" s="51">
        <f t="shared" si="9"/>
        <v>1800</v>
      </c>
      <c r="K18" s="51">
        <f t="shared" si="9"/>
        <v>1600</v>
      </c>
      <c r="L18" s="51">
        <f t="shared" si="9"/>
        <v>2000</v>
      </c>
      <c r="M18" s="51">
        <f t="shared" si="9"/>
        <v>1800</v>
      </c>
      <c r="N18" s="51">
        <f t="shared" si="9"/>
        <v>1600</v>
      </c>
      <c r="O18" s="51">
        <f t="shared" si="9"/>
        <v>1400</v>
      </c>
      <c r="P18" s="90"/>
      <c r="Q18" s="90"/>
      <c r="R18" s="72"/>
    </row>
    <row r="19" spans="1:18" ht="36.75" customHeight="1" x14ac:dyDescent="0.2">
      <c r="A19" s="108" t="s">
        <v>475</v>
      </c>
      <c r="B19" s="54" t="s">
        <v>120</v>
      </c>
      <c r="C19" s="36" t="s">
        <v>40</v>
      </c>
      <c r="D19" s="36">
        <v>5000</v>
      </c>
      <c r="E19" s="36">
        <f>MROUND(D19-(D19*10/100),50)</f>
        <v>4500</v>
      </c>
      <c r="F19" s="36">
        <f>MROUND(D19-(D19*20/100),50)</f>
        <v>4000</v>
      </c>
      <c r="G19" s="36">
        <f>MROUND(D19-(D19*30/100),50)</f>
        <v>3500</v>
      </c>
      <c r="H19" s="36">
        <f>MROUND(D19-(D19*10/100),50)</f>
        <v>4500</v>
      </c>
      <c r="I19" s="36">
        <f>MROUND(H19-(H19*10/100),50)</f>
        <v>4050</v>
      </c>
      <c r="J19" s="36">
        <f>MROUND(H19-(H19*20/100),50)</f>
        <v>3600</v>
      </c>
      <c r="K19" s="36">
        <f>MROUND(H19-(H19*30/100),50)</f>
        <v>3150</v>
      </c>
      <c r="L19" s="36">
        <f>MROUND(D19-(D19*20/100),50)</f>
        <v>4000</v>
      </c>
      <c r="M19" s="36">
        <f>MROUND(L19-(L19*10/100),50)</f>
        <v>3600</v>
      </c>
      <c r="N19" s="36">
        <f>MROUND(L19-(L19*20/100),50)</f>
        <v>3200</v>
      </c>
      <c r="O19" s="36">
        <f>MROUND(L19-(L19*30/100),50)</f>
        <v>2800</v>
      </c>
      <c r="P19" s="73" t="s">
        <v>10</v>
      </c>
      <c r="Q19" s="96" t="s">
        <v>241</v>
      </c>
      <c r="R19" s="54" t="s">
        <v>503</v>
      </c>
    </row>
    <row r="20" spans="1:18" ht="31.5" customHeight="1" x14ac:dyDescent="0.2">
      <c r="A20" s="109"/>
      <c r="B20" s="54"/>
      <c r="C20" s="36" t="s">
        <v>41</v>
      </c>
      <c r="D20" s="36">
        <f t="shared" si="8"/>
        <v>2500</v>
      </c>
      <c r="E20" s="41">
        <f t="shared" ref="E20:O20" si="10">MROUND(E19*50/100,50)</f>
        <v>2250</v>
      </c>
      <c r="F20" s="41">
        <f t="shared" si="10"/>
        <v>2000</v>
      </c>
      <c r="G20" s="41">
        <f t="shared" si="10"/>
        <v>1750</v>
      </c>
      <c r="H20" s="41">
        <f t="shared" si="10"/>
        <v>2250</v>
      </c>
      <c r="I20" s="41">
        <f t="shared" si="10"/>
        <v>2050</v>
      </c>
      <c r="J20" s="41">
        <f t="shared" si="10"/>
        <v>1800</v>
      </c>
      <c r="K20" s="41">
        <f t="shared" si="10"/>
        <v>1600</v>
      </c>
      <c r="L20" s="41">
        <f t="shared" si="10"/>
        <v>2000</v>
      </c>
      <c r="M20" s="41">
        <f t="shared" si="10"/>
        <v>1800</v>
      </c>
      <c r="N20" s="41">
        <f t="shared" si="10"/>
        <v>1600</v>
      </c>
      <c r="O20" s="41">
        <f t="shared" si="10"/>
        <v>1400</v>
      </c>
      <c r="P20" s="73"/>
      <c r="Q20" s="97"/>
      <c r="R20" s="54"/>
    </row>
    <row r="21" spans="1:18" s="1" customFormat="1" ht="43.5" x14ac:dyDescent="0.2">
      <c r="A21" s="35" t="s">
        <v>476</v>
      </c>
      <c r="B21" s="34" t="s">
        <v>275</v>
      </c>
      <c r="C21" s="34" t="s">
        <v>57</v>
      </c>
      <c r="D21" s="54">
        <v>5000</v>
      </c>
      <c r="E21" s="54">
        <f t="shared" ref="E21" si="11">D21-(D21*10/100)</f>
        <v>4500</v>
      </c>
      <c r="F21" s="54">
        <f t="shared" ref="F21" si="12">D21-(D21*20/100)</f>
        <v>4000</v>
      </c>
      <c r="G21" s="54">
        <f t="shared" ref="G21" si="13">D21-(D21*30/100)</f>
        <v>3500</v>
      </c>
      <c r="H21" s="54">
        <f t="shared" ref="H21" si="14">D21-(D21*20/100)</f>
        <v>4000</v>
      </c>
      <c r="I21" s="54"/>
      <c r="J21" s="54"/>
      <c r="K21" s="54"/>
      <c r="L21" s="54">
        <f t="shared" ref="L21" si="15">D21-(D21*40/100)</f>
        <v>3000</v>
      </c>
      <c r="M21" s="54"/>
      <c r="N21" s="54"/>
      <c r="O21" s="54"/>
      <c r="P21" s="34" t="s">
        <v>9</v>
      </c>
      <c r="Q21" s="34" t="s">
        <v>53</v>
      </c>
      <c r="R21" s="34" t="s">
        <v>490</v>
      </c>
    </row>
  </sheetData>
  <mergeCells count="56">
    <mergeCell ref="A1:R1"/>
    <mergeCell ref="A11:R11"/>
    <mergeCell ref="A4:R4"/>
    <mergeCell ref="R2:R3"/>
    <mergeCell ref="R7:R8"/>
    <mergeCell ref="R9:R10"/>
    <mergeCell ref="P9:P10"/>
    <mergeCell ref="Q9:Q10"/>
    <mergeCell ref="Q2:Q3"/>
    <mergeCell ref="H5:K5"/>
    <mergeCell ref="L5:O5"/>
    <mergeCell ref="D6:G6"/>
    <mergeCell ref="H6:K6"/>
    <mergeCell ref="L2:O2"/>
    <mergeCell ref="P2:P3"/>
    <mergeCell ref="L6:O6"/>
    <mergeCell ref="R17:R18"/>
    <mergeCell ref="R19:R20"/>
    <mergeCell ref="Q19:Q20"/>
    <mergeCell ref="Q17:Q18"/>
    <mergeCell ref="D15:G15"/>
    <mergeCell ref="H16:K16"/>
    <mergeCell ref="P19:P20"/>
    <mergeCell ref="P17:P18"/>
    <mergeCell ref="L16:O16"/>
    <mergeCell ref="H15:K15"/>
    <mergeCell ref="L13:O13"/>
    <mergeCell ref="D14:G14"/>
    <mergeCell ref="H14:K14"/>
    <mergeCell ref="L14:O14"/>
    <mergeCell ref="D12:G12"/>
    <mergeCell ref="H12:K12"/>
    <mergeCell ref="D13:G13"/>
    <mergeCell ref="H13:K13"/>
    <mergeCell ref="L12:O12"/>
    <mergeCell ref="A17:A18"/>
    <mergeCell ref="B17:B18"/>
    <mergeCell ref="A19:A20"/>
    <mergeCell ref="B19:B20"/>
    <mergeCell ref="B9:B10"/>
    <mergeCell ref="A9:A10"/>
    <mergeCell ref="D5:G5"/>
    <mergeCell ref="Q7:Q8"/>
    <mergeCell ref="A7:A8"/>
    <mergeCell ref="B7:B8"/>
    <mergeCell ref="P7:P8"/>
    <mergeCell ref="D21:G21"/>
    <mergeCell ref="H21:K21"/>
    <mergeCell ref="L21:O21"/>
    <mergeCell ref="L15:O15"/>
    <mergeCell ref="D16:G16"/>
    <mergeCell ref="A2:A3"/>
    <mergeCell ref="D2:G2"/>
    <mergeCell ref="B2:B3"/>
    <mergeCell ref="C2:C3"/>
    <mergeCell ref="H2:K2"/>
  </mergeCells>
  <pageMargins left="0.7" right="0.7" top="0.75" bottom="0.75" header="0.3" footer="0.3"/>
  <pageSetup paperSize="9" scale="6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مصانع الأغذية</vt:lpstr>
      <vt:lpstr>مستودعات ومراكز توزيع الأغذية</vt:lpstr>
      <vt:lpstr>مستوردو الأغذية</vt:lpstr>
      <vt:lpstr>المختبرات الخاصة لتحليل الغذاء</vt:lpstr>
      <vt:lpstr>المكاتب الاستشارية</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Enforcement Department</dc:creator>
  <cp:lastModifiedBy>Abdullteef K. Alshebeky</cp:lastModifiedBy>
  <cp:lastPrinted>2023-11-28T11:28:31Z</cp:lastPrinted>
  <dcterms:created xsi:type="dcterms:W3CDTF">2023-05-20T13:56:50Z</dcterms:created>
  <dcterms:modified xsi:type="dcterms:W3CDTF">2026-05-13T12:17:35Z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ecloreClassification">
    <vt:lpwstr>{"SFDA Production Policy Server (8c03fa3dfc99a77338dbfc773d179b293ec1c758)":{"ClassificationDisplayName":"Restricted - مقيد","ClassificationMode":"ClassificationMode_UserDriven","LabelId":"3","Version":"1"}}</vt:lpwstr>
  </property>
  <property fmtid="{D5CDD505-2E9C-101B-9397-08002B2CF9AE}" pid="3" name="SecloreClassificationDisplayName_8c03fa3dfc99a77338dbfc773d179b293ec1c758">
    <vt:lpwstr>Restricted - مقيد</vt:lpwstr>
  </property>
  <property fmtid="{D5CDD505-2E9C-101B-9397-08002B2CF9AE}" pid="4" name="SecloreClassificationFooterTextValue">
    <vt:lpwstr>Restricted - مقيد</vt:lpwstr>
  </property>
  <property fmtid="{D5CDD505-2E9C-101B-9397-08002B2CF9AE}" pid="5" name="SecloreClassificationFooterColorHex">
    <vt:lpwstr>#f0c231</vt:lpwstr>
  </property>
  <property fmtid="{D5CDD505-2E9C-101B-9397-08002B2CF9AE}" pid="6" name="SecloreClassificationFooterFontSize">
    <vt:lpwstr>12</vt:lpwstr>
  </property>
  <property fmtid="{D5CDD505-2E9C-101B-9397-08002B2CF9AE}" pid="7" name="SecloreClassificationFooterAlignment">
    <vt:lpwstr>Center</vt:lpwstr>
  </property>
</Properties>
</file>