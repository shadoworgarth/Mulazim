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3"/>
  <workbookPr codeName="ThisWorkbook" defaultThemeVersion="166925"/>
  <mc:AlternateContent xmlns:mc="http://schemas.openxmlformats.org/markup-compatibility/2006">
    <mc:Choice Requires="x15">
      <x15ac:absPath xmlns:x15ac="http://schemas.microsoft.com/office/spreadsheetml/2010/11/ac" url="C:\Users\htmanea\Desktop\المعتمد\"/>
    </mc:Choice>
  </mc:AlternateContent>
  <xr:revisionPtr revIDLastSave="0" documentId="13_ncr:1_{8169190E-D100-4109-BE81-240996076C05}" xr6:coauthVersionLast="36" xr6:coauthVersionMax="36" xr10:uidLastSave="{00000000-0000-0000-0000-000000000000}"/>
  <bookViews>
    <workbookView xWindow="-105" yWindow="-105" windowWidth="23250" windowHeight="12450" activeTab="1" xr2:uid="{00000000-000D-0000-FFFF-FFFF00000000}"/>
  </bookViews>
  <sheets>
    <sheet name="المصنع المحلي" sheetId="9" r:id="rId1"/>
    <sheet name="مستودع الوكيل أو ممثل الشركة" sheetId="10" r:id="rId2"/>
    <sheet name="المستورد" sheetId="11" r:id="rId3"/>
    <sheet name="  المستودع الموزع" sheetId="12" r:id="rId4"/>
    <sheet name="  منفذ البيع" sheetId="13"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12" l="1"/>
  <c r="L14" i="12"/>
  <c r="L15" i="12" s="1"/>
  <c r="H14" i="12"/>
  <c r="K14" i="12" s="1"/>
  <c r="K15" i="12" s="1"/>
  <c r="G14" i="12"/>
  <c r="G15" i="12" s="1"/>
  <c r="F14" i="12"/>
  <c r="F15" i="12" s="1"/>
  <c r="E14" i="12"/>
  <c r="E15" i="12" s="1"/>
  <c r="H18" i="12"/>
  <c r="D18" i="12"/>
  <c r="L17" i="12"/>
  <c r="M17" i="12" s="1"/>
  <c r="M18" i="12" s="1"/>
  <c r="H17" i="12"/>
  <c r="K17" i="12" s="1"/>
  <c r="K18" i="12" s="1"/>
  <c r="G17" i="12"/>
  <c r="G18" i="12" s="1"/>
  <c r="F17" i="12"/>
  <c r="F18" i="12" s="1"/>
  <c r="E17" i="12"/>
  <c r="E18" i="12" s="1"/>
  <c r="H15" i="12" l="1"/>
  <c r="N14" i="12"/>
  <c r="N15" i="12" s="1"/>
  <c r="O14" i="12"/>
  <c r="O15" i="12" s="1"/>
  <c r="M14" i="12"/>
  <c r="M15" i="12" s="1"/>
  <c r="I14" i="12"/>
  <c r="I15" i="12" s="1"/>
  <c r="J14" i="12"/>
  <c r="J15" i="12" s="1"/>
  <c r="N17" i="12"/>
  <c r="N18" i="12" s="1"/>
  <c r="O17" i="12"/>
  <c r="O18" i="12" s="1"/>
  <c r="L18" i="12"/>
  <c r="I17" i="12"/>
  <c r="I18" i="12" s="1"/>
  <c r="J17" i="12"/>
  <c r="J18" i="12" s="1"/>
  <c r="D18" i="10"/>
  <c r="L17" i="10"/>
  <c r="M17" i="10" s="1"/>
  <c r="M18" i="10" s="1"/>
  <c r="H17" i="10"/>
  <c r="K17" i="10" s="1"/>
  <c r="K18" i="10" s="1"/>
  <c r="G17" i="10"/>
  <c r="G18" i="10" s="1"/>
  <c r="F17" i="10"/>
  <c r="F18" i="10" s="1"/>
  <c r="E17" i="10"/>
  <c r="E18" i="10" s="1"/>
  <c r="D15" i="10"/>
  <c r="L14" i="10"/>
  <c r="O14" i="10" s="1"/>
  <c r="O15" i="10" s="1"/>
  <c r="H14" i="10"/>
  <c r="I14" i="10" s="1"/>
  <c r="I15" i="10" s="1"/>
  <c r="G14" i="10"/>
  <c r="G15" i="10" s="1"/>
  <c r="F14" i="10"/>
  <c r="F15" i="10" s="1"/>
  <c r="E14" i="10"/>
  <c r="E15" i="10" s="1"/>
  <c r="H16" i="9"/>
  <c r="L16" i="9"/>
  <c r="D12" i="9"/>
  <c r="L11" i="9"/>
  <c r="L12" i="9" s="1"/>
  <c r="J11" i="9"/>
  <c r="J12" i="9" s="1"/>
  <c r="H11" i="9"/>
  <c r="I11" i="9" s="1"/>
  <c r="I12" i="9" s="1"/>
  <c r="G11" i="9"/>
  <c r="G12" i="9" s="1"/>
  <c r="F11" i="9"/>
  <c r="F12" i="9" s="1"/>
  <c r="E11" i="9"/>
  <c r="E12" i="9" s="1"/>
  <c r="H12" i="9" l="1"/>
  <c r="K14" i="10"/>
  <c r="K15" i="10" s="1"/>
  <c r="N17" i="10"/>
  <c r="N18" i="10" s="1"/>
  <c r="O17" i="10"/>
  <c r="O18" i="10" s="1"/>
  <c r="H15" i="10"/>
  <c r="K11" i="9"/>
  <c r="K12" i="9" s="1"/>
  <c r="J14" i="10"/>
  <c r="J15" i="10" s="1"/>
  <c r="L18" i="10"/>
  <c r="H18" i="10"/>
  <c r="I17" i="10"/>
  <c r="I18" i="10" s="1"/>
  <c r="J17" i="10"/>
  <c r="J18" i="10" s="1"/>
  <c r="L15" i="10"/>
  <c r="M14" i="10"/>
  <c r="M15" i="10" s="1"/>
  <c r="N14" i="10"/>
  <c r="N15" i="10" s="1"/>
  <c r="M11" i="9"/>
  <c r="M12" i="9" s="1"/>
  <c r="N11" i="9"/>
  <c r="N12" i="9" s="1"/>
  <c r="O11" i="9"/>
  <c r="O12" i="9" s="1"/>
  <c r="D15" i="9"/>
  <c r="L14" i="9"/>
  <c r="L15" i="9" s="1"/>
  <c r="H14" i="9"/>
  <c r="I14" i="9" s="1"/>
  <c r="I15" i="9" s="1"/>
  <c r="G14" i="9"/>
  <c r="G15" i="9" s="1"/>
  <c r="F14" i="9"/>
  <c r="F15" i="9" s="1"/>
  <c r="E14" i="9"/>
  <c r="E15" i="9" s="1"/>
  <c r="L42" i="13"/>
  <c r="H42" i="13"/>
  <c r="L41" i="13"/>
  <c r="H41" i="13"/>
  <c r="L40" i="13"/>
  <c r="H40" i="13"/>
  <c r="L39" i="13"/>
  <c r="H39" i="13"/>
  <c r="L34" i="13"/>
  <c r="H34" i="13"/>
  <c r="E25" i="13"/>
  <c r="E26" i="13" s="1"/>
  <c r="F25" i="13"/>
  <c r="F26" i="13" s="1"/>
  <c r="G25" i="13"/>
  <c r="G26" i="13" s="1"/>
  <c r="D26" i="13"/>
  <c r="H25" i="13"/>
  <c r="I25" i="13" s="1"/>
  <c r="I26" i="13" s="1"/>
  <c r="L25" i="13"/>
  <c r="N25" i="13" s="1"/>
  <c r="N26" i="13" s="1"/>
  <c r="L23" i="13"/>
  <c r="H23" i="13"/>
  <c r="L20" i="13"/>
  <c r="H20" i="13"/>
  <c r="L14" i="13"/>
  <c r="H14" i="13"/>
  <c r="L13" i="13"/>
  <c r="H13" i="13"/>
  <c r="L12" i="13"/>
  <c r="H12" i="13"/>
  <c r="D10" i="13"/>
  <c r="L9" i="13"/>
  <c r="O9" i="13" s="1"/>
  <c r="O10" i="13" s="1"/>
  <c r="H9" i="13"/>
  <c r="K9" i="13" s="1"/>
  <c r="K10" i="13" s="1"/>
  <c r="G9" i="13"/>
  <c r="G10" i="13" s="1"/>
  <c r="F9" i="13"/>
  <c r="F10" i="13" s="1"/>
  <c r="E9" i="13"/>
  <c r="E10" i="13" s="1"/>
  <c r="L8" i="13"/>
  <c r="H8" i="13"/>
  <c r="L7" i="13"/>
  <c r="H7" i="13"/>
  <c r="L6" i="13"/>
  <c r="H6" i="13"/>
  <c r="H11" i="13"/>
  <c r="L11" i="13"/>
  <c r="L97" i="12"/>
  <c r="H97" i="12"/>
  <c r="L96" i="12"/>
  <c r="H96" i="12"/>
  <c r="L95" i="12"/>
  <c r="H95" i="12"/>
  <c r="L94" i="12"/>
  <c r="H94" i="12"/>
  <c r="L93" i="12"/>
  <c r="H93" i="12"/>
  <c r="L92" i="12"/>
  <c r="H92" i="12"/>
  <c r="L91" i="12"/>
  <c r="H91" i="12"/>
  <c r="L90" i="12"/>
  <c r="H90" i="12"/>
  <c r="L89" i="12"/>
  <c r="H89" i="12"/>
  <c r="L88" i="12"/>
  <c r="H88" i="12"/>
  <c r="L87" i="12"/>
  <c r="H87" i="12"/>
  <c r="L86" i="12"/>
  <c r="H86" i="12"/>
  <c r="L52" i="12"/>
  <c r="H52" i="12"/>
  <c r="L51" i="12"/>
  <c r="H51" i="12"/>
  <c r="D50" i="12"/>
  <c r="L49" i="12"/>
  <c r="N49" i="12" s="1"/>
  <c r="N50" i="12" s="1"/>
  <c r="H49" i="12"/>
  <c r="K49" i="12" s="1"/>
  <c r="K50" i="12" s="1"/>
  <c r="G49" i="12"/>
  <c r="G50" i="12" s="1"/>
  <c r="F49" i="12"/>
  <c r="F50" i="12" s="1"/>
  <c r="E49" i="12"/>
  <c r="E50" i="12" s="1"/>
  <c r="L48" i="12"/>
  <c r="H48" i="12"/>
  <c r="L83" i="12"/>
  <c r="H83" i="12"/>
  <c r="L82" i="12"/>
  <c r="H82" i="12"/>
  <c r="D81" i="12"/>
  <c r="L80" i="12"/>
  <c r="O80" i="12" s="1"/>
  <c r="O81" i="12" s="1"/>
  <c r="H80" i="12"/>
  <c r="H81" i="12" s="1"/>
  <c r="G80" i="12"/>
  <c r="G81" i="12" s="1"/>
  <c r="F80" i="12"/>
  <c r="F81" i="12" s="1"/>
  <c r="E80" i="12"/>
  <c r="E81" i="12" s="1"/>
  <c r="L79" i="12"/>
  <c r="H79" i="12"/>
  <c r="L78" i="12"/>
  <c r="H78" i="12"/>
  <c r="L77" i="12"/>
  <c r="H77" i="12"/>
  <c r="D76" i="12"/>
  <c r="L75" i="12"/>
  <c r="L76" i="12" s="1"/>
  <c r="H75" i="12"/>
  <c r="H76" i="12" s="1"/>
  <c r="G75" i="12"/>
  <c r="G76" i="12" s="1"/>
  <c r="F75" i="12"/>
  <c r="F76" i="12" s="1"/>
  <c r="E75" i="12"/>
  <c r="E76" i="12" s="1"/>
  <c r="D74" i="12"/>
  <c r="L73" i="12"/>
  <c r="L74" i="12" s="1"/>
  <c r="H73" i="12"/>
  <c r="K73" i="12" s="1"/>
  <c r="K74" i="12" s="1"/>
  <c r="G73" i="12"/>
  <c r="G74" i="12" s="1"/>
  <c r="F73" i="12"/>
  <c r="F74" i="12" s="1"/>
  <c r="E73" i="12"/>
  <c r="E74" i="12" s="1"/>
  <c r="L72" i="12"/>
  <c r="H72" i="12"/>
  <c r="L71" i="12"/>
  <c r="H71" i="12"/>
  <c r="L70" i="12"/>
  <c r="H70" i="12"/>
  <c r="L69" i="12"/>
  <c r="H69" i="12"/>
  <c r="L68" i="12"/>
  <c r="H68" i="12"/>
  <c r="D67" i="12"/>
  <c r="L66" i="12"/>
  <c r="L67" i="12" s="1"/>
  <c r="H66" i="12"/>
  <c r="J66" i="12" s="1"/>
  <c r="J67" i="12" s="1"/>
  <c r="G66" i="12"/>
  <c r="G67" i="12" s="1"/>
  <c r="F66" i="12"/>
  <c r="F67" i="12" s="1"/>
  <c r="E66" i="12"/>
  <c r="E67" i="12" s="1"/>
  <c r="D65" i="12"/>
  <c r="L64" i="12"/>
  <c r="L65" i="12" s="1"/>
  <c r="H64" i="12"/>
  <c r="I64" i="12" s="1"/>
  <c r="I65" i="12" s="1"/>
  <c r="G64" i="12"/>
  <c r="G65" i="12" s="1"/>
  <c r="F64" i="12"/>
  <c r="F65" i="12" s="1"/>
  <c r="E64" i="12"/>
  <c r="E65" i="12" s="1"/>
  <c r="L63" i="12"/>
  <c r="H63" i="12"/>
  <c r="L62" i="12"/>
  <c r="H62" i="12"/>
  <c r="L61" i="12"/>
  <c r="H61" i="12"/>
  <c r="L60" i="12"/>
  <c r="H60" i="12"/>
  <c r="L59" i="12"/>
  <c r="H59" i="12"/>
  <c r="L58" i="12"/>
  <c r="H58" i="12"/>
  <c r="L57" i="12"/>
  <c r="H57" i="12"/>
  <c r="L56" i="12"/>
  <c r="H56" i="12"/>
  <c r="L55" i="12"/>
  <c r="H55" i="12"/>
  <c r="L54" i="12"/>
  <c r="H54" i="12"/>
  <c r="L53" i="12"/>
  <c r="H53" i="12"/>
  <c r="L47" i="12"/>
  <c r="H47" i="12"/>
  <c r="L46" i="12"/>
  <c r="H46" i="12"/>
  <c r="L44" i="12"/>
  <c r="H44" i="12"/>
  <c r="D43" i="12"/>
  <c r="L42" i="12"/>
  <c r="O42" i="12" s="1"/>
  <c r="O43" i="12" s="1"/>
  <c r="H42" i="12"/>
  <c r="H43" i="12" s="1"/>
  <c r="G42" i="12"/>
  <c r="G43" i="12" s="1"/>
  <c r="F42" i="12"/>
  <c r="F43" i="12" s="1"/>
  <c r="E42" i="12"/>
  <c r="E43" i="12" s="1"/>
  <c r="L41" i="12"/>
  <c r="H41" i="12"/>
  <c r="L40" i="12"/>
  <c r="H40" i="12"/>
  <c r="L39" i="12"/>
  <c r="H39" i="12"/>
  <c r="D38" i="12"/>
  <c r="L37" i="12"/>
  <c r="L38" i="12" s="1"/>
  <c r="H37" i="12"/>
  <c r="H38" i="12" s="1"/>
  <c r="G37" i="12"/>
  <c r="G38" i="12" s="1"/>
  <c r="F37" i="12"/>
  <c r="F38" i="12" s="1"/>
  <c r="E37" i="12"/>
  <c r="E38" i="12" s="1"/>
  <c r="D36" i="12"/>
  <c r="L35" i="12"/>
  <c r="L36" i="12" s="1"/>
  <c r="H35" i="12"/>
  <c r="K35" i="12" s="1"/>
  <c r="K36" i="12" s="1"/>
  <c r="G35" i="12"/>
  <c r="G36" i="12" s="1"/>
  <c r="F35" i="12"/>
  <c r="F36" i="12" s="1"/>
  <c r="E35" i="12"/>
  <c r="E36" i="12" s="1"/>
  <c r="L34" i="12"/>
  <c r="H34" i="12"/>
  <c r="L33" i="12"/>
  <c r="H33" i="12"/>
  <c r="L32" i="12"/>
  <c r="H32" i="12"/>
  <c r="D31" i="12"/>
  <c r="L30" i="12"/>
  <c r="L31" i="12" s="1"/>
  <c r="H30" i="12"/>
  <c r="H31" i="12" s="1"/>
  <c r="G30" i="12"/>
  <c r="G31" i="12" s="1"/>
  <c r="F30" i="12"/>
  <c r="F31" i="12" s="1"/>
  <c r="E30" i="12"/>
  <c r="E31" i="12" s="1"/>
  <c r="L29" i="12"/>
  <c r="H29" i="12"/>
  <c r="L28" i="12"/>
  <c r="H28" i="12"/>
  <c r="D27" i="12"/>
  <c r="L26" i="12"/>
  <c r="L27" i="12" s="1"/>
  <c r="H26" i="12"/>
  <c r="K26" i="12" s="1"/>
  <c r="K27" i="12" s="1"/>
  <c r="G26" i="12"/>
  <c r="G27" i="12" s="1"/>
  <c r="F26" i="12"/>
  <c r="F27" i="12" s="1"/>
  <c r="E26" i="12"/>
  <c r="E27" i="12" s="1"/>
  <c r="D25" i="12"/>
  <c r="L24" i="12"/>
  <c r="L25" i="12" s="1"/>
  <c r="H24" i="12"/>
  <c r="J24" i="12" s="1"/>
  <c r="J25" i="12" s="1"/>
  <c r="G24" i="12"/>
  <c r="G25" i="12" s="1"/>
  <c r="F24" i="12"/>
  <c r="F25" i="12" s="1"/>
  <c r="E24" i="12"/>
  <c r="E25" i="12" s="1"/>
  <c r="D23" i="12"/>
  <c r="L22" i="12"/>
  <c r="L23" i="12" s="1"/>
  <c r="H22" i="12"/>
  <c r="I22" i="12" s="1"/>
  <c r="I23" i="12" s="1"/>
  <c r="G22" i="12"/>
  <c r="G23" i="12" s="1"/>
  <c r="F22" i="12"/>
  <c r="F23" i="12" s="1"/>
  <c r="E22" i="12"/>
  <c r="E23" i="12" s="1"/>
  <c r="D20" i="12"/>
  <c r="L19" i="12"/>
  <c r="L20" i="12" s="1"/>
  <c r="H19" i="12"/>
  <c r="H20" i="12" s="1"/>
  <c r="G19" i="12"/>
  <c r="G20" i="12" s="1"/>
  <c r="F19" i="12"/>
  <c r="F20" i="12" s="1"/>
  <c r="E19" i="12"/>
  <c r="E20" i="12" s="1"/>
  <c r="L16" i="12"/>
  <c r="H16" i="12"/>
  <c r="L13" i="12"/>
  <c r="H13" i="12"/>
  <c r="L12" i="12"/>
  <c r="H12" i="12"/>
  <c r="L11" i="12"/>
  <c r="H11" i="12"/>
  <c r="D10" i="12"/>
  <c r="L9" i="12"/>
  <c r="L10" i="12" s="1"/>
  <c r="H9" i="12"/>
  <c r="K9" i="12" s="1"/>
  <c r="K10" i="12" s="1"/>
  <c r="G9" i="12"/>
  <c r="G10" i="12" s="1"/>
  <c r="F9" i="12"/>
  <c r="F10" i="12" s="1"/>
  <c r="E9" i="12"/>
  <c r="E10" i="12" s="1"/>
  <c r="L42" i="11"/>
  <c r="H42" i="11"/>
  <c r="L41" i="11"/>
  <c r="H41" i="11"/>
  <c r="L40" i="11"/>
  <c r="H40" i="11"/>
  <c r="L39" i="11"/>
  <c r="H39" i="11"/>
  <c r="L38" i="11"/>
  <c r="H38" i="11"/>
  <c r="L37" i="11"/>
  <c r="H37" i="11"/>
  <c r="L36" i="11"/>
  <c r="H36" i="11"/>
  <c r="L35" i="11"/>
  <c r="H35" i="11"/>
  <c r="L34" i="11"/>
  <c r="H34" i="11"/>
  <c r="L33" i="11"/>
  <c r="H33" i="11"/>
  <c r="L32" i="11"/>
  <c r="H32" i="11"/>
  <c r="L29" i="11"/>
  <c r="H29" i="11"/>
  <c r="L28" i="11"/>
  <c r="H28" i="11"/>
  <c r="L27" i="11"/>
  <c r="H27" i="11"/>
  <c r="D26" i="11"/>
  <c r="L25" i="11"/>
  <c r="L26" i="11" s="1"/>
  <c r="H25" i="11"/>
  <c r="H26" i="11" s="1"/>
  <c r="G25" i="11"/>
  <c r="G26" i="11" s="1"/>
  <c r="F25" i="11"/>
  <c r="F26" i="11" s="1"/>
  <c r="E25" i="11"/>
  <c r="E26" i="11" s="1"/>
  <c r="L24" i="11"/>
  <c r="H24" i="11"/>
  <c r="L23" i="11"/>
  <c r="H23" i="11"/>
  <c r="L22" i="11"/>
  <c r="H22" i="11"/>
  <c r="L21" i="11"/>
  <c r="H21" i="11"/>
  <c r="L20" i="11"/>
  <c r="H20" i="11"/>
  <c r="L19" i="11"/>
  <c r="H19" i="11"/>
  <c r="L18" i="11"/>
  <c r="H18" i="11"/>
  <c r="L17" i="11"/>
  <c r="H17" i="11"/>
  <c r="L16" i="11"/>
  <c r="H16" i="11"/>
  <c r="L15" i="11"/>
  <c r="H15" i="11"/>
  <c r="L14" i="11"/>
  <c r="H14" i="11"/>
  <c r="L12" i="11"/>
  <c r="H12" i="11"/>
  <c r="D11" i="11"/>
  <c r="L10" i="11"/>
  <c r="L11" i="11" s="1"/>
  <c r="H10" i="11"/>
  <c r="H11" i="11" s="1"/>
  <c r="G10" i="11"/>
  <c r="G11" i="11" s="1"/>
  <c r="F10" i="11"/>
  <c r="F11" i="11" s="1"/>
  <c r="E10" i="11"/>
  <c r="E11" i="11" s="1"/>
  <c r="L115" i="10"/>
  <c r="H115" i="10"/>
  <c r="L114" i="10"/>
  <c r="H114" i="10"/>
  <c r="L113" i="10"/>
  <c r="H113" i="10"/>
  <c r="L112" i="10"/>
  <c r="H112" i="10"/>
  <c r="L111" i="10"/>
  <c r="H111" i="10"/>
  <c r="L100" i="10"/>
  <c r="H100" i="10"/>
  <c r="L101" i="10"/>
  <c r="H101" i="10"/>
  <c r="D99" i="10"/>
  <c r="L98" i="10"/>
  <c r="L99" i="10" s="1"/>
  <c r="H98" i="10"/>
  <c r="H99" i="10" s="1"/>
  <c r="G98" i="10"/>
  <c r="G99" i="10" s="1"/>
  <c r="F98" i="10"/>
  <c r="F99" i="10" s="1"/>
  <c r="E98" i="10"/>
  <c r="E99" i="10" s="1"/>
  <c r="L97" i="10"/>
  <c r="H97" i="10"/>
  <c r="L96" i="10"/>
  <c r="H96" i="10"/>
  <c r="H90" i="10"/>
  <c r="L90" i="10"/>
  <c r="D92" i="10"/>
  <c r="L91" i="10"/>
  <c r="O91" i="10" s="1"/>
  <c r="O92" i="10" s="1"/>
  <c r="H91" i="10"/>
  <c r="I91" i="10" s="1"/>
  <c r="I92" i="10" s="1"/>
  <c r="G91" i="10"/>
  <c r="G92" i="10" s="1"/>
  <c r="F91" i="10"/>
  <c r="F92" i="10" s="1"/>
  <c r="E91" i="10"/>
  <c r="E92" i="10" s="1"/>
  <c r="L89" i="10"/>
  <c r="H89" i="10"/>
  <c r="L88" i="10"/>
  <c r="H88" i="10"/>
  <c r="L87" i="10"/>
  <c r="H87" i="10"/>
  <c r="L86" i="10"/>
  <c r="H86" i="10"/>
  <c r="L85" i="10"/>
  <c r="H85" i="10"/>
  <c r="L66" i="10"/>
  <c r="H66" i="10"/>
  <c r="H67" i="10"/>
  <c r="L67" i="10"/>
  <c r="L65" i="10"/>
  <c r="H65" i="10"/>
  <c r="L64" i="10"/>
  <c r="H64" i="10"/>
  <c r="L62" i="10"/>
  <c r="H62" i="10"/>
  <c r="L52" i="10"/>
  <c r="H52" i="10"/>
  <c r="L13" i="10"/>
  <c r="H13" i="10"/>
  <c r="D28" i="10"/>
  <c r="L27" i="10"/>
  <c r="O27" i="10" s="1"/>
  <c r="O28" i="10" s="1"/>
  <c r="H27" i="10"/>
  <c r="I27" i="10" s="1"/>
  <c r="I28" i="10" s="1"/>
  <c r="G27" i="10"/>
  <c r="G28" i="10" s="1"/>
  <c r="F27" i="10"/>
  <c r="F28" i="10" s="1"/>
  <c r="E27" i="10"/>
  <c r="E28" i="10" s="1"/>
  <c r="L26" i="10"/>
  <c r="H26" i="10"/>
  <c r="L11" i="10"/>
  <c r="H11" i="10"/>
  <c r="H86" i="9"/>
  <c r="L86" i="9"/>
  <c r="H85" i="9"/>
  <c r="L85" i="9"/>
  <c r="L80" i="9"/>
  <c r="H80" i="9"/>
  <c r="L74" i="9"/>
  <c r="H74" i="9"/>
  <c r="D73" i="9"/>
  <c r="L72" i="9"/>
  <c r="O72" i="9" s="1"/>
  <c r="O73" i="9" s="1"/>
  <c r="H72" i="9"/>
  <c r="I72" i="9" s="1"/>
  <c r="I73" i="9" s="1"/>
  <c r="G72" i="9"/>
  <c r="G73" i="9" s="1"/>
  <c r="F72" i="9"/>
  <c r="F73" i="9" s="1"/>
  <c r="E72" i="9"/>
  <c r="E73" i="9" s="1"/>
  <c r="H71" i="9"/>
  <c r="L71" i="9"/>
  <c r="H64" i="9"/>
  <c r="L64" i="9"/>
  <c r="L63" i="9"/>
  <c r="H63" i="9"/>
  <c r="L62" i="9"/>
  <c r="H62" i="9"/>
  <c r="L61" i="9"/>
  <c r="H61" i="9"/>
  <c r="L60" i="9"/>
  <c r="H60" i="9"/>
  <c r="L59" i="9"/>
  <c r="H59" i="9"/>
  <c r="L58" i="9"/>
  <c r="H58" i="9"/>
  <c r="L57" i="9"/>
  <c r="H57" i="9"/>
  <c r="L46" i="9"/>
  <c r="H46" i="9"/>
  <c r="H43" i="9"/>
  <c r="L43" i="9"/>
  <c r="H42" i="9"/>
  <c r="L42" i="9"/>
  <c r="H41" i="9"/>
  <c r="L41" i="9"/>
  <c r="L40" i="9"/>
  <c r="H40" i="9"/>
  <c r="D38" i="9"/>
  <c r="L37" i="9"/>
  <c r="M37" i="9" s="1"/>
  <c r="M38" i="9" s="1"/>
  <c r="H37" i="9"/>
  <c r="K37" i="9" s="1"/>
  <c r="K38" i="9" s="1"/>
  <c r="G37" i="9"/>
  <c r="G38" i="9" s="1"/>
  <c r="F37" i="9"/>
  <c r="F38" i="9" s="1"/>
  <c r="E37" i="9"/>
  <c r="E38" i="9" s="1"/>
  <c r="L35" i="9"/>
  <c r="H35" i="9"/>
  <c r="L34" i="9"/>
  <c r="H34" i="9"/>
  <c r="L33" i="9"/>
  <c r="H33" i="9"/>
  <c r="L32" i="9"/>
  <c r="H32" i="9"/>
  <c r="L31" i="9"/>
  <c r="H31" i="9"/>
  <c r="L30" i="9"/>
  <c r="H30" i="9"/>
  <c r="D27" i="9"/>
  <c r="L26" i="9"/>
  <c r="O26" i="9" s="1"/>
  <c r="O27" i="9" s="1"/>
  <c r="H26" i="9"/>
  <c r="I26" i="9" s="1"/>
  <c r="I27" i="9" s="1"/>
  <c r="G26" i="9"/>
  <c r="G27" i="9" s="1"/>
  <c r="F26" i="9"/>
  <c r="F27" i="9" s="1"/>
  <c r="E26" i="9"/>
  <c r="E27" i="9" s="1"/>
  <c r="L25" i="9"/>
  <c r="H25" i="9"/>
  <c r="M30" i="12" l="1"/>
  <c r="M31" i="12" s="1"/>
  <c r="M25" i="13"/>
  <c r="M26" i="13" s="1"/>
  <c r="J14" i="9"/>
  <c r="J15" i="9" s="1"/>
  <c r="K14" i="9"/>
  <c r="K15" i="9" s="1"/>
  <c r="H15" i="9"/>
  <c r="M14" i="9"/>
  <c r="M15" i="9" s="1"/>
  <c r="N14" i="9"/>
  <c r="N15" i="9" s="1"/>
  <c r="O14" i="9"/>
  <c r="O15" i="9" s="1"/>
  <c r="H26" i="13"/>
  <c r="K25" i="13"/>
  <c r="K26" i="13" s="1"/>
  <c r="J25" i="13"/>
  <c r="J26" i="13" s="1"/>
  <c r="L26" i="13"/>
  <c r="O25" i="13"/>
  <c r="O26" i="13" s="1"/>
  <c r="N9" i="13"/>
  <c r="N10" i="13" s="1"/>
  <c r="L10" i="13"/>
  <c r="M9" i="13"/>
  <c r="M10" i="13" s="1"/>
  <c r="H10" i="13"/>
  <c r="I9" i="13"/>
  <c r="I10" i="13" s="1"/>
  <c r="J9" i="13"/>
  <c r="J10" i="13" s="1"/>
  <c r="M37" i="12"/>
  <c r="M38" i="12" s="1"/>
  <c r="H36" i="12"/>
  <c r="H50" i="12"/>
  <c r="M49" i="12"/>
  <c r="M50" i="12" s="1"/>
  <c r="O49" i="12"/>
  <c r="O50" i="12" s="1"/>
  <c r="L50" i="12"/>
  <c r="I49" i="12"/>
  <c r="I50" i="12" s="1"/>
  <c r="J49" i="12"/>
  <c r="J50" i="12" s="1"/>
  <c r="N22" i="12"/>
  <c r="N23" i="12" s="1"/>
  <c r="K24" i="12"/>
  <c r="K25" i="12" s="1"/>
  <c r="M66" i="12"/>
  <c r="M67" i="12" s="1"/>
  <c r="I75" i="12"/>
  <c r="I76" i="12" s="1"/>
  <c r="O24" i="12"/>
  <c r="O25" i="12" s="1"/>
  <c r="M75" i="12"/>
  <c r="M76" i="12" s="1"/>
  <c r="L81" i="12"/>
  <c r="O66" i="12"/>
  <c r="O67" i="12" s="1"/>
  <c r="L43" i="12"/>
  <c r="H74" i="12"/>
  <c r="O75" i="12"/>
  <c r="O76" i="12" s="1"/>
  <c r="H27" i="12"/>
  <c r="J64" i="12"/>
  <c r="J65" i="12" s="1"/>
  <c r="J22" i="12"/>
  <c r="J23" i="12" s="1"/>
  <c r="I30" i="12"/>
  <c r="I31" i="12" s="1"/>
  <c r="I19" i="12"/>
  <c r="I20" i="12" s="1"/>
  <c r="K22" i="12"/>
  <c r="K23" i="12" s="1"/>
  <c r="N64" i="12"/>
  <c r="N65" i="12" s="1"/>
  <c r="K66" i="12"/>
  <c r="K67" i="12" s="1"/>
  <c r="H25" i="12"/>
  <c r="M26" i="12"/>
  <c r="M27" i="12" s="1"/>
  <c r="J30" i="12"/>
  <c r="J31" i="12" s="1"/>
  <c r="M35" i="12"/>
  <c r="M36" i="12" s="1"/>
  <c r="N37" i="12"/>
  <c r="N38" i="12" s="1"/>
  <c r="I42" i="12"/>
  <c r="I43" i="12" s="1"/>
  <c r="K64" i="12"/>
  <c r="K65" i="12" s="1"/>
  <c r="H67" i="12"/>
  <c r="M73" i="12"/>
  <c r="M74" i="12" s="1"/>
  <c r="N75" i="12"/>
  <c r="N76" i="12" s="1"/>
  <c r="I80" i="12"/>
  <c r="I81" i="12" s="1"/>
  <c r="H23" i="12"/>
  <c r="M24" i="12"/>
  <c r="M25" i="12" s="1"/>
  <c r="N26" i="12"/>
  <c r="N27" i="12" s="1"/>
  <c r="K30" i="12"/>
  <c r="K31" i="12" s="1"/>
  <c r="N35" i="12"/>
  <c r="N36" i="12" s="1"/>
  <c r="O37" i="12"/>
  <c r="O38" i="12" s="1"/>
  <c r="J42" i="12"/>
  <c r="J43" i="12" s="1"/>
  <c r="H65" i="12"/>
  <c r="N73" i="12"/>
  <c r="N74" i="12" s="1"/>
  <c r="J80" i="12"/>
  <c r="J81" i="12" s="1"/>
  <c r="M22" i="12"/>
  <c r="M23" i="12" s="1"/>
  <c r="N24" i="12"/>
  <c r="N25" i="12" s="1"/>
  <c r="O26" i="12"/>
  <c r="O27" i="12" s="1"/>
  <c r="O35" i="12"/>
  <c r="O36" i="12" s="1"/>
  <c r="K42" i="12"/>
  <c r="K43" i="12" s="1"/>
  <c r="M64" i="12"/>
  <c r="M65" i="12" s="1"/>
  <c r="N66" i="12"/>
  <c r="N67" i="12" s="1"/>
  <c r="O73" i="12"/>
  <c r="O74" i="12" s="1"/>
  <c r="K80" i="12"/>
  <c r="K81" i="12" s="1"/>
  <c r="I37" i="12"/>
  <c r="I38" i="12" s="1"/>
  <c r="O22" i="12"/>
  <c r="O23" i="12" s="1"/>
  <c r="I26" i="12"/>
  <c r="I27" i="12" s="1"/>
  <c r="N30" i="12"/>
  <c r="N31" i="12" s="1"/>
  <c r="I35" i="12"/>
  <c r="I36" i="12" s="1"/>
  <c r="J37" i="12"/>
  <c r="J38" i="12" s="1"/>
  <c r="M42" i="12"/>
  <c r="M43" i="12" s="1"/>
  <c r="O64" i="12"/>
  <c r="O65" i="12" s="1"/>
  <c r="I73" i="12"/>
  <c r="I74" i="12" s="1"/>
  <c r="J75" i="12"/>
  <c r="J76" i="12" s="1"/>
  <c r="M80" i="12"/>
  <c r="M81" i="12" s="1"/>
  <c r="I24" i="12"/>
  <c r="I25" i="12" s="1"/>
  <c r="J26" i="12"/>
  <c r="J27" i="12" s="1"/>
  <c r="O30" i="12"/>
  <c r="O31" i="12" s="1"/>
  <c r="J35" i="12"/>
  <c r="J36" i="12" s="1"/>
  <c r="K37" i="12"/>
  <c r="K38" i="12" s="1"/>
  <c r="N42" i="12"/>
  <c r="N43" i="12" s="1"/>
  <c r="I66" i="12"/>
  <c r="I67" i="12" s="1"/>
  <c r="J73" i="12"/>
  <c r="J74" i="12" s="1"/>
  <c r="K75" i="12"/>
  <c r="K76" i="12" s="1"/>
  <c r="N80" i="12"/>
  <c r="N81" i="12" s="1"/>
  <c r="J19" i="12"/>
  <c r="J20" i="12" s="1"/>
  <c r="K19" i="12"/>
  <c r="K20" i="12" s="1"/>
  <c r="M19" i="12"/>
  <c r="M20" i="12" s="1"/>
  <c r="N19" i="12"/>
  <c r="N20" i="12" s="1"/>
  <c r="O19" i="12"/>
  <c r="O20" i="12" s="1"/>
  <c r="H10" i="12"/>
  <c r="M9" i="12"/>
  <c r="M10" i="12" s="1"/>
  <c r="N9" i="12"/>
  <c r="N10" i="12" s="1"/>
  <c r="O9" i="12"/>
  <c r="O10" i="12" s="1"/>
  <c r="I9" i="12"/>
  <c r="I10" i="12" s="1"/>
  <c r="J9" i="12"/>
  <c r="J10" i="12" s="1"/>
  <c r="I10" i="11"/>
  <c r="I11" i="11" s="1"/>
  <c r="J10" i="11"/>
  <c r="J11" i="11" s="1"/>
  <c r="K10" i="11"/>
  <c r="K11" i="11" s="1"/>
  <c r="I25" i="11"/>
  <c r="I26" i="11" s="1"/>
  <c r="J25" i="11"/>
  <c r="J26" i="11" s="1"/>
  <c r="K25" i="11"/>
  <c r="K26" i="11" s="1"/>
  <c r="M25" i="11"/>
  <c r="M26" i="11" s="1"/>
  <c r="N25" i="11"/>
  <c r="N26" i="11" s="1"/>
  <c r="O25" i="11"/>
  <c r="O26" i="11" s="1"/>
  <c r="M10" i="11"/>
  <c r="M11" i="11" s="1"/>
  <c r="N10" i="11"/>
  <c r="N11" i="11" s="1"/>
  <c r="O10" i="11"/>
  <c r="O11" i="11" s="1"/>
  <c r="N98" i="10"/>
  <c r="N99" i="10" s="1"/>
  <c r="M98" i="10"/>
  <c r="M99" i="10" s="1"/>
  <c r="O98" i="10"/>
  <c r="O99" i="10" s="1"/>
  <c r="I98" i="10"/>
  <c r="I99" i="10" s="1"/>
  <c r="J98" i="10"/>
  <c r="J99" i="10" s="1"/>
  <c r="K98" i="10"/>
  <c r="K99" i="10" s="1"/>
  <c r="J91" i="10"/>
  <c r="J92" i="10" s="1"/>
  <c r="K91" i="10"/>
  <c r="K92" i="10" s="1"/>
  <c r="N91" i="10"/>
  <c r="N92" i="10" s="1"/>
  <c r="H92" i="10"/>
  <c r="M91" i="10"/>
  <c r="M92" i="10" s="1"/>
  <c r="L92" i="10"/>
  <c r="N27" i="10"/>
  <c r="N28" i="10" s="1"/>
  <c r="J27" i="10"/>
  <c r="J28" i="10" s="1"/>
  <c r="K27" i="10"/>
  <c r="K28" i="10" s="1"/>
  <c r="H28" i="10"/>
  <c r="M27" i="10"/>
  <c r="M28" i="10" s="1"/>
  <c r="L28" i="10"/>
  <c r="N72" i="9"/>
  <c r="N73" i="9" s="1"/>
  <c r="J72" i="9"/>
  <c r="J73" i="9" s="1"/>
  <c r="K72" i="9"/>
  <c r="K73" i="9" s="1"/>
  <c r="H73" i="9"/>
  <c r="M72" i="9"/>
  <c r="M73" i="9" s="1"/>
  <c r="L73" i="9"/>
  <c r="H38" i="9"/>
  <c r="N37" i="9"/>
  <c r="N38" i="9" s="1"/>
  <c r="L38" i="9"/>
  <c r="I37" i="9"/>
  <c r="I38" i="9" s="1"/>
  <c r="O37" i="9"/>
  <c r="O38" i="9" s="1"/>
  <c r="J37" i="9"/>
  <c r="J38" i="9" s="1"/>
  <c r="H27" i="9"/>
  <c r="J26" i="9"/>
  <c r="J27" i="9" s="1"/>
  <c r="K26" i="9"/>
  <c r="K27" i="9" s="1"/>
  <c r="M26" i="9"/>
  <c r="M27" i="9" s="1"/>
  <c r="L27" i="9"/>
  <c r="N26" i="9"/>
  <c r="N27" i="9" s="1"/>
  <c r="L110" i="10"/>
  <c r="H110" i="10"/>
  <c r="L109" i="10"/>
  <c r="H109" i="10"/>
  <c r="L108" i="10"/>
  <c r="H108" i="10"/>
  <c r="L107" i="10"/>
  <c r="H107" i="10"/>
  <c r="L81" i="9"/>
  <c r="H81" i="9"/>
  <c r="H82" i="9"/>
  <c r="L82" i="9"/>
  <c r="H84" i="9" l="1"/>
  <c r="L84" i="9"/>
  <c r="H83" i="9"/>
  <c r="L83" i="9"/>
  <c r="L75" i="10" l="1"/>
  <c r="M75" i="10" s="1"/>
  <c r="M76" i="10" s="1"/>
  <c r="H75" i="10"/>
  <c r="K75" i="10" s="1"/>
  <c r="K76" i="10" s="1"/>
  <c r="N75" i="10" l="1"/>
  <c r="N76" i="10" s="1"/>
  <c r="O75" i="10"/>
  <c r="O76" i="10" s="1"/>
  <c r="H76" i="10"/>
  <c r="I75" i="10"/>
  <c r="I76" i="10" s="1"/>
  <c r="J75" i="10"/>
  <c r="J76" i="10" s="1"/>
  <c r="L76" i="10"/>
  <c r="L27" i="13"/>
  <c r="H27" i="13"/>
  <c r="L7" i="12"/>
  <c r="H7" i="12"/>
  <c r="L8" i="11"/>
  <c r="H8" i="11"/>
  <c r="L93" i="10"/>
  <c r="H93" i="10"/>
  <c r="L77" i="10"/>
  <c r="H77" i="10"/>
  <c r="L60" i="10"/>
  <c r="H60" i="10"/>
  <c r="L50" i="10"/>
  <c r="H50" i="10"/>
  <c r="L45" i="10"/>
  <c r="H45" i="10"/>
  <c r="L43" i="10"/>
  <c r="H43" i="10"/>
  <c r="L38" i="10"/>
  <c r="H38" i="10"/>
  <c r="L34" i="10"/>
  <c r="H34" i="10"/>
  <c r="L32" i="10"/>
  <c r="H32" i="10"/>
  <c r="L30" i="10"/>
  <c r="H30" i="10"/>
  <c r="L21" i="10"/>
  <c r="H21" i="10"/>
  <c r="L9" i="10"/>
  <c r="H9" i="10"/>
  <c r="L7" i="10"/>
  <c r="H7" i="10"/>
  <c r="L67" i="9"/>
  <c r="H67" i="9"/>
  <c r="L20" i="9"/>
  <c r="H20" i="9"/>
  <c r="L7" i="9"/>
  <c r="H7" i="9"/>
  <c r="L52" i="9"/>
  <c r="H52" i="9"/>
  <c r="L54" i="9"/>
  <c r="H54" i="9"/>
  <c r="D8" i="9"/>
  <c r="L38" i="13" l="1"/>
  <c r="H38" i="13"/>
  <c r="L37" i="13"/>
  <c r="H37" i="13"/>
  <c r="L33" i="13"/>
  <c r="H33" i="13"/>
  <c r="L32" i="13"/>
  <c r="H32" i="13"/>
  <c r="L31" i="13"/>
  <c r="H31" i="13"/>
  <c r="L30" i="13"/>
  <c r="H30" i="13"/>
  <c r="L29" i="13"/>
  <c r="H29" i="13"/>
  <c r="L22" i="13"/>
  <c r="H22" i="13"/>
  <c r="L21" i="13"/>
  <c r="H21" i="13"/>
  <c r="L19" i="13"/>
  <c r="H19" i="13"/>
  <c r="L18" i="13"/>
  <c r="H18" i="13"/>
  <c r="L17" i="13"/>
  <c r="H17" i="13"/>
  <c r="L16" i="13"/>
  <c r="H16" i="13"/>
  <c r="L15" i="13"/>
  <c r="H15" i="13"/>
  <c r="L6" i="12"/>
  <c r="H6" i="12"/>
  <c r="L13" i="11"/>
  <c r="H13" i="11"/>
  <c r="L7" i="11"/>
  <c r="H7" i="11"/>
  <c r="L6" i="11"/>
  <c r="H6" i="11"/>
  <c r="I8" i="11"/>
  <c r="I9" i="11" s="1"/>
  <c r="J8" i="11"/>
  <c r="J9" i="11" s="1"/>
  <c r="K8" i="11"/>
  <c r="K9" i="11" s="1"/>
  <c r="M8" i="11"/>
  <c r="M9" i="11" s="1"/>
  <c r="N8" i="11"/>
  <c r="N9" i="11" s="1"/>
  <c r="O8" i="11"/>
  <c r="O9" i="11" s="1"/>
  <c r="H9" i="11"/>
  <c r="L9" i="11"/>
  <c r="L106" i="10"/>
  <c r="H106" i="10"/>
  <c r="L105" i="10"/>
  <c r="H105" i="10"/>
  <c r="L104" i="10"/>
  <c r="H104" i="10"/>
  <c r="L95" i="10"/>
  <c r="H95" i="10"/>
  <c r="L84" i="10"/>
  <c r="H84" i="10"/>
  <c r="L83" i="10"/>
  <c r="H83" i="10"/>
  <c r="L82" i="10"/>
  <c r="H82" i="10"/>
  <c r="L81" i="10"/>
  <c r="H81" i="10"/>
  <c r="L80" i="10"/>
  <c r="H80" i="10"/>
  <c r="L79" i="10"/>
  <c r="H79" i="10"/>
  <c r="L74" i="10"/>
  <c r="H74" i="10"/>
  <c r="L73" i="10"/>
  <c r="H73" i="10"/>
  <c r="L72" i="10"/>
  <c r="H72" i="10"/>
  <c r="L71" i="10"/>
  <c r="H71" i="10"/>
  <c r="L70" i="10"/>
  <c r="H70" i="10"/>
  <c r="L69" i="10"/>
  <c r="H69" i="10"/>
  <c r="L68" i="10"/>
  <c r="H68" i="10"/>
  <c r="L63" i="10"/>
  <c r="H63" i="10"/>
  <c r="L59" i="10"/>
  <c r="H59" i="10"/>
  <c r="L58" i="10"/>
  <c r="H58" i="10"/>
  <c r="L57" i="10"/>
  <c r="H57" i="10"/>
  <c r="L56" i="10"/>
  <c r="H56" i="10"/>
  <c r="L55" i="10"/>
  <c r="H55" i="10"/>
  <c r="L54" i="10"/>
  <c r="H54" i="10"/>
  <c r="L49" i="10"/>
  <c r="H49" i="10"/>
  <c r="L48" i="10"/>
  <c r="H48" i="10"/>
  <c r="L47" i="10"/>
  <c r="H47" i="10"/>
  <c r="L42" i="10"/>
  <c r="H42" i="10"/>
  <c r="L41" i="10"/>
  <c r="H41" i="10"/>
  <c r="L40" i="10"/>
  <c r="H40" i="10"/>
  <c r="L37" i="10"/>
  <c r="H37" i="10"/>
  <c r="L36" i="10"/>
  <c r="H36" i="10"/>
  <c r="L25" i="10"/>
  <c r="H25" i="10"/>
  <c r="L24" i="10"/>
  <c r="H24" i="10"/>
  <c r="L23" i="10"/>
  <c r="H23" i="10"/>
  <c r="L20" i="10"/>
  <c r="H20" i="10"/>
  <c r="L19" i="10"/>
  <c r="H19" i="10"/>
  <c r="L16" i="10"/>
  <c r="H16" i="10"/>
  <c r="L12" i="10"/>
  <c r="H12" i="10"/>
  <c r="L6" i="10"/>
  <c r="H6" i="10"/>
  <c r="L89" i="9"/>
  <c r="H89" i="9"/>
  <c r="L88" i="9"/>
  <c r="H88" i="9"/>
  <c r="L87" i="9"/>
  <c r="H87" i="9"/>
  <c r="L79" i="9"/>
  <c r="H79" i="9"/>
  <c r="L78" i="9"/>
  <c r="H78" i="9"/>
  <c r="L77" i="9"/>
  <c r="H77" i="9"/>
  <c r="L70" i="9"/>
  <c r="H70" i="9"/>
  <c r="L69" i="9"/>
  <c r="H69" i="9"/>
  <c r="L66" i="9"/>
  <c r="H66" i="9"/>
  <c r="L65" i="9"/>
  <c r="H65" i="9"/>
  <c r="L56" i="9"/>
  <c r="H56" i="9"/>
  <c r="L51" i="9"/>
  <c r="H51" i="9"/>
  <c r="L50" i="9"/>
  <c r="H50" i="9"/>
  <c r="L49" i="9"/>
  <c r="H49" i="9"/>
  <c r="L48" i="9"/>
  <c r="H48" i="9"/>
  <c r="L47" i="9"/>
  <c r="H47" i="9"/>
  <c r="L45" i="9"/>
  <c r="H45" i="9"/>
  <c r="L44" i="9"/>
  <c r="H44" i="9"/>
  <c r="L36" i="9"/>
  <c r="H36" i="9"/>
  <c r="L29" i="9"/>
  <c r="H29" i="9"/>
  <c r="L24" i="9"/>
  <c r="H24" i="9"/>
  <c r="L23" i="9"/>
  <c r="H23" i="9"/>
  <c r="L22" i="9"/>
  <c r="H22" i="9"/>
  <c r="L19" i="9"/>
  <c r="H19" i="9"/>
  <c r="L18" i="9"/>
  <c r="H18" i="9"/>
  <c r="L17" i="9"/>
  <c r="H17" i="9"/>
  <c r="L13" i="9"/>
  <c r="H13" i="9"/>
  <c r="L10" i="9"/>
  <c r="H10" i="9"/>
  <c r="L9" i="9"/>
  <c r="H9" i="9"/>
  <c r="L6" i="9"/>
  <c r="H6" i="9"/>
  <c r="I7" i="9"/>
  <c r="I8" i="9" s="1"/>
  <c r="J7" i="9"/>
  <c r="J8" i="9" s="1"/>
  <c r="K7" i="9"/>
  <c r="K8" i="9" s="1"/>
  <c r="M7" i="9"/>
  <c r="M8" i="9" s="1"/>
  <c r="N7" i="9"/>
  <c r="N8" i="9" s="1"/>
  <c r="O7" i="9"/>
  <c r="O8" i="9" s="1"/>
  <c r="H8" i="9"/>
  <c r="L8" i="9"/>
  <c r="E8" i="11"/>
  <c r="E9" i="11" s="1"/>
  <c r="F8" i="11"/>
  <c r="F9" i="11" s="1"/>
  <c r="G8" i="11"/>
  <c r="G9" i="11" s="1"/>
  <c r="D9" i="11"/>
  <c r="D94" i="10" l="1"/>
  <c r="L94" i="10"/>
  <c r="J93" i="10"/>
  <c r="J94" i="10" s="1"/>
  <c r="G93" i="10"/>
  <c r="G94" i="10" s="1"/>
  <c r="F93" i="10"/>
  <c r="F94" i="10" s="1"/>
  <c r="E93" i="10"/>
  <c r="E94" i="10" s="1"/>
  <c r="H94" i="10" l="1"/>
  <c r="K93" i="10"/>
  <c r="K94" i="10" s="1"/>
  <c r="N93" i="10"/>
  <c r="N94" i="10" s="1"/>
  <c r="O93" i="10"/>
  <c r="O94" i="10" s="1"/>
  <c r="M93" i="10"/>
  <c r="M94" i="10" s="1"/>
  <c r="I93" i="10"/>
  <c r="I94" i="10" s="1"/>
  <c r="D28" i="13"/>
  <c r="L28" i="13"/>
  <c r="I27" i="13"/>
  <c r="I28" i="13" s="1"/>
  <c r="G27" i="13"/>
  <c r="G28" i="13" s="1"/>
  <c r="F27" i="13"/>
  <c r="F28" i="13" s="1"/>
  <c r="E27" i="13"/>
  <c r="E28" i="13" s="1"/>
  <c r="D8" i="12"/>
  <c r="O7" i="12"/>
  <c r="O8" i="12" s="1"/>
  <c r="I7" i="12"/>
  <c r="I8" i="12" s="1"/>
  <c r="G7" i="12"/>
  <c r="G8" i="12" s="1"/>
  <c r="F7" i="12"/>
  <c r="F8" i="12" s="1"/>
  <c r="E7" i="12"/>
  <c r="E8" i="12" s="1"/>
  <c r="D78" i="10"/>
  <c r="M77" i="10"/>
  <c r="M78" i="10" s="1"/>
  <c r="H78" i="10"/>
  <c r="G77" i="10"/>
  <c r="G78" i="10" s="1"/>
  <c r="F77" i="10"/>
  <c r="F78" i="10" s="1"/>
  <c r="E77" i="10"/>
  <c r="E78" i="10" s="1"/>
  <c r="D76" i="10"/>
  <c r="G75" i="10"/>
  <c r="G76" i="10" s="1"/>
  <c r="F75" i="10"/>
  <c r="F76" i="10" s="1"/>
  <c r="E75" i="10"/>
  <c r="E76" i="10" s="1"/>
  <c r="D22" i="10"/>
  <c r="L22" i="10"/>
  <c r="J21" i="10"/>
  <c r="J22" i="10" s="1"/>
  <c r="G21" i="10"/>
  <c r="G22" i="10" s="1"/>
  <c r="F21" i="10"/>
  <c r="F22" i="10" s="1"/>
  <c r="E21" i="10"/>
  <c r="E22" i="10" s="1"/>
  <c r="D61" i="10"/>
  <c r="L61" i="10"/>
  <c r="I60" i="10"/>
  <c r="I61" i="10" s="1"/>
  <c r="G60" i="10"/>
  <c r="G61" i="10" s="1"/>
  <c r="F60" i="10"/>
  <c r="F61" i="10" s="1"/>
  <c r="E60" i="10"/>
  <c r="E61" i="10" s="1"/>
  <c r="D51" i="10"/>
  <c r="N50" i="10"/>
  <c r="N51" i="10" s="1"/>
  <c r="I50" i="10"/>
  <c r="I51" i="10" s="1"/>
  <c r="G50" i="10"/>
  <c r="G51" i="10" s="1"/>
  <c r="F50" i="10"/>
  <c r="F51" i="10" s="1"/>
  <c r="E50" i="10"/>
  <c r="E51" i="10" s="1"/>
  <c r="D46" i="10"/>
  <c r="L46" i="10"/>
  <c r="K45" i="10"/>
  <c r="K46" i="10" s="1"/>
  <c r="G45" i="10"/>
  <c r="G46" i="10" s="1"/>
  <c r="F45" i="10"/>
  <c r="F46" i="10" s="1"/>
  <c r="E45" i="10"/>
  <c r="E46" i="10" s="1"/>
  <c r="D44" i="10"/>
  <c r="L44" i="10"/>
  <c r="K43" i="10"/>
  <c r="K44" i="10" s="1"/>
  <c r="G43" i="10"/>
  <c r="G44" i="10" s="1"/>
  <c r="F43" i="10"/>
  <c r="F44" i="10" s="1"/>
  <c r="E43" i="10"/>
  <c r="E44" i="10" s="1"/>
  <c r="D39" i="10"/>
  <c r="L39" i="10"/>
  <c r="K38" i="10"/>
  <c r="K39" i="10" s="1"/>
  <c r="G38" i="10"/>
  <c r="G39" i="10" s="1"/>
  <c r="F38" i="10"/>
  <c r="F39" i="10" s="1"/>
  <c r="E38" i="10"/>
  <c r="E39" i="10" s="1"/>
  <c r="D35" i="10"/>
  <c r="L35" i="10"/>
  <c r="I34" i="10"/>
  <c r="I35" i="10" s="1"/>
  <c r="G34" i="10"/>
  <c r="G35" i="10" s="1"/>
  <c r="F34" i="10"/>
  <c r="F35" i="10" s="1"/>
  <c r="E34" i="10"/>
  <c r="E35" i="10" s="1"/>
  <c r="D33" i="10"/>
  <c r="L33" i="10"/>
  <c r="H33" i="10"/>
  <c r="G32" i="10"/>
  <c r="G33" i="10" s="1"/>
  <c r="F32" i="10"/>
  <c r="F33" i="10" s="1"/>
  <c r="E32" i="10"/>
  <c r="E33" i="10" s="1"/>
  <c r="D31" i="10"/>
  <c r="O30" i="10"/>
  <c r="O31" i="10" s="1"/>
  <c r="H31" i="10"/>
  <c r="G30" i="10"/>
  <c r="G31" i="10" s="1"/>
  <c r="F30" i="10"/>
  <c r="F31" i="10" s="1"/>
  <c r="E30" i="10"/>
  <c r="E31" i="10" s="1"/>
  <c r="D10" i="10"/>
  <c r="M9" i="10"/>
  <c r="M10" i="10" s="1"/>
  <c r="H10" i="10"/>
  <c r="G9" i="10"/>
  <c r="G10" i="10" s="1"/>
  <c r="F9" i="10"/>
  <c r="F10" i="10" s="1"/>
  <c r="E9" i="10"/>
  <c r="E10" i="10" s="1"/>
  <c r="D8" i="10"/>
  <c r="M7" i="10"/>
  <c r="M8" i="10" s="1"/>
  <c r="K7" i="10"/>
  <c r="K8" i="10" s="1"/>
  <c r="G7" i="10"/>
  <c r="G8" i="10" s="1"/>
  <c r="F7" i="10"/>
  <c r="F8" i="10" s="1"/>
  <c r="E7" i="10"/>
  <c r="E8" i="10" s="1"/>
  <c r="D68" i="9"/>
  <c r="L68" i="9"/>
  <c r="J67" i="9"/>
  <c r="J68" i="9" s="1"/>
  <c r="G67" i="9"/>
  <c r="G68" i="9" s="1"/>
  <c r="F67" i="9"/>
  <c r="F68" i="9" s="1"/>
  <c r="E67" i="9"/>
  <c r="E68" i="9" s="1"/>
  <c r="D55" i="9"/>
  <c r="L55" i="9"/>
  <c r="H55" i="9"/>
  <c r="G54" i="9"/>
  <c r="G55" i="9" s="1"/>
  <c r="F54" i="9"/>
  <c r="F55" i="9" s="1"/>
  <c r="E54" i="9"/>
  <c r="E55" i="9" s="1"/>
  <c r="D53" i="9"/>
  <c r="L53" i="9"/>
  <c r="H53" i="9"/>
  <c r="G52" i="9"/>
  <c r="G53" i="9" s="1"/>
  <c r="F52" i="9"/>
  <c r="F53" i="9" s="1"/>
  <c r="E52" i="9"/>
  <c r="E53" i="9" s="1"/>
  <c r="D21" i="9"/>
  <c r="L21" i="9"/>
  <c r="J20" i="9"/>
  <c r="J21" i="9" s="1"/>
  <c r="G20" i="9"/>
  <c r="G21" i="9" s="1"/>
  <c r="F20" i="9"/>
  <c r="F21" i="9" s="1"/>
  <c r="E20" i="9"/>
  <c r="E21" i="9" s="1"/>
  <c r="G7" i="9"/>
  <c r="G8" i="9" s="1"/>
  <c r="F7" i="9"/>
  <c r="F8" i="9" s="1"/>
  <c r="E7" i="9"/>
  <c r="E8" i="9" s="1"/>
  <c r="I54" i="9" l="1"/>
  <c r="I55" i="9" s="1"/>
  <c r="M67" i="9"/>
  <c r="M68" i="9" s="1"/>
  <c r="J52" i="9"/>
  <c r="J53" i="9" s="1"/>
  <c r="J54" i="9"/>
  <c r="J55" i="9" s="1"/>
  <c r="K54" i="9"/>
  <c r="K55" i="9" s="1"/>
  <c r="M27" i="13"/>
  <c r="M28" i="13" s="1"/>
  <c r="J27" i="13"/>
  <c r="J28" i="13" s="1"/>
  <c r="N27" i="13"/>
  <c r="N28" i="13" s="1"/>
  <c r="H28" i="13"/>
  <c r="K27" i="13"/>
  <c r="K28" i="13" s="1"/>
  <c r="N7" i="12"/>
  <c r="N8" i="12" s="1"/>
  <c r="J7" i="12"/>
  <c r="J8" i="12" s="1"/>
  <c r="L8" i="12"/>
  <c r="M20" i="9"/>
  <c r="M21" i="9" s="1"/>
  <c r="K52" i="9"/>
  <c r="K53" i="9" s="1"/>
  <c r="N67" i="9"/>
  <c r="N68" i="9" s="1"/>
  <c r="N20" i="9"/>
  <c r="N21" i="9" s="1"/>
  <c r="O20" i="9"/>
  <c r="O21" i="9" s="1"/>
  <c r="H68" i="9"/>
  <c r="K67" i="9"/>
  <c r="K68" i="9" s="1"/>
  <c r="I52" i="9"/>
  <c r="I53" i="9" s="1"/>
  <c r="N45" i="10"/>
  <c r="N46" i="10" s="1"/>
  <c r="I32" i="10"/>
  <c r="I33" i="10" s="1"/>
  <c r="K32" i="10"/>
  <c r="K33" i="10" s="1"/>
  <c r="J34" i="10"/>
  <c r="J35" i="10" s="1"/>
  <c r="L51" i="10"/>
  <c r="J32" i="10"/>
  <c r="J33" i="10" s="1"/>
  <c r="N43" i="10"/>
  <c r="N44" i="10" s="1"/>
  <c r="O45" i="10"/>
  <c r="O46" i="10" s="1"/>
  <c r="K34" i="10"/>
  <c r="K35" i="10" s="1"/>
  <c r="K60" i="10"/>
  <c r="K61" i="10" s="1"/>
  <c r="M43" i="10"/>
  <c r="M44" i="10" s="1"/>
  <c r="M45" i="10"/>
  <c r="M46" i="10" s="1"/>
  <c r="O77" i="10"/>
  <c r="O78" i="10" s="1"/>
  <c r="L78" i="10"/>
  <c r="J60" i="10"/>
  <c r="J61" i="10" s="1"/>
  <c r="L31" i="10"/>
  <c r="O50" i="10"/>
  <c r="O51" i="10" s="1"/>
  <c r="H22" i="10"/>
  <c r="N77" i="10"/>
  <c r="N78" i="10" s="1"/>
  <c r="I30" i="10"/>
  <c r="I31" i="10" s="1"/>
  <c r="I45" i="10"/>
  <c r="I46" i="10" s="1"/>
  <c r="H46" i="10"/>
  <c r="L10" i="10"/>
  <c r="M30" i="10"/>
  <c r="M31" i="10" s="1"/>
  <c r="N32" i="10"/>
  <c r="N33" i="10" s="1"/>
  <c r="I43" i="10"/>
  <c r="I44" i="10" s="1"/>
  <c r="H44" i="10"/>
  <c r="J45" i="10"/>
  <c r="J46" i="10" s="1"/>
  <c r="K21" i="10"/>
  <c r="K22" i="10" s="1"/>
  <c r="O9" i="10"/>
  <c r="O10" i="10" s="1"/>
  <c r="H8" i="10"/>
  <c r="J43" i="10"/>
  <c r="J44" i="10" s="1"/>
  <c r="H35" i="10"/>
  <c r="M21" i="10"/>
  <c r="M22" i="10" s="1"/>
  <c r="N9" i="10"/>
  <c r="N10" i="10" s="1"/>
  <c r="J30" i="10"/>
  <c r="J31" i="10" s="1"/>
  <c r="N30" i="10"/>
  <c r="N31" i="10" s="1"/>
  <c r="O32" i="10"/>
  <c r="O33" i="10" s="1"/>
  <c r="H39" i="10"/>
  <c r="H61" i="10"/>
  <c r="O27" i="13"/>
  <c r="O28" i="13" s="1"/>
  <c r="K7" i="12"/>
  <c r="K8" i="12" s="1"/>
  <c r="H8" i="12"/>
  <c r="M7" i="12"/>
  <c r="M8" i="12" s="1"/>
  <c r="N7" i="10"/>
  <c r="N8" i="10" s="1"/>
  <c r="I9" i="10"/>
  <c r="I10" i="10" s="1"/>
  <c r="K30" i="10"/>
  <c r="K31" i="10" s="1"/>
  <c r="M34" i="10"/>
  <c r="M35" i="10" s="1"/>
  <c r="N38" i="10"/>
  <c r="N39" i="10" s="1"/>
  <c r="O43" i="10"/>
  <c r="O44" i="10" s="1"/>
  <c r="J50" i="10"/>
  <c r="J51" i="10" s="1"/>
  <c r="M60" i="10"/>
  <c r="M61" i="10" s="1"/>
  <c r="N21" i="10"/>
  <c r="N22" i="10" s="1"/>
  <c r="I77" i="10"/>
  <c r="I78" i="10" s="1"/>
  <c r="O7" i="10"/>
  <c r="O8" i="10" s="1"/>
  <c r="J9" i="10"/>
  <c r="J10" i="10" s="1"/>
  <c r="M32" i="10"/>
  <c r="M33" i="10" s="1"/>
  <c r="N34" i="10"/>
  <c r="N35" i="10" s="1"/>
  <c r="O38" i="10"/>
  <c r="O39" i="10" s="1"/>
  <c r="K50" i="10"/>
  <c r="K51" i="10" s="1"/>
  <c r="N60" i="10"/>
  <c r="N61" i="10" s="1"/>
  <c r="O21" i="10"/>
  <c r="O22" i="10" s="1"/>
  <c r="J77" i="10"/>
  <c r="J78" i="10" s="1"/>
  <c r="M38" i="10"/>
  <c r="M39" i="10" s="1"/>
  <c r="L8" i="10"/>
  <c r="K9" i="10"/>
  <c r="K10" i="10" s="1"/>
  <c r="O34" i="10"/>
  <c r="O35" i="10" s="1"/>
  <c r="H51" i="10"/>
  <c r="O60" i="10"/>
  <c r="O61" i="10" s="1"/>
  <c r="K77" i="10"/>
  <c r="K78" i="10" s="1"/>
  <c r="I7" i="10"/>
  <c r="I8" i="10" s="1"/>
  <c r="I38" i="10"/>
  <c r="I39" i="10" s="1"/>
  <c r="M50" i="10"/>
  <c r="M51" i="10" s="1"/>
  <c r="I21" i="10"/>
  <c r="I22" i="10" s="1"/>
  <c r="J7" i="10"/>
  <c r="J8" i="10" s="1"/>
  <c r="J38" i="10"/>
  <c r="J39" i="10" s="1"/>
  <c r="O67" i="9"/>
  <c r="O68" i="9" s="1"/>
  <c r="K20" i="9"/>
  <c r="K21" i="9" s="1"/>
  <c r="M52" i="9"/>
  <c r="M53" i="9" s="1"/>
  <c r="N54" i="9"/>
  <c r="N55" i="9" s="1"/>
  <c r="H21" i="9"/>
  <c r="N52" i="9"/>
  <c r="N53" i="9" s="1"/>
  <c r="O54" i="9"/>
  <c r="O55" i="9" s="1"/>
  <c r="I67" i="9"/>
  <c r="I68" i="9" s="1"/>
  <c r="I20" i="9"/>
  <c r="I21" i="9" s="1"/>
  <c r="M54" i="9"/>
  <c r="M55" i="9" s="1"/>
  <c r="O52" i="9"/>
  <c r="O53" i="9" s="1"/>
</calcChain>
</file>

<file path=xl/sharedStrings.xml><?xml version="1.0" encoding="utf-8"?>
<sst xmlns="http://schemas.openxmlformats.org/spreadsheetml/2006/main" count="1915" uniqueCount="617">
  <si>
    <t>الانذار</t>
  </si>
  <si>
    <t>منشآت صغيرة/متناهية الصغر</t>
  </si>
  <si>
    <t>منشآت متوسطة</t>
  </si>
  <si>
    <t>منشآت كبيرة</t>
  </si>
  <si>
    <t>المخالفة</t>
  </si>
  <si>
    <t>م</t>
  </si>
  <si>
    <t>فئة (د)</t>
  </si>
  <si>
    <t>فئة (ج)</t>
  </si>
  <si>
    <t>فئة (ب)</t>
  </si>
  <si>
    <t>فئة (أ)</t>
  </si>
  <si>
    <t>لا ينطبق</t>
  </si>
  <si>
    <t xml:space="preserve">أولا : المصنع المحلي للمستحضرات البيطرية </t>
  </si>
  <si>
    <t xml:space="preserve">
جدول تصنيف مخالفات أحكام قانون (نظام) المستحضرات البيطرية ولائحته التنفيذية والعقوبات المقررة لها 
</t>
  </si>
  <si>
    <t xml:space="preserve">ثالثاً : المستورد للمستحضرات البيطرية  </t>
  </si>
  <si>
    <t>خامساً :منفذ البيع</t>
  </si>
  <si>
    <t>عدم التزام الشركة مانحة الترخيص للتصنيع والشركة المحلية ابلاغ الهيئة خلال مدة لا تقل عن 180يوماً قبل انتهاء اتفاقية الترخيص بالتصنيع في حال عدم تجديد الاتفاقية.</t>
  </si>
  <si>
    <t>عدم الالتزام بشروط تسجيل المستحضرات متعددة المصادر (الجنيسة) التي تقدم للتسجيل من المصانع المحلية ويتم تصنيعها في بلد خارجي.</t>
  </si>
  <si>
    <t>عدم التزام من صدرت موافقة الدعاية أو الإعلان له أو بإسمه إيقاف الدعاية أو الإعلان عند ظهور مستجدات جديدة تشير إلى وجود مخاطر ناتجة عن المستحضر أو عدم فعاليته.</t>
  </si>
  <si>
    <t>عدم التزام من صدرت موافقة الدعاية أو الإعلان له أو باسمه إيقاف الدعاية أو الإعلان عند طلب الجهة المختصة إيقاف الدعاية أو الإعلان.</t>
  </si>
  <si>
    <t>أرضية المستودع منخفضة عن مستوى الطريق العام أو الأرض المحاذية أو المواجه له في حالة وجوده بالدور الأرضي.</t>
  </si>
  <si>
    <t>عدم توزيع مقاييس الحرارة بالمستودع وثلاجة التبريد بشكل مناسب وفق الخريطة الحرارية.</t>
  </si>
  <si>
    <t>عدم حفظ المبيد البيطري في مكان مستقل ومفصول عن باقي المستودع.</t>
  </si>
  <si>
    <t>عدم حفظ المبيد البيطري في المستودع بمكان به تهوية مستقله.</t>
  </si>
  <si>
    <t>عدم حفظ المبيد البيطري في المستودع في مكان به باب مستقل عن المستحضرات البيطرية.</t>
  </si>
  <si>
    <t>البناء والسقف بالمستودع ليس من الخرسانة المسلحة أو مادة غير قابلة للاحتراق حسب شروط السلامة التي تقررها جهة الاختصاص.</t>
  </si>
  <si>
    <t xml:space="preserve"> ينطبق</t>
  </si>
  <si>
    <t>ينطبق</t>
  </si>
  <si>
    <t xml:space="preserve"> لا ينطبق</t>
  </si>
  <si>
    <t>لا  ينطبق</t>
  </si>
  <si>
    <t>عدم وجود مقاييس للحرارة والرطوبة .</t>
  </si>
  <si>
    <t>رابعاً :المستودع الموزع للمستحضرات البيطرية</t>
  </si>
  <si>
    <t>عدم الالتزام باستخدام الصيغة الموافق عليها للدعاية والإعلان من قبل الجهة المختصة.</t>
  </si>
  <si>
    <t xml:space="preserve">التغيير في المادة الفعالة للمستحضر البيطري المسجل دون موافقة الهيئة .                                     </t>
  </si>
  <si>
    <t>الثلاجة في المستودع غير مزودة بمنظم للحرارة وسجل الكتروني لمراقبة درجة الحرارة وجهاز إنذار في حال انخفاض أو ارتفاع درجة الحرارة عن الدرجة المطلوبة.</t>
  </si>
  <si>
    <t>عدم التزام المستودع بالاحتفاظ بسجلات الإتلاف.</t>
  </si>
  <si>
    <t xml:space="preserve">   إتلاف المستحضر البيطري دون وجود ما يثبت إتلافه عن طريق شركة متخصصة في التخلص الآمن من النفايات الطبية.</t>
  </si>
  <si>
    <t xml:space="preserve">ممارسة النشاط دون الحصول على ترخيص من الهيئة. </t>
  </si>
  <si>
    <t xml:space="preserve">    التغيير في  الشكل الصيدلاني أو طريقة الإعطاء   دون موافقة الهيئة .</t>
  </si>
  <si>
    <t>عدم تكليف شخص مؤهل ومرخص له  للسماح بإطلاق تشغيلة كل مستحضر بيطري قبل تداوله.</t>
  </si>
  <si>
    <t>تداول مستحضر بيطري  فاسد.</t>
  </si>
  <si>
    <t xml:space="preserve">تداول مستحضر بيطري منتهي الصلاحية. </t>
  </si>
  <si>
    <t>الإعلان أو الدعايه عن المستحضرات التي يتطلب الحصول عليها وصفه طبية .</t>
  </si>
  <si>
    <t xml:space="preserve">تخزين مستحضر تالف أو منتهي الصلاحية أو فاسد بمدة تزيد عن سنة من تاريخ انتهاء المستحضر .                                                       </t>
  </si>
  <si>
    <t>تغيير مدير المستودع دون موافقة الهيئة.</t>
  </si>
  <si>
    <t xml:space="preserve"> تداول  مستحضر بيطري صدر له  قرار سحب أو استدعاء دون موافقة الهيئة.</t>
  </si>
  <si>
    <t xml:space="preserve">شراء المستحضر البيطري من جهه غير مرخص لها.   </t>
  </si>
  <si>
    <t xml:space="preserve"> تداول مستحضر بيطري غير مسجل لدى الهيئة.</t>
  </si>
  <si>
    <t>الوحدة</t>
  </si>
  <si>
    <t>ممارسة النشاط بعد انتهاء الترخيص</t>
  </si>
  <si>
    <t>الفصل الثالث :  المخالفات العامه</t>
  </si>
  <si>
    <t>الفصل الثاني :  المخالفات العامه</t>
  </si>
  <si>
    <t>عدم الالتزام بالشروط والضوابط المتعلقة  بالإعلان و الدعاية عن المستحضرات البيطرية.</t>
  </si>
  <si>
    <t>استيراد عينات  لمستحضر بيطري غير مسجل دون موافقة الهيئة.</t>
  </si>
  <si>
    <t>عدم تمكين المفتش من دخول المنشأة أو أحد مرافقها.</t>
  </si>
  <si>
    <t>ثانياً : مستودع وكيل المستحضر/ أو من يمثل الشركة الصانعة  للمستحضرات البيطرية</t>
  </si>
  <si>
    <t>عدم تنفيذ قرار الهيئة بسحب المستحضر البيطري.</t>
  </si>
  <si>
    <t>عدم إتمام عملية سحب المستحضر البيطري  خلال الفترة التي حددتها الهيئة.</t>
  </si>
  <si>
    <t>عدم تزويد الهيئة بتقارير دورية مفصلة لعملية سحب المستحضر البيطري ي خلال المدة المحددة.</t>
  </si>
  <si>
    <t xml:space="preserve"> عدم الإلتزام  بإجراءات سحب أو استدعاء المستحضر البيطري .</t>
  </si>
  <si>
    <t xml:space="preserve"> عدم  حفظ أو تخزين المستحضر البيطري حسب توصية الشركة الصانعة.</t>
  </si>
  <si>
    <t>عدم  تجديد تسجيل شركات ومصانع المستحضرات البيطرية عند إجراء  تغييرات جذرية في مبنى المصنع أو خطوط الإنتاج.</t>
  </si>
  <si>
    <t>عدم إبلاغ الهيئة كتابياً عن أي عملية بيع أو شراء او دمج أو أي إجراء قانوني أو تجاري يتعلق بالشركة أو بأحد مصانعها المسجلة خلال 90 يوما من إتمام الإجراء.</t>
  </si>
  <si>
    <t>عدم  وضع رقم قرار موافقة الجهة المختصة على الدعاية أو الإعلان.</t>
  </si>
  <si>
    <t>استعمال معلومات غير صحيحة للترويج للمستحضر البيطري سواءً عليه  أو في الدعاية له.</t>
  </si>
  <si>
    <t>عدم تجديد تسجيل شركات ومصانع المستحضرات البيطرية عند إجراء أي تغيير جذري في مبنى المصنع أو خطوط الإنتاج.</t>
  </si>
  <si>
    <t>عدم وضع رقم قرار موافقة الجهة المختصة على الدعاية أو الإعلان.</t>
  </si>
  <si>
    <t>عدم توفير نظام متكامل لمتابعة الآثار الجانبية ورصدها.</t>
  </si>
  <si>
    <t>عدم  تزويد الهيئة بتقارير رصد الآثار الجانبية للمستحضر حسب الاجراءات المعتمدة.</t>
  </si>
  <si>
    <t>عدم إبلاغ الهيئة خلال 72 ساعة عن أي عرض خطير يظهر أو أي عرض لم يذكر في ملخص خواص المستحضر</t>
  </si>
  <si>
    <t>عدم إيصال الرسائل التحذيرية عن المستحضر البيطري  لمقدمي الرعاية الصحية البيطرية.</t>
  </si>
  <si>
    <t xml:space="preserve"> عدم الالتزام  بإجراءات سحب أو استدعاء المستحضر البيطري.</t>
  </si>
  <si>
    <t>عدم  إبلاغ الهيئة كتابياً عن اي عملية بيع أو شراء او دمج أو أي إجراء قانوني او تجاري يتعلق بالشركة أو بأحد مصانعها المسجلة خلال 90 يوما من إتمام الإجراء.</t>
  </si>
  <si>
    <t>استعمال معلومات غير صحيحة للترويج للمستحضر البيطري سواءً على المستحضر أو في الدعاية له.</t>
  </si>
  <si>
    <t xml:space="preserve"> عدم حفظ أو تخزين المستحضر البيطري حسب توصية الشركة الصانعة.</t>
  </si>
  <si>
    <t xml:space="preserve"> تداول مستحضر بيطري مضبوط أو متعهد عليه بعدم التصرف قبل انهاء إجراءات فك الحجز  (التحريز)</t>
  </si>
  <si>
    <t xml:space="preserve">السند النظامي </t>
  </si>
  <si>
    <t xml:space="preserve">نظام المستحضرات البيطرية بدول مجلس التعاون لدول الخليج </t>
  </si>
  <si>
    <t>عدم التزام المصنع  بأسس ممارسة التصنيع الجيدة المنشورة على موقع الهيئة</t>
  </si>
  <si>
    <t>تداول  مستحضر بيطري مسجل تم التعديل أو التغيير  عليه دون موافقة الهيئة.</t>
  </si>
  <si>
    <t xml:space="preserve">تصنيع مستحضر بيطري للغير بدون موافقة الهيئة. </t>
  </si>
  <si>
    <t>الفصل الأول:  مخالفات ترخيص المنشأة وتسجيل المستحضر البيطري</t>
  </si>
  <si>
    <t>عدم التزام المصنع المحلي بتوفير المستحضر البيطري المسجل</t>
  </si>
  <si>
    <t xml:space="preserve">عدم التزام المصنع المحلي بتوفير مخزون يكفي للاستهلاك المحلي من المستحضر البيطري المسجل. </t>
  </si>
  <si>
    <t xml:space="preserve"> لكل عبوة تم ضبطها أو تداولها  بما لايزيد عن  (50,000) ريال </t>
  </si>
  <si>
    <t>بيع مستحضر بيطري لم يكن مطبوعاً على غلافه الخارجي التسعيرة الرسمية ورقم التسجيل .</t>
  </si>
  <si>
    <t>لكل تركيز وشكل وحجم وصيغه دوائية</t>
  </si>
  <si>
    <t>تداول مستحضر بيطري  مغشوش.</t>
  </si>
  <si>
    <t>تداول مستحضر بيطري  محظور أو محذر منه.</t>
  </si>
  <si>
    <t>عدم الالتزام بالتقييد الصادر عن الهيئة لاستخدام المستحضر البيطري</t>
  </si>
  <si>
    <t>عدم التزام المسجل له المستحضر البيطري إبلاغ الهيئة عن التحذيرات الصادرة عن المستحضر أو عن وقف تصنيع المستحضر أو سحب المستحضر أو تعليق المستحضر
أو منع تداول المستحضر أو إلغاء تسجيل المستحضر سواءً كان في بلد المنشأ أو أي بلد تم تسجيل المستحضر فيه خلال مدة لا تزيد عن 15 يوم من تاريخه.</t>
  </si>
  <si>
    <t>عدم إبلاغ الهيئة بالتقرير الدوري عن سلامة المستحضر البيطري</t>
  </si>
  <si>
    <t xml:space="preserve">  البيع بصورة  غير متوازنة تمنع  توفر صنف محدد </t>
  </si>
  <si>
    <t>بيع  المستحضر البيطري الى جهه غير مرخصة لها ممارسة النشاط.</t>
  </si>
  <si>
    <t xml:space="preserve">شراء المستحضر البيطري من جهه غير مرخص لها ممارسة النشاط.           </t>
  </si>
  <si>
    <t>تصدير او إعادة تصدير المستحضر البيطري دون موافقة الهيئة</t>
  </si>
  <si>
    <t>عدم الالتزام بشروط التصدير  أو إعادة التصدير للمستحضر البيطري المنشورة على موقع الهيئة</t>
  </si>
  <si>
    <t>الامتناع عن تقديم معلومات تطلبها الهيئة متعلق بالمستحضر البيطري</t>
  </si>
  <si>
    <t>مزاولة المصنع النشاط بعد إيقاف خطوط الإنتاج</t>
  </si>
  <si>
    <t>عدم الالتزام بمتطلبات تحليل المستحضر البيطري المنشورة على موقع الهيئة</t>
  </si>
  <si>
    <t>تقديم للهيئة بيانات او معلومات متعلقة بالمستحضر البيطري غير صحيحة</t>
  </si>
  <si>
    <t>عدم ابلاغ الهيئة عن أي تغيير في أسم المستودع</t>
  </si>
  <si>
    <t>عدم ابلاغ الهيئة عن أي تغيير في نشاط المنشأة أو عنوانها أو مكانها</t>
  </si>
  <si>
    <t xml:space="preserve">    عدم الالتزام بإبلاغ الهيئة عن التغيير في  الشكل الصيدلاني أو طريقة الإعطاء </t>
  </si>
  <si>
    <t>عدم الالتزام بابلاغ الهيئة خلال مدة لا تقل عن 180يوماً قبل انتهاء اتفاقية الترخيص بالتصنيع في حال عدم تجديد الاتفاقية.</t>
  </si>
  <si>
    <t>عدم  تحديد المختص المؤهل المسئول عن رصد ومتابعة الآثار الجانبية للمستحضر البيطري.</t>
  </si>
  <si>
    <t>عدم الالتزام باشتراطات مدونة أسس ممارسة التوزيع والتخزين الجيدة المنشورة على موقع الهيئة.</t>
  </si>
  <si>
    <t xml:space="preserve">عدم وجود خريطة حرارية  . </t>
  </si>
  <si>
    <t>عدم وجود مخزن منفصل  محكم الإغلاق لحفظ المواد الخطرة ودولاب محكم الأغلاق.</t>
  </si>
  <si>
    <t>عدم وجود غرفة منفصلة لحفظ الأدوية المحتوية على مواد مخدرة أو مؤثرات عقلية وفق اشتراطات حفظ المواد المخدرة والمؤثرات العقلية المنشورة على موقع الهيئة.</t>
  </si>
  <si>
    <t xml:space="preserve"> عدم وجود نظام لتوفير بيانات الوارد أو المنصرف أو المتبقي للمستحضر البيطري.</t>
  </si>
  <si>
    <t>عدم  تدوين كامل بيانات الوارد والمنصرف للمستحضر البيطري.</t>
  </si>
  <si>
    <t xml:space="preserve">وجود مستحضر   بيطري تالف أو مرتجع أو منتهي الصلاحية في غير مكانه المخصص له بالمستودع. </t>
  </si>
  <si>
    <t>عدم الالتزام  مستودع وكيل المصنع الخارجي بتوفير المستحضر البيطري المسجل.</t>
  </si>
  <si>
    <t>عدم الالتزام  مستودع وكيل المصنع الخارجي بتوفير مخزون يكفي للاستهلاك المحلي من المستحضر البيطري المسجل.</t>
  </si>
  <si>
    <t>عدم الالتزام  مستودع وكيل المصنع الخارجي بتوفير مستحضر بيطري مسجل لم يسوق أو يستورد لمدة عام  وليس عليه بلاغ أو شكوى من انقطاعه.</t>
  </si>
  <si>
    <t>عرض أو بيع المستحضر البيطري بسعر أعلى من السعر المحدد من الهيئة.</t>
  </si>
  <si>
    <t>تداول مستحضر بيطري  غير مسجل لدى الهيئة</t>
  </si>
  <si>
    <t>تداول مستحضر بيطري محظور أو محذر منه</t>
  </si>
  <si>
    <t>الإعلان أو الدعاية عن مستحضر بيطري لا وصفي في وسائل الإعلان المختلفة أو التعديل عليه دون الحصول على موافقة الهيئة.</t>
  </si>
  <si>
    <t>عدم الالتزام بالأحكام و المسؤوليات بين المؤجر و المستأجر والشروط الخاصة بالتخزين للغير المنشورة على موقع الهيئة</t>
  </si>
  <si>
    <t>مزاولة المستودع النشاط بعد إغلاقه  أو إلغاء ترخيصه  من قِبل الهيئة.</t>
  </si>
  <si>
    <t>عدم تزويد الهيئة بتقارير دورية مفصلة عن عملية سحب المستحضر البيطري ي خلال المدة المحددة.</t>
  </si>
  <si>
    <t>استيراد مستحضر بيطري  لم يوفره المصنع المنتج دون موافقة الهيئة</t>
  </si>
  <si>
    <t>عدم الالتزام بإجراءات و شروط الاستيراد للمستحضر البيطري .</t>
  </si>
  <si>
    <t>عدم الالتزام بشروط ومتطلبات  الفسح للمستحضر البيطري .</t>
  </si>
  <si>
    <t>بيع المستحضر البيطري غير المسجل الى غير الجهة المستفيدة له برخصة الاستيراد دون موافقة الهيئة</t>
  </si>
  <si>
    <t xml:space="preserve"> استيراد مستحضر بيطري غير مسجل لدى الهيئة.</t>
  </si>
  <si>
    <t>قيام المستودع الموزع بالتعديل أو التغيير على معلومات العبوة الخارجية للمستحضر البيطري دون موافقة الهيئة</t>
  </si>
  <si>
    <t>قيام منفذ البيع بالتعديل أو التغيير على معلومات العبوة الخارجية للمستحضر البيطري دون موافقة الهيئة</t>
  </si>
  <si>
    <t>عدم الالتزام بالشروط والضوابط المتعلقة  بالإعلان و الدعاية عن المستحضرات البيطرية المنشورة على موقع الهيئة.</t>
  </si>
  <si>
    <t>عدم ابلاغ الهيئة بتغيير المسؤول عن الاجازة النهائية لتشغيلات المستحضر البيطري</t>
  </si>
  <si>
    <t>لكل حالة عدم التزام</t>
  </si>
  <si>
    <t>عدم حصول المصنع على موافقة الهيئة قبل بدء الانتاج لأي خط شكل صيدلاني جديد.</t>
  </si>
  <si>
    <t>لكل خط شكل صيدلاني جديد</t>
  </si>
  <si>
    <t>لكل تركيز وشكل و حجم وصيغة دوائية</t>
  </si>
  <si>
    <t>للمنشأة</t>
  </si>
  <si>
    <t>عدم توفر  وسائل الأمان الحيوي والأمن والسلامة بالمصنع</t>
  </si>
  <si>
    <t>لكل تركيز وشكل و حجم وصيغة دوائية بما لايزيد عن 50000 ريال</t>
  </si>
  <si>
    <t>عدم  التزام المصنع المحلي بتوفير البيانات حول الوارد و المنصرف و المتبقي  للمستحضر البيطري المسجل لجميع المستحضرات البيطرية  وتزويد الهيئة بنسخة منها عند الطلب.</t>
  </si>
  <si>
    <t>لكل عملية نقل او استلام</t>
  </si>
  <si>
    <t>الإعلان أو الدعاية عن مستحضر بيطري لا وصفي في وسائل الإعلان المختلفة او التعديل عليه دون الحصول على  موافقة الهيئة.</t>
  </si>
  <si>
    <t>لكل دعاية او اعلان</t>
  </si>
  <si>
    <t>الإعلان أو الدعاية عن مستحضر بيطري  يتطلب حصوله على  وصفه طبية .</t>
  </si>
  <si>
    <t>عدم الالتزام بالشروط والضوابط المتعلقة  بالإعلان أو الدعاية عن المستحضرات البيطرية. المنشورة على موقع الهيئة</t>
  </si>
  <si>
    <t>عدم استخدام الصيغة الموافق عليها للدعاية والإعلان من قبل الهيئة.</t>
  </si>
  <si>
    <t>عدم  تسجيل  حالات متابعة الآثار الجانبية للمستحضر البيطري ورصدها والتي يتم إرسالها إلى الشركة من قبل  الأطباء البيطرين أو الصيادلة أو المربين أو مقدمي الرعاية الصحية البيطرية أو التي يتم رصدها من قبل مندوبي تسويق المستحضر البيطري.</t>
  </si>
  <si>
    <t>عدم  تزويد الهيئة بتقارير رصد الآثار الجانبية للمستحضر  البيطري حسب الاجراءات المعتمدة.</t>
  </si>
  <si>
    <t>لكل تركيز وشكل وحجم وصيغه دوائية بما لايزيد عن 50000 ريال</t>
  </si>
  <si>
    <t xml:space="preserve">تخزين مستحضر بيطري تالف  أو فاسدأو منتهي الصلاحية أو فاسد بمدة تزيد عن سنة من تاريخ انتهاء المستحضر .                                                       </t>
  </si>
  <si>
    <t>لكل قرار</t>
  </si>
  <si>
    <t xml:space="preserve"> إعاقة المفتش عن أداء  مهامه التفتيشية.</t>
  </si>
  <si>
    <t xml:space="preserve"> للمنشأة</t>
  </si>
  <si>
    <t xml:space="preserve">عدم الالتزام بإبلاغ الهيئة عن التغيير في المادة الفعالة للمستحضر البيطري المسجل                 </t>
  </si>
  <si>
    <t>لكل تركيز و شكل و حجم وصيغة دوائية</t>
  </si>
  <si>
    <t>عدم الالتزام بالشروط أو المتطلبات او التعاميم المنشورة على موقع الهيئة والمتعلقة بترخيص وتسجيل المستحضر البيطري</t>
  </si>
  <si>
    <t>لكل تركيز و شكل و حجم وصيغة دوائية بما لايزيد على 50000 ريال</t>
  </si>
  <si>
    <t xml:space="preserve"> لاينطبق</t>
  </si>
  <si>
    <t>عدم التزام مستودع وكيل المصنع الخارجي  بتوفير البيانات حول الوارد والمنصرف و المتبقي  للمستحضر البيطري المسجل وتزويد الهيئة بنسخة منها عند الطلب.</t>
  </si>
  <si>
    <t xml:space="preserve">لكل عبوة مستحضر تم ضبطها أو تداولها بما لا يزيد على   (50,000) ريال </t>
  </si>
  <si>
    <t>نقل أو استلم المستحضر ات البيطرية بوسيلة نقل غير مناسبة لذلك.</t>
  </si>
  <si>
    <t>لكل دعاية  او اعلان</t>
  </si>
  <si>
    <t xml:space="preserve"> لكل حالة عدم التزام</t>
  </si>
  <si>
    <t>عدم الالتزام بتقديم ما يثبت مصدر شراء المستحضر البيطري</t>
  </si>
  <si>
    <t>إتلاف المستحضر البيطري المضبوط أو المتعهد عليه بعدم التصرف أو صدر له قرار سحب أو استرجاع دون موافقة الهيئة  مع التزام المنشأة بإجراءات الاتلاف المنشورة على موقع الهيئة</t>
  </si>
  <si>
    <t>لكل عملية نقل أو استلام</t>
  </si>
  <si>
    <t>لكل دعاية أو إعلان</t>
  </si>
  <si>
    <t>الإعلان أو الدعاية عن مستحضر بيطري لا وصفي في وسائل الإعلان المختلفة  الحصول على موافقة الهيئة.</t>
  </si>
  <si>
    <t xml:space="preserve">إتلاف المستحضر البيطري المضبوط أو المتعهد عليه بعدم التصرف أو صدر له قرار سحب أو استدعاء دون الالتزام بإجراءات الإتلاف المنشورة على موقع الهيئة </t>
  </si>
  <si>
    <t>عدم تزويد الهيئة بتقارير دورية مفصلة عن عملية سحب المستحضر البيطري  خلال المدة المحددة.</t>
  </si>
  <si>
    <t>الامتناع عن تقديم معلومات تطلبها الهيئة متعلقة بالمستحضر البيطري</t>
  </si>
  <si>
    <t xml:space="preserve"> إعاقة المفتش عن أداء  مهامة التفتيشية.</t>
  </si>
  <si>
    <t>لكل تركيز وشكل وحجم وصيغة دوائية</t>
  </si>
  <si>
    <t>لكل دعاية أو اعلان</t>
  </si>
  <si>
    <t xml:space="preserve">تخزين مستحضر تالف أو منتهي الصلاحية أو فاسد بمدة تزيد على سنة من تاريخ انتهاء صلاحية المستحضر .                                                       </t>
  </si>
  <si>
    <t>إتلاف المستحضر البيطري المضبوط أو المتعهد عليه بعدم التصرف أو صدر له قرار سحب أو استدعاء دون الالتزام بإجراءات الاتلاف المنشورة على موقع الهيئة</t>
  </si>
  <si>
    <t>لكل تركيز و شكل و حجم وصيغة دوائية بما لايزيد على 10000 ريال</t>
  </si>
  <si>
    <t xml:space="preserve">لكل عبوة  تم ضبطها أو تداولها بما لايزيد على (10,000) ريال </t>
  </si>
  <si>
    <t xml:space="preserve">لكل عبوة  تم ضبطها أو تداولها بما لايزيد على (50,000) ريال </t>
  </si>
  <si>
    <t>الإعلان أو الدعاية عن مستحضر بيطري لا وصفي في وسائل الإعلان المختلفة  او التعديل عليه دون الحصول على موافقة الهيئة.</t>
  </si>
  <si>
    <t xml:space="preserve">إتلاف المستحضر البيطري المضبوط أو المتعهد عليه بعدم التصرف أو صدر له قرار سحب أو استدعاء دون الالتزام باجراءات الاتلاف المنشورة على موقع الهيئة </t>
  </si>
  <si>
    <t xml:space="preserve"> إعاقة المفتش عن أداء  مهامة التفتيشية</t>
  </si>
  <si>
    <t xml:space="preserve">المادة (17) من نظام المستحضرات البيطرية بدول مجلس التعاون لدول الخليج </t>
  </si>
  <si>
    <t>المادة (17) من لائحة نظام المستحضرات البيطرية</t>
  </si>
  <si>
    <t xml:space="preserve">المادة (13) من نظام المستحضرات البيطرية بدول مجلس التعاون لدول الخليج </t>
  </si>
  <si>
    <t>المادة (9)  فقرة (8) من لائحة نظام المستحضرات البيطرية</t>
  </si>
  <si>
    <t xml:space="preserve">المادة (2)  من نظام المستحضرات البيطرية بدول مجلس التعاون لدول الخليج </t>
  </si>
  <si>
    <t xml:space="preserve">المادة (27)  من نظام المستحضرات البيطرية بدول مجلس التعاون لدول الخليج </t>
  </si>
  <si>
    <t xml:space="preserve">المادة (27) فقرة 9 من نظام المستحضرات البيطرية بدول مجلس التعاون لدول الخليج </t>
  </si>
  <si>
    <t xml:space="preserve">المادة (21)  من نظام المستحضرات البيطرية بدول مجلس التعاون لدول الخليج </t>
  </si>
  <si>
    <t xml:space="preserve">المادة (22)  من نظام المستحضرات البيطرية بدول مجلس التعاون لدول الخليج </t>
  </si>
  <si>
    <t xml:space="preserve">المادة 27  فقرة 4 من نظام المستحضرات البيطرية بدول مجلس التعاون لدول الخليج </t>
  </si>
  <si>
    <t xml:space="preserve">المادة (22) من نظام المستحضرات البيطرية بدول مجلس التعاون لدول الخليج </t>
  </si>
  <si>
    <t xml:space="preserve">المادة (27)  فقرة 9 من نظام المستحضرات البيطرية بدول مجلس التعاون لدول الخليج </t>
  </si>
  <si>
    <t xml:space="preserve">المادة (27)  فقرة 8 من نظام المستحضرات البيطرية بدول مجلس التعاون لدول الخليج </t>
  </si>
  <si>
    <t>المادة (27)من لائحة نظام المستحضرات البيطرية</t>
  </si>
  <si>
    <t>المادة (27) من لائحة نظام المستحضرات البيطرية</t>
  </si>
  <si>
    <t xml:space="preserve">المادة (4) من نظام المستحضرات البيطرية بدول مجلس التعاون لدول الخليج </t>
  </si>
  <si>
    <t>المادة (9) فقرة (7)  من لائحة نظام المستحضرات البيطرية</t>
  </si>
  <si>
    <t>المادة (9) فقرة (3-ج) من لائحة  نظام المستحضرات البيطرية</t>
  </si>
  <si>
    <t>المادة (9) فقرة (3-د) من لائحة  نظام المستحضرات البيطرية</t>
  </si>
  <si>
    <t>المادة (9) فقرة (2-ب) من لائحة نظام المستحضرات البيطرية</t>
  </si>
  <si>
    <t>المادة  (9) فقرة (2-ج) من لائحة  نظام المستحضرات البيطرية</t>
  </si>
  <si>
    <t>المادة  (9) فقرة (2-د) من لائحة نظام المستحضرات البيطرية</t>
  </si>
  <si>
    <t>المادة (9) فقرة (2-د) من لا ئحة نظام المستحضرات البيطرية</t>
  </si>
  <si>
    <t>المادة  (9) فقرة (2-هـ) من لائحة  نظام المستحضرات البيطرية</t>
  </si>
  <si>
    <t>المادة (9) فقرة (2-هـ) من لائحة نظام المستحضرات البيطرية</t>
  </si>
  <si>
    <t>المادة (9) فقرة (2-هـ)  من لائحة نظام المستحضرات البيطرية</t>
  </si>
  <si>
    <t>المادة (9) فقرة (2-و) من لائحة نظام المستحضرات البيطرية</t>
  </si>
  <si>
    <t>المادة (9) فقرة (2-و)  من لائحة نظام المستحضرات البيطرية</t>
  </si>
  <si>
    <t>المادة  (9) فقرة (2-ح)من لائحة  نظام المستحضرات البيطرية</t>
  </si>
  <si>
    <t>المادة (9) فقرة (2-ح) من لائحة نظام المستحضرات البيطرية</t>
  </si>
  <si>
    <t xml:space="preserve">المادة (17)  من نظام المستحضرات البيطرية بدول مجلس التعاون لدول الخليج </t>
  </si>
  <si>
    <t>المادة (17)  من لائحة نظام المستحضرات البيطرية</t>
  </si>
  <si>
    <t xml:space="preserve">المادة (13)  من نظام المستحضرات البيطرية بدول مجلس التعاون لدول الخليج </t>
  </si>
  <si>
    <t>المادة  (9)  فقرة (8) لائحة  نظام المستحضرات البيطرية</t>
  </si>
  <si>
    <t xml:space="preserve">المادة (20)  من نظام المستحضرات البيطرية بدول مجلس التعاون لدول الخليج </t>
  </si>
  <si>
    <t xml:space="preserve">المادة (27)  فقرة 4 من نظام المستحضرات البيطرية بدول مجلس التعاون لدول الخليج </t>
  </si>
  <si>
    <t>المادة (9)  من لائحة نظام المستحضرات البيطرية</t>
  </si>
  <si>
    <t xml:space="preserve">المادة (14)  فقرة 2 نظام المستحضرات البيطرية بدول مجلس التعاون لدول الخليج </t>
  </si>
  <si>
    <t xml:space="preserve">المادة (27)  فقرة 9 نظام المستحضرات البيطرية بدول مجلس التعاون لدول الخليج </t>
  </si>
  <si>
    <t xml:space="preserve">المادة (27) فقرة 9 نظام المستحضرات البيطرية بدول مجلس التعاون لدول الخليج </t>
  </si>
  <si>
    <t>المادة  (27) من لائحة نظام المستحضرات البيطرية</t>
  </si>
  <si>
    <t>المادة (11)  من لائحة نظام المستحضرات البيطرية</t>
  </si>
  <si>
    <t>المادة (11) من لائحة نظام المستحضرات البيطرية</t>
  </si>
  <si>
    <t xml:space="preserve">المادة (19) من نظام المستحضرات البيطرية بدول مجلس التعاون لدول الخليج </t>
  </si>
  <si>
    <t xml:space="preserve">المادة (27) فقرة 4 من نظام المستحضرات البيطرية بدول مجلس التعاون لدول الخليج </t>
  </si>
  <si>
    <t>المادة   (27) من لائحة  نظام المستحضرات البيطرية</t>
  </si>
  <si>
    <t>المادة  (27) لائحة نظام المستحضرات البيطرية</t>
  </si>
  <si>
    <t xml:space="preserve">المادة (4)من نظام المستحضرات البيطرية بدول مجلس التعاون لدول الخليج </t>
  </si>
  <si>
    <t xml:space="preserve">المادة (4)من  نظام المستحضرات البيطرية بدول مجلس التعاون لدول الخليج </t>
  </si>
  <si>
    <t>المادة (9) فقرة (3-ج) من اللائحة نظام المستحضرات البيطرية</t>
  </si>
  <si>
    <t>المادة (9) فقرة (3-د) من اللائحة نظام المستحضرات البيطرية</t>
  </si>
  <si>
    <t xml:space="preserve">المادة (16) الفقرة 5 من نظام المستحضرات البيطرية بدول مجلس التعاون لدول الخليج </t>
  </si>
  <si>
    <t>المادة (12) فقرة (10) من لائحة نظام المستحضرات البيطرية</t>
  </si>
  <si>
    <t>المادة 5 من لائحة نظام المستحضرات البيطرية</t>
  </si>
  <si>
    <t>المادة (23)  من لائحة نظام المستحضرات البيطرية</t>
  </si>
  <si>
    <t>المادة (5) فقرة 8 من نظام المستحضرات البيطرية</t>
  </si>
  <si>
    <t>المادة (9) فقرة (2-ج)  من لائحة نظام المستحضرات البيطرية</t>
  </si>
  <si>
    <t xml:space="preserve">المادة (21) من نظام المستحضرات البيطرية بدول مجلس التعاون لدول الخليج </t>
  </si>
  <si>
    <t>المادة (9) فقرة (2-د) من لائحة نظام المستحضرات البيطرية</t>
  </si>
  <si>
    <t xml:space="preserve"> المادة (9)  فقرة (8) من لائحة نظام المستحضرات البيطرية</t>
  </si>
  <si>
    <t>المادة (18)  من لائحة نظام المستحضرات البيطرية</t>
  </si>
  <si>
    <t>المادة (5) فقرة 10 من لائحة نظام المستحضرات البيطرية</t>
  </si>
  <si>
    <t>المادة (5) فقرة 6 من لائحة نظام المستحضرات البيطرية</t>
  </si>
  <si>
    <t>المادة (5) فقرة 7 من لائحة نظام المستحضرات البيطرية</t>
  </si>
  <si>
    <t>المادة (5) فقرة ج  من لائحة نظام المستحضرات البيطرية</t>
  </si>
  <si>
    <t>المادة (5) فقرة 11 من لائحة نظام المستحضرات البيطرية</t>
  </si>
  <si>
    <t xml:space="preserve">المادة (14)  فقرة (2) نظام المستحضرات البيطرية بدول مجلس التعاون لدول الخليج </t>
  </si>
  <si>
    <t xml:space="preserve">المادة(7) من نظام المستحضرات البيطرية بدول مجلس التعاون لدول الخليج </t>
  </si>
  <si>
    <t xml:space="preserve"> المادة (4) ثانيا فقرة (4-ب) من اللائحةلائحة نظام المستحضرات البيطرية</t>
  </si>
  <si>
    <t>المادة (4) ثانيا فقرة (4-ج) من لائحة نظام المستحضرات البيطرية</t>
  </si>
  <si>
    <t>المادة (4) ثانيا فقرة (4-ج) من اللائحة لائحة نظام المستحضرات البيطرية</t>
  </si>
  <si>
    <t>المادة (4) ثانيا فقرة (4-د) من  لائحة نظام المستحضرات البيطرية</t>
  </si>
  <si>
    <t>المادة (7)  فقرة 1  من لائحة نظام المستحضرات البيطرية</t>
  </si>
  <si>
    <t xml:space="preserve">المادة (16) الفقرة 5  من نظام المستحضرات البيطرية بدول مجلس التعاون لدول الخليج </t>
  </si>
  <si>
    <t>المادة (12) فقرة (10)  من لائحة نظام المستحضرات البيطرية</t>
  </si>
  <si>
    <t>المادة 5  من لائحة نظام المستحضرات البيطرية</t>
  </si>
  <si>
    <t>المادة (5) فقرة 9 من لائحة نظام المستحضرات البيطرية</t>
  </si>
  <si>
    <t xml:space="preserve">المادة (8)  من نظام المستحضرات البيطرية بدول مجلس التعاون لدول الخليج </t>
  </si>
  <si>
    <t>المادة (7) فقرة (2)  من لائحة نظام المستحضرات البيطرية</t>
  </si>
  <si>
    <t>المادة  (13) من لائحة نظام المستحضرات البيطرية</t>
  </si>
  <si>
    <t>المادة (18) من لائحة نظام المستحضرات البيطرية</t>
  </si>
  <si>
    <t>المادة (5) فقرة 7من لائحة نظام المستحضرات البيطرية</t>
  </si>
  <si>
    <t>المادة (5) فقرة ج من لائحة نظام المستحضرات البيطرية</t>
  </si>
  <si>
    <t>المادة (5) فقر 11من لائحة نظام المستحضرات البيطرية</t>
  </si>
  <si>
    <t xml:space="preserve">المادة (14)  فقرة (2) من نظام المستحضرات البيطرية بدول مجلس التعاون لدول الخليج </t>
  </si>
  <si>
    <t>1/1/1</t>
  </si>
  <si>
    <t>قيمة ثابتة</t>
  </si>
  <si>
    <t>2/1/1</t>
  </si>
  <si>
    <t>3/1/1</t>
  </si>
  <si>
    <t>4/1/1</t>
  </si>
  <si>
    <t>5/1/1</t>
  </si>
  <si>
    <t>6/1/1</t>
  </si>
  <si>
    <t>7/1/1</t>
  </si>
  <si>
    <t>8/1/1</t>
  </si>
  <si>
    <t>9/1/1</t>
  </si>
  <si>
    <t>10/1/1</t>
  </si>
  <si>
    <t>11/1/1</t>
  </si>
  <si>
    <t>12/1/1</t>
  </si>
  <si>
    <t>13/1/1</t>
  </si>
  <si>
    <t>14/1/1</t>
  </si>
  <si>
    <t>15/1/1</t>
  </si>
  <si>
    <t>16/1/1</t>
  </si>
  <si>
    <t>الحد الأعلى</t>
  </si>
  <si>
    <t>الحد الأدنى</t>
  </si>
  <si>
    <t>عدم إسناد الإشراف على المصنع بجميع أقسامه ومختبراته إلى مدير فني</t>
  </si>
  <si>
    <t xml:space="preserve">تشغيل  المصنع في غير مارخص له </t>
  </si>
  <si>
    <t>17/1/1</t>
  </si>
  <si>
    <t>الفصل الثاني:  مخالفات تداول أو تسويق المستحضر البيطري</t>
  </si>
  <si>
    <t>1/2/1</t>
  </si>
  <si>
    <t>2/2/1</t>
  </si>
  <si>
    <t>3/2/1</t>
  </si>
  <si>
    <t>4/2/1</t>
  </si>
  <si>
    <t>عدم  التزام المصنع المحلي بتوفير مستحضر بيطري مسجل لم يسوق أو يستورد لمدة عام  وليس عليه بلاغ أو شكوى من انقطاعه.</t>
  </si>
  <si>
    <t xml:space="preserve"> عرض أو بيع المستحضر البيطري بسعر أعلى من السعر المحدد من الهيئة.</t>
  </si>
  <si>
    <t>5/2/1</t>
  </si>
  <si>
    <t>6/2/1</t>
  </si>
  <si>
    <t>8/2/1</t>
  </si>
  <si>
    <t>9/2/1</t>
  </si>
  <si>
    <t>10/2/1</t>
  </si>
  <si>
    <t>11/2/1</t>
  </si>
  <si>
    <t>12/2/1</t>
  </si>
  <si>
    <t>13/2/1</t>
  </si>
  <si>
    <t>14/2/1</t>
  </si>
  <si>
    <t>15/2/1</t>
  </si>
  <si>
    <t>نقل أو أستلم المستحضر ات البيطرية بوسيلة نقل غير مناسبة لذلك.</t>
  </si>
  <si>
    <t>16/2/1</t>
  </si>
  <si>
    <t>17/2/1</t>
  </si>
  <si>
    <t>18/2/1</t>
  </si>
  <si>
    <t>19/2/1</t>
  </si>
  <si>
    <t>20/2/1</t>
  </si>
  <si>
    <t>21/2/1</t>
  </si>
  <si>
    <t>22/2/1</t>
  </si>
  <si>
    <t>23/2/1</t>
  </si>
  <si>
    <t>24/2/1</t>
  </si>
  <si>
    <t>25/2/1</t>
  </si>
  <si>
    <t>عدم توفير نظام متكامل لمتابعة الآثار الجانبية للمستحضر البيطري ورصدها.</t>
  </si>
  <si>
    <t>26/2/1</t>
  </si>
  <si>
    <t>27/2/1</t>
  </si>
  <si>
    <t>28/2/1</t>
  </si>
  <si>
    <t>29/2/1</t>
  </si>
  <si>
    <t>30/2/1</t>
  </si>
  <si>
    <t>31/2/1</t>
  </si>
  <si>
    <t>32/2/1</t>
  </si>
  <si>
    <t>33/2/1</t>
  </si>
  <si>
    <t>34/2/1</t>
  </si>
  <si>
    <t>35/2/1</t>
  </si>
  <si>
    <t>36/2/1</t>
  </si>
  <si>
    <t>37/2/1</t>
  </si>
  <si>
    <t>38/2/1</t>
  </si>
  <si>
    <t>39/2/1</t>
  </si>
  <si>
    <t>40/2/1</t>
  </si>
  <si>
    <t>عدم الالتزام بالشروط أو المتطلبات أو التعاميم المنشورة على موقع الهيئة والمتعلقة بتداول او تسويق المستحضر البيطري</t>
  </si>
  <si>
    <t xml:space="preserve">  إتلاف المستحضر البيطري  دون وجود ما يثبت إتلافه عن طريق شركة متخصصة في التخلص الآمن من النفايات الطبية.</t>
  </si>
  <si>
    <t>مزاولة المصنع النشاط بعد إغلاقه  أو إلغاء ترخيصه من قِبل الهيئة.</t>
  </si>
  <si>
    <t>1/3/1</t>
  </si>
  <si>
    <t>2/3/1</t>
  </si>
  <si>
    <t>3/3/1</t>
  </si>
  <si>
    <t>4/3/1</t>
  </si>
  <si>
    <t>5/3/1</t>
  </si>
  <si>
    <t>6/3/1</t>
  </si>
  <si>
    <t>7/3/1</t>
  </si>
  <si>
    <t>8/3/1</t>
  </si>
  <si>
    <t>9/3/1</t>
  </si>
  <si>
    <t>10/3/1</t>
  </si>
  <si>
    <t>11/3/1</t>
  </si>
  <si>
    <t>12/3/1</t>
  </si>
  <si>
    <t>13/3/1</t>
  </si>
  <si>
    <t>1/1/2</t>
  </si>
  <si>
    <t>2/1/2</t>
  </si>
  <si>
    <t>3/1/2</t>
  </si>
  <si>
    <t>4/1/2</t>
  </si>
  <si>
    <t>5/1/2</t>
  </si>
  <si>
    <t>6/1/2</t>
  </si>
  <si>
    <t>7/1/2</t>
  </si>
  <si>
    <t>8/1/2</t>
  </si>
  <si>
    <t>9/1/2</t>
  </si>
  <si>
    <t>10/1/2</t>
  </si>
  <si>
    <t>11/1/2</t>
  </si>
  <si>
    <t>12/1/2</t>
  </si>
  <si>
    <t>13/1/2</t>
  </si>
  <si>
    <t>14/1/2</t>
  </si>
  <si>
    <t>15/1/2</t>
  </si>
  <si>
    <t>16/1/2</t>
  </si>
  <si>
    <t>17/1/2</t>
  </si>
  <si>
    <t>عدم الالتزام بالشروط أو المتطلبات او التعاميم المنشورة على موقع الهيئة والمتعلقة بترخيص أو تسجيل المستحضر البيطري</t>
  </si>
  <si>
    <t>1/2/2</t>
  </si>
  <si>
    <t>2/2/2</t>
  </si>
  <si>
    <t>3/2/2</t>
  </si>
  <si>
    <t>4/2/2</t>
  </si>
  <si>
    <t>5/2/2</t>
  </si>
  <si>
    <t>6/2/2</t>
  </si>
  <si>
    <t>7/2/2</t>
  </si>
  <si>
    <t>8/2/2</t>
  </si>
  <si>
    <t>9/2/2</t>
  </si>
  <si>
    <t>10/2/2</t>
  </si>
  <si>
    <t>11/2/2</t>
  </si>
  <si>
    <t>عدم وجود ثلاجة تبريد أو ثلاجة تجميد لتخزين المستحضرات البيطرية التي يتطلب تخزينها حسب توصية الشركة الصانعة في حال تداول المنشأة لتلك المستحضرات.</t>
  </si>
  <si>
    <t>تداول   مستحضر بيطري مسجل تم التعديل أو التغيير  على معلوماته دون موافقة الهيئة.</t>
  </si>
  <si>
    <t>12/2/2</t>
  </si>
  <si>
    <t>13/2/2</t>
  </si>
  <si>
    <t>14/2/2</t>
  </si>
  <si>
    <t>15/2/2</t>
  </si>
  <si>
    <t>16/2/2</t>
  </si>
  <si>
    <t>17/2/2</t>
  </si>
  <si>
    <t>18/2/2</t>
  </si>
  <si>
    <t>19/2/2</t>
  </si>
  <si>
    <t>20/2/2</t>
  </si>
  <si>
    <t>21/2/2</t>
  </si>
  <si>
    <t>22/2/2</t>
  </si>
  <si>
    <t>23/2/2</t>
  </si>
  <si>
    <t>24/2/2</t>
  </si>
  <si>
    <t>25/2/2</t>
  </si>
  <si>
    <t>26/2/2</t>
  </si>
  <si>
    <t>27/2/2</t>
  </si>
  <si>
    <t>28/2/2</t>
  </si>
  <si>
    <t>29/2/2</t>
  </si>
  <si>
    <t>30/2/2</t>
  </si>
  <si>
    <t>31/2/2</t>
  </si>
  <si>
    <t>32/2/2</t>
  </si>
  <si>
    <t>33/2/2</t>
  </si>
  <si>
    <t>34/2/2</t>
  </si>
  <si>
    <t>35/2/2</t>
  </si>
  <si>
    <t>36/2/2</t>
  </si>
  <si>
    <t>عدم الالتزام باستخدام الصيغة الموافق عليها للدعاية والإعلان من قبل الهيئة.</t>
  </si>
  <si>
    <t>37/2/2</t>
  </si>
  <si>
    <t>38/2/2</t>
  </si>
  <si>
    <t>39/2/2</t>
  </si>
  <si>
    <t>40/2/2</t>
  </si>
  <si>
    <t>41/2/2</t>
  </si>
  <si>
    <t>42/2/2</t>
  </si>
  <si>
    <t xml:space="preserve">تخزين مستحضر بيطري تالف أو منتهي الصلاحية أو فاسد بمدة تزيد عن سنة من تاريخ انتهاء صلاحية المستحضر .                                      </t>
  </si>
  <si>
    <t>43/2/2</t>
  </si>
  <si>
    <t>44/2/2</t>
  </si>
  <si>
    <t>45/2/2</t>
  </si>
  <si>
    <t>46/2/2</t>
  </si>
  <si>
    <t>47/2/2/</t>
  </si>
  <si>
    <t>48/2/2</t>
  </si>
  <si>
    <t>49/2/2</t>
  </si>
  <si>
    <t>50/2/2</t>
  </si>
  <si>
    <t>51/2/2</t>
  </si>
  <si>
    <t>عدم الالتزام بالشروط أو المتطلبات أو التعاميم المنشورة على موقع الهيئة والمتعلقة بتداول أو تسويق المستحضر البيطري</t>
  </si>
  <si>
    <t>52/2/2</t>
  </si>
  <si>
    <t>53/2/2</t>
  </si>
  <si>
    <t>54/2/2</t>
  </si>
  <si>
    <t>55/2/2</t>
  </si>
  <si>
    <t>56/2/2</t>
  </si>
  <si>
    <t>57/2/2</t>
  </si>
  <si>
    <t>58/2/2</t>
  </si>
  <si>
    <t>الامتناع عن تقديم معلومات تطلبها الهيئة متعلقةبالمستحضر البيطري</t>
  </si>
  <si>
    <t>1/3/2</t>
  </si>
  <si>
    <t>2/3/2</t>
  </si>
  <si>
    <t>3/3/2</t>
  </si>
  <si>
    <t>4/3/2</t>
  </si>
  <si>
    <t>5/3/2</t>
  </si>
  <si>
    <t>6/3/2</t>
  </si>
  <si>
    <t>7/3/2</t>
  </si>
  <si>
    <t>8/3/2</t>
  </si>
  <si>
    <t>9/3/2</t>
  </si>
  <si>
    <t>10/3/2</t>
  </si>
  <si>
    <t>11/3/2</t>
  </si>
  <si>
    <t>12/3/2</t>
  </si>
  <si>
    <t>1/1/3</t>
  </si>
  <si>
    <t>2/1/3</t>
  </si>
  <si>
    <t>3/1/3</t>
  </si>
  <si>
    <t>4/1/3</t>
  </si>
  <si>
    <t>5/1/3</t>
  </si>
  <si>
    <t>6/1/3</t>
  </si>
  <si>
    <t>7/1/3</t>
  </si>
  <si>
    <t>8/1/3</t>
  </si>
  <si>
    <t>9/1/3</t>
  </si>
  <si>
    <t>10/1/3</t>
  </si>
  <si>
    <t>11/1/3</t>
  </si>
  <si>
    <t>12/1/3</t>
  </si>
  <si>
    <t>13/1/3</t>
  </si>
  <si>
    <t>14/1/3</t>
  </si>
  <si>
    <t>15/1/3</t>
  </si>
  <si>
    <t>16/1/3</t>
  </si>
  <si>
    <t>17/1/3</t>
  </si>
  <si>
    <t>18/1/3</t>
  </si>
  <si>
    <t>19/1/3</t>
  </si>
  <si>
    <t>20/1/3</t>
  </si>
  <si>
    <t>21/1/3</t>
  </si>
  <si>
    <t>1/2/3</t>
  </si>
  <si>
    <t>2/2/3</t>
  </si>
  <si>
    <t>3/2/3</t>
  </si>
  <si>
    <t>4/2/3</t>
  </si>
  <si>
    <t>5/2/3</t>
  </si>
  <si>
    <t>6/2/3</t>
  </si>
  <si>
    <t>7/2/3</t>
  </si>
  <si>
    <t>8/2/3</t>
  </si>
  <si>
    <t>9/2/3</t>
  </si>
  <si>
    <t>10/2/3</t>
  </si>
  <si>
    <t>11/2/3</t>
  </si>
  <si>
    <t>تقديم للهيئة بيانات أو معلومات متعلقة بالمستحضر البيطري غير صحيحة</t>
  </si>
  <si>
    <t>الفصل الأول: مخالفات تداول أو تسويق المستحضر البيطري</t>
  </si>
  <si>
    <t>نقل أو استلم   المستحضرات البيطرية بوسيلة نقل غير مناسبة لذلك.</t>
  </si>
  <si>
    <t xml:space="preserve">تداول   مستحضر بيطري مسجل تم شراؤه بمعلومات العبوة الخارجيه تختلف عن المعلومات المسجلة دون موافقة الهيئة </t>
  </si>
  <si>
    <t>1/1/5</t>
  </si>
  <si>
    <t>2/1/5</t>
  </si>
  <si>
    <t>3/1/5</t>
  </si>
  <si>
    <t>4/1/5</t>
  </si>
  <si>
    <t>5/1/5</t>
  </si>
  <si>
    <t>6/1/5</t>
  </si>
  <si>
    <t>7/1/5</t>
  </si>
  <si>
    <t>8/1/5</t>
  </si>
  <si>
    <t>9/1/5</t>
  </si>
  <si>
    <t>10/1/5</t>
  </si>
  <si>
    <t>11/1/5</t>
  </si>
  <si>
    <t>12/1/5</t>
  </si>
  <si>
    <t>13/1/5</t>
  </si>
  <si>
    <t>14/1/5</t>
  </si>
  <si>
    <t>15/1/5</t>
  </si>
  <si>
    <t>16/1/5</t>
  </si>
  <si>
    <t>17/1/5</t>
  </si>
  <si>
    <t>عدم الالتزام باستخدام الصيغة الموافق عليها للدعاية والإعلان من قبل الهيئة</t>
  </si>
  <si>
    <t>18/1/5</t>
  </si>
  <si>
    <t>19/1/5</t>
  </si>
  <si>
    <t>20/1/5</t>
  </si>
  <si>
    <t>21/1/5</t>
  </si>
  <si>
    <t xml:space="preserve">  عدم الالتزام  بتقديم ما يثبت مصدر شراء المستحضر البيطري.</t>
  </si>
  <si>
    <t>22/1/5</t>
  </si>
  <si>
    <t>23/1/5</t>
  </si>
  <si>
    <t>24/1/5</t>
  </si>
  <si>
    <t xml:space="preserve">تداول مستحضر بيطري صدر له قرار سحب أو استدعاء دون موافقة الهيئة***.
</t>
  </si>
  <si>
    <t>25/1/5</t>
  </si>
  <si>
    <t>1/2/5</t>
  </si>
  <si>
    <t>2/2/5</t>
  </si>
  <si>
    <t>3/2/5</t>
  </si>
  <si>
    <t>4/2/5</t>
  </si>
  <si>
    <t>5/2/5</t>
  </si>
  <si>
    <t>6/2/5</t>
  </si>
  <si>
    <t xml:space="preserve">الفصل الأول:  مخالفات ترخيص المنشأة </t>
  </si>
  <si>
    <t>عدم تعيين صيدلي أو فني صيدلة أو طبيب بيطري مرخص مديراً للمستودع.</t>
  </si>
  <si>
    <t>ممارسة النشاط دون الحصول على ترخيص من الهيئة</t>
  </si>
  <si>
    <t>1/1/4</t>
  </si>
  <si>
    <t>2/1/4</t>
  </si>
  <si>
    <t>3/1/4</t>
  </si>
  <si>
    <t>4/1/4</t>
  </si>
  <si>
    <t>5/1/4</t>
  </si>
  <si>
    <t>6/1/4</t>
  </si>
  <si>
    <t>7/1/4</t>
  </si>
  <si>
    <t>8/1/4</t>
  </si>
  <si>
    <t>9/1/4</t>
  </si>
  <si>
    <t>10/1/4</t>
  </si>
  <si>
    <t xml:space="preserve">  ينطبق</t>
  </si>
  <si>
    <t>عدم الالتزام بالشروط أو المتطلبات او التعاميم المنشورة على موقع الهيئة والمتعلقة بالترخيص</t>
  </si>
  <si>
    <t xml:space="preserve">عدم وجود مقاييس للحرارة والرطوبة </t>
  </si>
  <si>
    <t xml:space="preserve">عدم وجود خريطة حرارية  </t>
  </si>
  <si>
    <t>البناء والسقف بالمستودع ليس من الخرسانة المسلحة أو مادة غير قابلة للاحتراق حسب شروط السلامة التي تقررها جهة الاختصاص</t>
  </si>
  <si>
    <t>أرضية المستودع منخفضة عن مستوى الطريق العام أو الأرض المحاذية أو المواجه له في حالة وجوده بالدور الأرضي</t>
  </si>
  <si>
    <t>عدم توزيع مقاييس الحرارة بالمستودع وثلاجة التبريد بشكل مناسب وفق الخريطة الحرارية</t>
  </si>
  <si>
    <t>عدم وجود مخزن منفصل  محكم الإغلاق لحفظ المواد الخطرة ودولاب محكم الأغلاق</t>
  </si>
  <si>
    <t>عدم وجود غرفة منفصلة لحفظ الأدوية المحتوية على مواد مخدرة أو مؤثرات عقلية وفق اشتراطات حفظ المواد المخدرة والمؤثرات العقلية المنشورة على موقع الهيئة</t>
  </si>
  <si>
    <t>عدم حفظ المبيد البيطري في مكان مستقل ومفصول عن باقي المستودع</t>
  </si>
  <si>
    <t>عدم حفظ المبيد البيطري في المستودع بمكان به تهوية مستقله</t>
  </si>
  <si>
    <t>عدم حفظ المبيد البيطري في المستودع في مكان به باب مستقل عن المستحضرات البيطرية</t>
  </si>
  <si>
    <t>عدم وجود ثلاجة تبريد أو ثلاجة تجميد لتخزين المستحضرات التي يتطلب تخزينها حسب توصية الشركة الصانعة في حال تداول المنشأة لتلك المستحضرات</t>
  </si>
  <si>
    <t>وجود مستحضر   بيطري تالف أو مرتجع أو منتهي الصلاحية في غير مكانه المخصص له بالمستودع</t>
  </si>
  <si>
    <t>عدم  تدوين كامل بيانات الوارد والمنصرف للمستحضر البيطري</t>
  </si>
  <si>
    <t xml:space="preserve">بيع مستحضر بيطري لم يكن مطبوعاً على غلافه الخارجي التسعيرة الرسمية ورقم التسجيل </t>
  </si>
  <si>
    <t>عرض أو بيع المستحضر البيطري بسعر أعلى من السعر المحدد من الهيئة</t>
  </si>
  <si>
    <t>1/2/4</t>
  </si>
  <si>
    <t>2/2/4</t>
  </si>
  <si>
    <t>3/2/4</t>
  </si>
  <si>
    <t>4/2/4</t>
  </si>
  <si>
    <t>5/2/4</t>
  </si>
  <si>
    <t>6/2/4</t>
  </si>
  <si>
    <t>7/2/4</t>
  </si>
  <si>
    <t>8/2/4</t>
  </si>
  <si>
    <t>9/2/4</t>
  </si>
  <si>
    <t>10/2/4</t>
  </si>
  <si>
    <t>11/2/4</t>
  </si>
  <si>
    <t>12/2/4</t>
  </si>
  <si>
    <t>13/2/4</t>
  </si>
  <si>
    <t>14/2/4</t>
  </si>
  <si>
    <t>15/2/4</t>
  </si>
  <si>
    <t>16/2/4</t>
  </si>
  <si>
    <t>17/2/4</t>
  </si>
  <si>
    <t>18/2/4</t>
  </si>
  <si>
    <t>19/2/4</t>
  </si>
  <si>
    <t>20/2/4</t>
  </si>
  <si>
    <t>21/2/4</t>
  </si>
  <si>
    <t>22/2/4</t>
  </si>
  <si>
    <t>23/2/4</t>
  </si>
  <si>
    <t>24/2/4</t>
  </si>
  <si>
    <t>25/2/4</t>
  </si>
  <si>
    <t>26/2/4</t>
  </si>
  <si>
    <t>27/2/4</t>
  </si>
  <si>
    <t>28/2/4</t>
  </si>
  <si>
    <t>29/2/4</t>
  </si>
  <si>
    <t>30/2/4</t>
  </si>
  <si>
    <t>31/2/4</t>
  </si>
  <si>
    <t>32/2/4</t>
  </si>
  <si>
    <t>33/2/4</t>
  </si>
  <si>
    <t>34/2/4</t>
  </si>
  <si>
    <t xml:space="preserve">تداول  مستحضر بيطري مسجل تم شراؤه بمعلومات العبوة الخارجيه تختلف عن المعلومات المسجلة دون موافقة الهيئة </t>
  </si>
  <si>
    <t>تداول مستحضر بيطري  مغشوش*</t>
  </si>
  <si>
    <t>تداول مستحضر بيطري  فاسد**</t>
  </si>
  <si>
    <t>عدم الالتزام بتقديم ما يثبت مصدر شراء المستحضر البيطري.</t>
  </si>
  <si>
    <t>35/2/4</t>
  </si>
  <si>
    <t>36/2/4</t>
  </si>
  <si>
    <t>37/2/4</t>
  </si>
  <si>
    <t>38/2/4</t>
  </si>
  <si>
    <t>39/2/4</t>
  </si>
  <si>
    <t>40/2/4</t>
  </si>
  <si>
    <t>41/2/4</t>
  </si>
  <si>
    <t>42/2/4</t>
  </si>
  <si>
    <t>43/2/4</t>
  </si>
  <si>
    <t>44/2/4</t>
  </si>
  <si>
    <t>45/2/4</t>
  </si>
  <si>
    <t>46/2/4</t>
  </si>
  <si>
    <t>47/2/4</t>
  </si>
  <si>
    <t>48/2/4</t>
  </si>
  <si>
    <t>عدم الالتزام بالشروط أو المتطلبات او التعاميم المنشورة على موقع الهيئة والمتعلقة بتداول أو تسويق المستحضر البيطري</t>
  </si>
  <si>
    <t xml:space="preserve"> تداول  مستحضر بيطري صدر له  قرار سحب أو استدعاء دون موافقة الهيئة***</t>
  </si>
  <si>
    <t>تصدير أو إعادة تصدير المستحضر البيطري دون موافقة الهيئة</t>
  </si>
  <si>
    <t>1/3/4</t>
  </si>
  <si>
    <t>2/3/4</t>
  </si>
  <si>
    <t>3/3/4</t>
  </si>
  <si>
    <t>4/3/4</t>
  </si>
  <si>
    <t>5/3/4</t>
  </si>
  <si>
    <t>6/3/4</t>
  </si>
  <si>
    <t>7/3/4</t>
  </si>
  <si>
    <t>8/3/4</t>
  </si>
  <si>
    <t>9/3/4</t>
  </si>
  <si>
    <t>10/3/4</t>
  </si>
  <si>
    <t>11/3/4</t>
  </si>
  <si>
    <t>12/3/4</t>
  </si>
  <si>
    <t>الفصل الأول:  مخالفات تداول أو تسويق المستحضر البيطري</t>
  </si>
  <si>
    <t>إسناد الإشراف على المصنع بجميع أقسامه ومختبراته إلى مدير فني غير خليجي</t>
  </si>
  <si>
    <t>عدم الالتزام بأن يكون مدير المستودع -الصيدلي أو فني صيدلة أو الطبيب  بيطري -خليجي.</t>
  </si>
  <si>
    <t>عدم تعيين صيدلي مرخص في حال كان المستودع يتاجر بالمواد المخدرة والمؤثرات العقلية ليكون مسؤولاً عنها.</t>
  </si>
  <si>
    <t>عدم الالتزام بأن يكون الصيدلي المسؤول عن المواد المخدرة والمؤثرات العقلية  في حال كان المستودع يتاجر بالمواد المخدرة والمؤثرات العقلية خليجي</t>
  </si>
  <si>
    <t>عدم الالتزام بأن يكون الصيدلي المسؤول عن المواد المخدرة والمؤثرات العقلية  في حال كان المستودع يتاجر بالمواد المخدرة والمؤثرات العقلية خليجي.</t>
  </si>
  <si>
    <t>المادة 23 لائحة نظام المستحضرات البيطرية</t>
  </si>
  <si>
    <t>المادة (9) فقرة (7)من لائحة نظام المستحضرات البيطرية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</si>
</sst>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scheme val="minor"/>
    </font>
    <font>
      <sz val="11"/>
      <color theme="1"/>
      <name val="Arial"/>
      <family val="2"/>
      <charset val="178"/>
      <scheme val="minor"/>
    </font>
    <font>
      <b/>
      <sz val="16"/>
      <name val="Sakkal Majalla"/>
    </font>
    <font>
      <sz val="11"/>
      <color rgb="FF006100"/>
      <name val="Arial"/>
      <family val="2"/>
      <scheme val="minor"/>
    </font>
    <font>
      <sz val="11"/>
      <color rgb="FF9C0006"/>
      <name val="Arial"/>
      <family val="2"/>
      <scheme val="minor"/>
    </font>
    <font>
      <sz val="11"/>
      <color theme="1"/>
      <name val="Arial"/>
      <family val="2"/>
      <scheme val="minor"/>
    </font>
    <font>
      <sz val="12"/>
      <color rgb="FF3F3F76"/>
      <name val="Arial"/>
      <family val="2"/>
      <scheme val="minor"/>
    </font>
    <font>
      <sz val="16"/>
      <name val="Sakkal Majalla"/>
    </font>
    <font>
      <b/>
      <sz val="14"/>
      <name val="Sakkal Majalla"/>
    </font>
    <font>
      <sz val="11"/>
      <name val="Sakkal Majalla"/>
    </font>
    <font>
      <sz val="11"/>
      <name val="Arial"/>
      <family val="2"/>
      <scheme val="minor"/>
    </font>
    <font>
      <sz val="14"/>
      <name val="Sakkal Majalla"/>
    </font>
    <font>
      <b/>
      <sz val="11"/>
      <name val="Arial"/>
      <family val="2"/>
      <scheme val="minor"/>
    </font>
    <font>
      <sz val="14"/>
      <name val="Arial"/>
      <family val="2"/>
      <scheme val="minor"/>
    </font>
    <font>
      <sz val="8"/>
      <name val="Arial"/>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theme="4" tint="0.59999389629810485"/>
        <bgColor indexed="65"/>
      </patternFill>
    </fill>
    <fill>
      <patternFill patternType="solid">
        <fgColor rgb="FFFFCC99"/>
      </patternFill>
    </fill>
    <fill>
      <patternFill patternType="solid">
        <fgColor theme="4" tint="0.59999389629810485"/>
        <bgColor indexed="64"/>
      </patternFill>
    </fill>
    <fill>
      <patternFill patternType="solid">
        <fgColor theme="7" tint="0.59999389629810485"/>
        <bgColor indexed="65"/>
      </patternFill>
    </fill>
    <fill>
      <patternFill patternType="solid">
        <fgColor theme="3" tint="0.79998168889431442"/>
        <bgColor indexed="64"/>
      </patternFill>
    </fill>
    <fill>
      <patternFill patternType="solid">
        <fgColor rgb="FFFFFF00"/>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6">
    <xf numFmtId="0" fontId="0" fillId="0" borderId="0"/>
    <xf numFmtId="0" fontId="3" fillId="5" borderId="0" applyNumberFormat="0" applyBorder="0" applyAlignment="0" applyProtection="0"/>
    <xf numFmtId="0" fontId="4" fillId="6" borderId="0" applyNumberFormat="0" applyBorder="0" applyAlignment="0" applyProtection="0"/>
    <xf numFmtId="0" fontId="5" fillId="7" borderId="0" applyNumberFormat="0" applyBorder="0" applyAlignment="0" applyProtection="0"/>
    <xf numFmtId="0" fontId="6" fillId="8" borderId="7" applyNumberFormat="0" applyAlignment="0" applyProtection="0"/>
    <xf numFmtId="0" fontId="1" fillId="10" borderId="0" applyNumberFormat="0" applyBorder="0" applyAlignment="0" applyProtection="0"/>
  </cellStyleXfs>
  <cellXfs count="227">
    <xf numFmtId="0" fontId="0" fillId="0" borderId="0" xfId="0"/>
    <xf numFmtId="3" fontId="2" fillId="4" borderId="1" xfId="1" applyNumberFormat="1" applyFont="1" applyFill="1" applyBorder="1" applyAlignment="1" applyProtection="1">
      <alignment horizontal="center" vertical="center" wrapText="1" readingOrder="2"/>
      <protection locked="0"/>
    </xf>
    <xf numFmtId="0" fontId="2" fillId="4" borderId="1" xfId="2" applyFont="1" applyFill="1" applyBorder="1" applyAlignment="1" applyProtection="1">
      <alignment horizontal="center" vertical="center" wrapText="1" readingOrder="2"/>
      <protection locked="0"/>
    </xf>
    <xf numFmtId="49" fontId="2" fillId="4" borderId="1" xfId="2" applyNumberFormat="1" applyFont="1" applyFill="1" applyBorder="1" applyAlignment="1" applyProtection="1">
      <alignment horizontal="center" vertical="center" wrapText="1" readingOrder="2"/>
      <protection locked="0"/>
    </xf>
    <xf numFmtId="3" fontId="2" fillId="0" borderId="1" xfId="0" applyNumberFormat="1" applyFont="1" applyBorder="1" applyAlignment="1" applyProtection="1">
      <alignment horizontal="center" vertical="center" wrapText="1" readingOrder="2"/>
      <protection locked="0"/>
    </xf>
    <xf numFmtId="49" fontId="7" fillId="0" borderId="1" xfId="2" applyNumberFormat="1" applyFont="1" applyFill="1" applyBorder="1" applyAlignment="1" applyProtection="1">
      <alignment horizontal="center" vertical="center" wrapText="1" readingOrder="2"/>
      <protection locked="0"/>
    </xf>
    <xf numFmtId="3" fontId="8" fillId="4" borderId="1" xfId="2" applyNumberFormat="1" applyFont="1" applyFill="1" applyBorder="1" applyAlignment="1" applyProtection="1">
      <alignment horizontal="center" vertical="center" wrapText="1" readingOrder="2"/>
      <protection locked="0"/>
    </xf>
    <xf numFmtId="3" fontId="8" fillId="4" borderId="1" xfId="4" applyNumberFormat="1" applyFont="1" applyFill="1" applyBorder="1" applyAlignment="1" applyProtection="1">
      <alignment horizontal="center" vertical="center" wrapText="1" readingOrder="2"/>
      <protection locked="0"/>
    </xf>
    <xf numFmtId="3" fontId="8" fillId="4" borderId="1" xfId="2" applyNumberFormat="1" applyFont="1" applyFill="1" applyBorder="1" applyAlignment="1" applyProtection="1">
      <alignment horizontal="center" vertical="center" wrapText="1" readingOrder="2"/>
      <protection hidden="1"/>
    </xf>
    <xf numFmtId="3" fontId="8" fillId="4" borderId="1" xfId="3" applyNumberFormat="1" applyFont="1" applyFill="1" applyBorder="1" applyAlignment="1" applyProtection="1">
      <alignment horizontal="center" vertical="center" wrapText="1" readingOrder="2"/>
      <protection locked="0"/>
    </xf>
    <xf numFmtId="0" fontId="8" fillId="4" borderId="1" xfId="1" applyNumberFormat="1" applyFont="1" applyFill="1" applyBorder="1" applyAlignment="1" applyProtection="1">
      <alignment horizontal="center" vertical="center" wrapText="1" readingOrder="2"/>
      <protection locked="0"/>
    </xf>
    <xf numFmtId="0" fontId="2" fillId="4" borderId="1" xfId="4" applyFont="1" applyFill="1" applyBorder="1" applyAlignment="1" applyProtection="1">
      <alignment horizontal="center" vertical="center" wrapText="1" readingOrder="2"/>
      <protection locked="0"/>
    </xf>
    <xf numFmtId="0" fontId="2" fillId="3" borderId="5" xfId="0" applyFont="1" applyFill="1" applyBorder="1" applyAlignment="1" applyProtection="1">
      <alignment horizontal="center" vertical="center" wrapText="1" readingOrder="2"/>
      <protection locked="0"/>
    </xf>
    <xf numFmtId="0" fontId="2" fillId="3" borderId="1" xfId="0" applyFont="1" applyFill="1" applyBorder="1" applyAlignment="1" applyProtection="1">
      <alignment horizontal="center" vertical="center" wrapText="1" readingOrder="2"/>
      <protection locked="0"/>
    </xf>
    <xf numFmtId="0" fontId="9" fillId="0" borderId="0" xfId="0" applyFont="1"/>
    <xf numFmtId="49" fontId="7" fillId="0" borderId="1" xfId="0" applyNumberFormat="1" applyFont="1" applyBorder="1" applyAlignment="1" applyProtection="1">
      <alignment horizontal="center" vertical="center" wrapText="1"/>
      <protection locked="0"/>
    </xf>
    <xf numFmtId="49" fontId="7" fillId="0" borderId="1" xfId="4" applyNumberFormat="1" applyFont="1" applyFill="1" applyBorder="1" applyAlignment="1" applyProtection="1">
      <alignment horizontal="center" vertical="center" wrapText="1" readingOrder="2"/>
      <protection locked="0"/>
    </xf>
    <xf numFmtId="3" fontId="2" fillId="4" borderId="1" xfId="1" applyNumberFormat="1" applyFont="1" applyFill="1" applyBorder="1" applyAlignment="1" applyProtection="1">
      <alignment horizontal="center" vertical="center" wrapText="1" readingOrder="2"/>
      <protection hidden="1"/>
    </xf>
    <xf numFmtId="0" fontId="7" fillId="4" borderId="1" xfId="1" applyFont="1" applyFill="1" applyBorder="1" applyAlignment="1" applyProtection="1">
      <alignment horizontal="center" vertical="center" wrapText="1" readingOrder="2"/>
      <protection locked="0"/>
    </xf>
    <xf numFmtId="49" fontId="2" fillId="0" borderId="1" xfId="0" applyNumberFormat="1" applyFont="1" applyBorder="1" applyAlignment="1" applyProtection="1">
      <alignment horizontal="center" vertical="center" wrapText="1" readingOrder="2"/>
      <protection hidden="1"/>
    </xf>
    <xf numFmtId="49" fontId="2" fillId="4" borderId="2" xfId="0" applyNumberFormat="1" applyFont="1" applyFill="1" applyBorder="1" applyAlignment="1" applyProtection="1">
      <alignment horizontal="center" vertical="center" wrapText="1" readingOrder="2"/>
      <protection locked="0"/>
    </xf>
    <xf numFmtId="0" fontId="2" fillId="0" borderId="0" xfId="0" applyFont="1"/>
    <xf numFmtId="0" fontId="10" fillId="0" borderId="0" xfId="0" applyFont="1"/>
    <xf numFmtId="0" fontId="11" fillId="0" borderId="0" xfId="0" applyFont="1"/>
    <xf numFmtId="0" fontId="9" fillId="0" borderId="0" xfId="0" applyFont="1" applyAlignment="1">
      <alignment horizontal="center"/>
    </xf>
    <xf numFmtId="0" fontId="2" fillId="3" borderId="14" xfId="0" applyFont="1" applyFill="1" applyBorder="1" applyAlignment="1" applyProtection="1">
      <alignment horizontal="center" vertical="center" wrapText="1" readingOrder="2"/>
      <protection locked="0"/>
    </xf>
    <xf numFmtId="49" fontId="7" fillId="4" borderId="1"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readingOrder="2"/>
      <protection hidden="1"/>
    </xf>
    <xf numFmtId="49" fontId="7" fillId="4" borderId="1" xfId="4" applyNumberFormat="1" applyFont="1" applyFill="1" applyBorder="1" applyAlignment="1" applyProtection="1">
      <alignment horizontal="center" vertical="center" wrapText="1" readingOrder="2"/>
      <protection locked="0"/>
    </xf>
    <xf numFmtId="49" fontId="2" fillId="4" borderId="1" xfId="4" applyNumberFormat="1" applyFont="1" applyFill="1" applyBorder="1" applyAlignment="1" applyProtection="1">
      <alignment horizontal="center" vertical="center" wrapText="1" readingOrder="2"/>
      <protection locked="0"/>
    </xf>
    <xf numFmtId="0" fontId="2" fillId="0" borderId="1" xfId="0" applyFont="1" applyBorder="1" applyAlignment="1" applyProtection="1">
      <alignment vertical="center" wrapText="1" readingOrder="2"/>
      <protection locked="0"/>
    </xf>
    <xf numFmtId="49" fontId="7" fillId="4" borderId="1" xfId="2" applyNumberFormat="1" applyFont="1" applyFill="1" applyBorder="1" applyAlignment="1" applyProtection="1">
      <alignment horizontal="center" vertical="center" wrapText="1" readingOrder="2"/>
      <protection locked="0"/>
    </xf>
    <xf numFmtId="0" fontId="10" fillId="4" borderId="0" xfId="0" applyFont="1" applyFill="1"/>
    <xf numFmtId="0" fontId="12" fillId="0" borderId="0" xfId="0" applyFont="1"/>
    <xf numFmtId="0" fontId="13" fillId="0" borderId="0" xfId="0" applyFont="1"/>
    <xf numFmtId="0" fontId="8" fillId="0" borderId="1" xfId="0" applyFont="1" applyBorder="1" applyAlignment="1">
      <alignment horizontal="center" vertical="center" wrapText="1"/>
    </xf>
    <xf numFmtId="0" fontId="8" fillId="0" borderId="5" xfId="0" applyFont="1" applyBorder="1" applyAlignment="1">
      <alignment horizontal="center" vertical="center" wrapText="1"/>
    </xf>
    <xf numFmtId="0" fontId="7" fillId="0" borderId="0" xfId="0" applyFont="1"/>
    <xf numFmtId="0" fontId="8" fillId="0" borderId="0" xfId="0" applyFont="1"/>
    <xf numFmtId="49" fontId="7" fillId="0" borderId="1" xfId="3" applyNumberFormat="1" applyFont="1" applyFill="1" applyBorder="1" applyAlignment="1" applyProtection="1">
      <alignment horizontal="center" vertical="center" wrapText="1" readingOrder="2"/>
      <protection locked="0"/>
    </xf>
    <xf numFmtId="0" fontId="2" fillId="4" borderId="2" xfId="1" applyFont="1" applyFill="1" applyBorder="1" applyAlignment="1" applyProtection="1">
      <alignment horizontal="center" vertical="center" wrapText="1" readingOrder="2"/>
      <protection locked="0"/>
    </xf>
    <xf numFmtId="0" fontId="2" fillId="4" borderId="2" xfId="0" applyFont="1" applyFill="1" applyBorder="1" applyAlignment="1" applyProtection="1">
      <alignment horizontal="center" vertical="center" wrapText="1" readingOrder="2"/>
      <protection locked="0"/>
    </xf>
    <xf numFmtId="0" fontId="2" fillId="4" borderId="2" xfId="4" applyFont="1" applyFill="1" applyBorder="1" applyAlignment="1" applyProtection="1">
      <alignment horizontal="center" vertical="center" wrapText="1" readingOrder="2"/>
      <protection locked="0"/>
    </xf>
    <xf numFmtId="49" fontId="7" fillId="4" borderId="1" xfId="0" applyNumberFormat="1" applyFont="1" applyFill="1" applyBorder="1" applyAlignment="1" applyProtection="1">
      <alignment horizontal="center" vertical="center" wrapText="1" readingOrder="2"/>
      <protection locked="0"/>
    </xf>
    <xf numFmtId="49" fontId="2" fillId="0" borderId="1" xfId="0" applyNumberFormat="1" applyFont="1" applyBorder="1" applyAlignment="1" applyProtection="1">
      <alignment horizontal="center" vertical="center" wrapText="1" readingOrder="2"/>
      <protection locked="0"/>
    </xf>
    <xf numFmtId="0" fontId="2" fillId="0" borderId="1" xfId="0" applyFont="1" applyBorder="1" applyAlignment="1" applyProtection="1">
      <alignment horizontal="center" vertical="center" wrapText="1" readingOrder="2"/>
      <protection locked="0"/>
    </xf>
    <xf numFmtId="3" fontId="8" fillId="0" borderId="1" xfId="0" applyNumberFormat="1" applyFont="1" applyBorder="1" applyAlignment="1" applyProtection="1">
      <alignment horizontal="center" vertical="center" wrapText="1" readingOrder="2"/>
      <protection locked="0"/>
    </xf>
    <xf numFmtId="0" fontId="11" fillId="0" borderId="1" xfId="0" applyFont="1" applyBorder="1" applyAlignment="1">
      <alignment horizontal="center" vertical="center" wrapText="1" readingOrder="2"/>
    </xf>
    <xf numFmtId="3" fontId="2" fillId="0" borderId="1" xfId="5" applyNumberFormat="1" applyFont="1" applyFill="1" applyBorder="1" applyAlignment="1" applyProtection="1">
      <alignment horizontal="center" vertical="center" wrapText="1" readingOrder="2"/>
      <protection locked="0"/>
    </xf>
    <xf numFmtId="49" fontId="7" fillId="4" borderId="1" xfId="1" applyNumberFormat="1" applyFont="1" applyFill="1" applyBorder="1" applyAlignment="1" applyProtection="1">
      <alignment horizontal="center" vertical="center" wrapText="1" readingOrder="2"/>
      <protection locked="0"/>
    </xf>
    <xf numFmtId="0" fontId="2" fillId="4" borderId="1" xfId="1" applyFont="1" applyFill="1" applyBorder="1" applyAlignment="1" applyProtection="1">
      <alignment horizontal="center" vertical="center" wrapText="1" readingOrder="2"/>
      <protection locked="0"/>
    </xf>
    <xf numFmtId="3" fontId="8" fillId="0" borderId="1" xfId="0" applyNumberFormat="1" applyFont="1" applyBorder="1" applyAlignment="1" applyProtection="1">
      <alignment horizontal="center" vertical="center" wrapText="1" readingOrder="2"/>
      <protection hidden="1"/>
    </xf>
    <xf numFmtId="3" fontId="8" fillId="4" borderId="1" xfId="1" applyNumberFormat="1" applyFont="1" applyFill="1" applyBorder="1" applyAlignment="1" applyProtection="1">
      <alignment horizontal="center" vertical="center" wrapText="1" readingOrder="2"/>
      <protection locked="0"/>
    </xf>
    <xf numFmtId="0" fontId="11" fillId="4" borderId="1" xfId="0" applyFont="1" applyFill="1" applyBorder="1" applyAlignment="1">
      <alignment horizontal="center" vertical="center" wrapText="1"/>
    </xf>
    <xf numFmtId="0" fontId="11" fillId="4" borderId="6" xfId="0" applyFont="1" applyFill="1" applyBorder="1" applyAlignment="1">
      <alignment horizontal="center" vertical="center" wrapText="1"/>
    </xf>
    <xf numFmtId="49" fontId="7" fillId="0" borderId="1" xfId="0" applyNumberFormat="1" applyFont="1" applyBorder="1" applyAlignment="1" applyProtection="1">
      <alignment horizontal="center" vertical="center" wrapText="1" readingOrder="2"/>
      <protection locked="0"/>
    </xf>
    <xf numFmtId="0" fontId="2" fillId="4" borderId="1" xfId="0" applyFont="1" applyFill="1" applyBorder="1" applyAlignment="1" applyProtection="1">
      <alignment horizontal="center" vertical="center" wrapText="1" readingOrder="2"/>
      <protection locked="0"/>
    </xf>
    <xf numFmtId="3" fontId="2" fillId="0" borderId="1" xfId="0" applyNumberFormat="1" applyFont="1" applyBorder="1" applyAlignment="1" applyProtection="1">
      <alignment horizontal="center" vertical="center" wrapText="1" readingOrder="2"/>
      <protection hidden="1"/>
    </xf>
    <xf numFmtId="3" fontId="8" fillId="4" borderId="1" xfId="0" applyNumberFormat="1" applyFont="1" applyFill="1" applyBorder="1" applyAlignment="1" applyProtection="1">
      <alignment horizontal="center" vertical="center" wrapText="1" readingOrder="2"/>
      <protection locked="0"/>
    </xf>
    <xf numFmtId="49" fontId="2" fillId="4" borderId="6" xfId="0" applyNumberFormat="1" applyFont="1" applyFill="1" applyBorder="1" applyAlignment="1" applyProtection="1">
      <alignment horizontal="center" vertical="center" wrapText="1" readingOrder="2"/>
      <protection locked="0"/>
    </xf>
    <xf numFmtId="49" fontId="2" fillId="0" borderId="6" xfId="0" applyNumberFormat="1" applyFont="1" applyBorder="1" applyAlignment="1" applyProtection="1">
      <alignment horizontal="center" vertical="center" wrapText="1" readingOrder="2"/>
      <protection locked="0"/>
    </xf>
    <xf numFmtId="3" fontId="8" fillId="4" borderId="6" xfId="4" applyNumberFormat="1" applyFont="1" applyFill="1" applyBorder="1" applyAlignment="1" applyProtection="1">
      <alignment horizontal="center" vertical="center" wrapText="1" readingOrder="2"/>
      <protection locked="0"/>
    </xf>
    <xf numFmtId="0" fontId="2" fillId="0" borderId="6" xfId="0" applyFont="1" applyBorder="1" applyAlignment="1" applyProtection="1">
      <alignment horizontal="center" vertical="center" wrapText="1" readingOrder="2"/>
      <protection locked="0"/>
    </xf>
    <xf numFmtId="0" fontId="2" fillId="4" borderId="18" xfId="1" applyFont="1" applyFill="1" applyBorder="1" applyAlignment="1" applyProtection="1">
      <alignment horizontal="center" vertical="center" wrapText="1" readingOrder="2"/>
      <protection locked="0"/>
    </xf>
    <xf numFmtId="3" fontId="2" fillId="4" borderId="18" xfId="1" applyNumberFormat="1" applyFont="1" applyFill="1" applyBorder="1" applyAlignment="1" applyProtection="1">
      <alignment horizontal="center" vertical="center" wrapText="1" readingOrder="2"/>
      <protection locked="0"/>
    </xf>
    <xf numFmtId="0" fontId="2" fillId="4" borderId="21" xfId="1" applyFont="1" applyFill="1" applyBorder="1" applyAlignment="1" applyProtection="1">
      <alignment horizontal="center" vertical="center" wrapText="1" readingOrder="2"/>
      <protection locked="0"/>
    </xf>
    <xf numFmtId="3" fontId="2" fillId="4" borderId="21" xfId="1" applyNumberFormat="1" applyFont="1" applyFill="1" applyBorder="1" applyAlignment="1" applyProtection="1">
      <alignment horizontal="center" vertical="center" wrapText="1" readingOrder="2"/>
      <protection locked="0"/>
    </xf>
    <xf numFmtId="49" fontId="7" fillId="0" borderId="1" xfId="1" applyNumberFormat="1" applyFont="1" applyFill="1" applyBorder="1" applyAlignment="1" applyProtection="1">
      <alignment horizontal="center" vertical="center" wrapText="1" readingOrder="2"/>
      <protection locked="0"/>
    </xf>
    <xf numFmtId="0" fontId="2" fillId="0" borderId="2" xfId="0" applyFont="1" applyBorder="1" applyAlignment="1" applyProtection="1">
      <alignment horizontal="center" vertical="center" wrapText="1" readingOrder="2"/>
      <protection locked="0"/>
    </xf>
    <xf numFmtId="0" fontId="11" fillId="0" borderId="16" xfId="0" applyFont="1" applyBorder="1" applyAlignment="1">
      <alignment horizontal="center" vertical="center" wrapText="1" readingOrder="2"/>
    </xf>
    <xf numFmtId="0" fontId="11" fillId="4" borderId="18" xfId="0" applyFont="1" applyFill="1" applyBorder="1" applyAlignment="1">
      <alignment horizontal="center" vertical="center" wrapText="1"/>
    </xf>
    <xf numFmtId="0" fontId="2" fillId="0" borderId="18" xfId="0" applyFont="1" applyBorder="1" applyAlignment="1" applyProtection="1">
      <alignment horizontal="center" vertical="center" wrapText="1" readingOrder="2"/>
      <protection locked="0"/>
    </xf>
    <xf numFmtId="3" fontId="8" fillId="4" borderId="18" xfId="1" applyNumberFormat="1" applyFont="1" applyFill="1" applyBorder="1" applyAlignment="1" applyProtection="1">
      <alignment horizontal="center" vertical="center" wrapText="1" readingOrder="2"/>
      <protection locked="0"/>
    </xf>
    <xf numFmtId="49" fontId="7" fillId="4" borderId="24" xfId="0" applyNumberFormat="1" applyFont="1" applyFill="1" applyBorder="1" applyAlignment="1" applyProtection="1">
      <alignment horizontal="center" vertical="center" wrapText="1" readingOrder="2"/>
      <protection locked="0"/>
    </xf>
    <xf numFmtId="49" fontId="2" fillId="4" borderId="18" xfId="0" applyNumberFormat="1" applyFont="1" applyFill="1" applyBorder="1" applyAlignment="1" applyProtection="1">
      <alignment horizontal="center" vertical="center" wrapText="1" readingOrder="2"/>
      <protection locked="0"/>
    </xf>
    <xf numFmtId="0" fontId="11" fillId="0" borderId="6" xfId="0" applyFont="1" applyBorder="1" applyAlignment="1">
      <alignment horizontal="center" vertical="center" wrapText="1" readingOrder="2"/>
    </xf>
    <xf numFmtId="49" fontId="2" fillId="4" borderId="1" xfId="1" applyNumberFormat="1" applyFont="1" applyFill="1" applyBorder="1" applyAlignment="1" applyProtection="1">
      <alignment horizontal="center" vertical="center" wrapText="1" readingOrder="2"/>
      <protection locked="0"/>
    </xf>
    <xf numFmtId="49" fontId="7" fillId="4" borderId="6" xfId="0" applyNumberFormat="1" applyFont="1" applyFill="1" applyBorder="1" applyAlignment="1" applyProtection="1">
      <alignment horizontal="center" vertical="center" wrapText="1" readingOrder="2"/>
      <protection locked="0"/>
    </xf>
    <xf numFmtId="49" fontId="2" fillId="4" borderId="1" xfId="0" applyNumberFormat="1" applyFont="1" applyFill="1" applyBorder="1" applyAlignment="1" applyProtection="1">
      <alignment horizontal="center" vertical="center" wrapText="1" readingOrder="2"/>
      <protection locked="0"/>
    </xf>
    <xf numFmtId="0" fontId="2" fillId="0" borderId="1" xfId="0" applyFont="1" applyBorder="1" applyAlignment="1" applyProtection="1">
      <alignment horizontal="center" vertical="center" wrapText="1" readingOrder="2"/>
      <protection locked="0"/>
    </xf>
    <xf numFmtId="49" fontId="2" fillId="0" borderId="6" xfId="0" applyNumberFormat="1" applyFont="1" applyBorder="1" applyAlignment="1" applyProtection="1">
      <alignment horizontal="center" vertical="center" wrapText="1" readingOrder="2"/>
      <protection locked="0"/>
    </xf>
    <xf numFmtId="49" fontId="2" fillId="0" borderId="1" xfId="0" applyNumberFormat="1" applyFont="1" applyBorder="1" applyAlignment="1" applyProtection="1">
      <alignment horizontal="center" vertical="center" wrapText="1" readingOrder="2"/>
      <protection locked="0"/>
    </xf>
    <xf numFmtId="49" fontId="2" fillId="4" borderId="1" xfId="1" applyNumberFormat="1" applyFont="1" applyFill="1" applyBorder="1" applyAlignment="1" applyProtection="1">
      <alignment horizontal="center" vertical="center" wrapText="1" readingOrder="2"/>
      <protection locked="0"/>
    </xf>
    <xf numFmtId="0" fontId="2" fillId="4" borderId="1" xfId="1" applyFont="1" applyFill="1" applyBorder="1" applyAlignment="1" applyProtection="1">
      <alignment horizontal="center" vertical="center" wrapText="1" readingOrder="2"/>
      <protection locked="0"/>
    </xf>
    <xf numFmtId="0" fontId="2" fillId="4" borderId="1" xfId="0" applyFont="1" applyFill="1" applyBorder="1" applyAlignment="1" applyProtection="1">
      <alignment horizontal="center" vertical="center" wrapText="1" readingOrder="2"/>
      <protection locked="0"/>
    </xf>
    <xf numFmtId="49" fontId="2" fillId="4" borderId="1" xfId="0" applyNumberFormat="1" applyFont="1" applyFill="1" applyBorder="1" applyAlignment="1" applyProtection="1">
      <alignment horizontal="center" vertical="center" wrapText="1" readingOrder="2"/>
      <protection locked="0"/>
    </xf>
    <xf numFmtId="0" fontId="11" fillId="0" borderId="0" xfId="0" applyFont="1" applyAlignment="1">
      <alignment horizontal="center"/>
    </xf>
    <xf numFmtId="49" fontId="2" fillId="4" borderId="1" xfId="1" applyNumberFormat="1" applyFont="1" applyFill="1" applyBorder="1" applyAlignment="1" applyProtection="1">
      <alignment horizontal="center" vertical="center" wrapText="1" readingOrder="2"/>
      <protection locked="0"/>
    </xf>
    <xf numFmtId="0" fontId="2" fillId="0" borderId="1" xfId="0" applyFont="1" applyBorder="1" applyAlignment="1" applyProtection="1">
      <alignment horizontal="center" vertical="center" wrapText="1" readingOrder="2"/>
      <protection locked="0"/>
    </xf>
    <xf numFmtId="49" fontId="2" fillId="0" borderId="6" xfId="0" applyNumberFormat="1" applyFont="1" applyBorder="1" applyAlignment="1" applyProtection="1">
      <alignment horizontal="center" vertical="center" wrapText="1" readingOrder="2"/>
      <protection locked="0"/>
    </xf>
    <xf numFmtId="49" fontId="7" fillId="12" borderId="1" xfId="0" applyNumberFormat="1" applyFont="1" applyFill="1" applyBorder="1" applyAlignment="1" applyProtection="1">
      <alignment horizontal="center" vertical="center" wrapText="1" readingOrder="2"/>
      <protection locked="0"/>
    </xf>
    <xf numFmtId="0" fontId="2" fillId="12" borderId="1" xfId="0" applyFont="1" applyFill="1" applyBorder="1" applyAlignment="1" applyProtection="1">
      <alignment horizontal="center" vertical="center" wrapText="1" readingOrder="2"/>
      <protection locked="0"/>
    </xf>
    <xf numFmtId="3" fontId="8" fillId="12" borderId="1" xfId="0" applyNumberFormat="1" applyFont="1" applyFill="1" applyBorder="1" applyAlignment="1" applyProtection="1">
      <alignment horizontal="center" vertical="center" wrapText="1" readingOrder="2"/>
      <protection hidden="1"/>
    </xf>
    <xf numFmtId="3" fontId="2" fillId="12" borderId="1" xfId="0" applyNumberFormat="1" applyFont="1" applyFill="1" applyBorder="1" applyAlignment="1" applyProtection="1">
      <alignment horizontal="center" vertical="center" wrapText="1" readingOrder="2"/>
      <protection locked="0"/>
    </xf>
    <xf numFmtId="3" fontId="2" fillId="12" borderId="1" xfId="0" applyNumberFormat="1" applyFont="1" applyFill="1" applyBorder="1" applyAlignment="1" applyProtection="1">
      <alignment horizontal="center" vertical="center" wrapText="1" readingOrder="2"/>
      <protection hidden="1"/>
    </xf>
    <xf numFmtId="0" fontId="2" fillId="12" borderId="1" xfId="0" applyFont="1" applyFill="1" applyBorder="1" applyAlignment="1" applyProtection="1">
      <alignment horizontal="center" vertical="center" wrapText="1" readingOrder="2"/>
      <protection hidden="1"/>
    </xf>
    <xf numFmtId="14" fontId="7" fillId="4" borderId="1" xfId="1" applyNumberFormat="1" applyFont="1" applyFill="1" applyBorder="1" applyAlignment="1" applyProtection="1">
      <alignment horizontal="center" vertical="center" wrapText="1" readingOrder="2"/>
      <protection locked="0"/>
    </xf>
    <xf numFmtId="49" fontId="7" fillId="12" borderId="1" xfId="1" applyNumberFormat="1" applyFont="1" applyFill="1" applyBorder="1" applyAlignment="1" applyProtection="1">
      <alignment horizontal="center" vertical="center" wrapText="1" readingOrder="2"/>
      <protection locked="0"/>
    </xf>
    <xf numFmtId="0" fontId="2" fillId="12" borderId="1" xfId="1" applyFont="1" applyFill="1" applyBorder="1" applyAlignment="1" applyProtection="1">
      <alignment horizontal="center" vertical="center" wrapText="1" readingOrder="2"/>
      <protection locked="0"/>
    </xf>
    <xf numFmtId="0" fontId="2" fillId="12" borderId="2" xfId="1" applyFont="1" applyFill="1" applyBorder="1" applyAlignment="1" applyProtection="1">
      <alignment horizontal="center" vertical="center" wrapText="1" readingOrder="2"/>
      <protection locked="0"/>
    </xf>
    <xf numFmtId="3" fontId="8" fillId="0" borderId="6" xfId="0" applyNumberFormat="1" applyFont="1" applyBorder="1" applyAlignment="1" applyProtection="1">
      <alignment horizontal="center" vertical="center" wrapText="1" readingOrder="2"/>
      <protection hidden="1"/>
    </xf>
    <xf numFmtId="3" fontId="8" fillId="0" borderId="5" xfId="0" applyNumberFormat="1" applyFont="1" applyBorder="1" applyAlignment="1" applyProtection="1">
      <alignment horizontal="center" vertical="center" wrapText="1" readingOrder="2"/>
      <protection hidden="1"/>
    </xf>
    <xf numFmtId="3" fontId="8" fillId="0" borderId="6" xfId="0" applyNumberFormat="1" applyFont="1" applyBorder="1" applyAlignment="1" applyProtection="1">
      <alignment horizontal="center" vertical="center" wrapText="1" readingOrder="2"/>
      <protection locked="0"/>
    </xf>
    <xf numFmtId="3" fontId="8" fillId="0" borderId="5" xfId="0" applyNumberFormat="1" applyFont="1" applyBorder="1" applyAlignment="1" applyProtection="1">
      <alignment horizontal="center" vertical="center" wrapText="1" readingOrder="2"/>
      <protection locked="0"/>
    </xf>
    <xf numFmtId="0" fontId="11" fillId="0" borderId="6" xfId="0" applyFont="1" applyBorder="1" applyAlignment="1">
      <alignment horizontal="center" vertical="center" wrapText="1" readingOrder="2"/>
    </xf>
    <xf numFmtId="0" fontId="11" fillId="0" borderId="5" xfId="0" applyFont="1" applyBorder="1" applyAlignment="1">
      <alignment horizontal="center" vertical="center" wrapText="1" readingOrder="2"/>
    </xf>
    <xf numFmtId="3" fontId="2" fillId="0" borderId="1" xfId="5" applyNumberFormat="1" applyFont="1" applyFill="1" applyBorder="1" applyAlignment="1" applyProtection="1">
      <alignment horizontal="center" vertical="center" wrapText="1" readingOrder="2"/>
      <protection locked="0"/>
    </xf>
    <xf numFmtId="3" fontId="2" fillId="4" borderId="6" xfId="1" applyNumberFormat="1" applyFont="1" applyFill="1" applyBorder="1" applyAlignment="1" applyProtection="1">
      <alignment horizontal="center" vertical="center" wrapText="1" readingOrder="2"/>
      <protection hidden="1"/>
    </xf>
    <xf numFmtId="3" fontId="2" fillId="4" borderId="5" xfId="1" applyNumberFormat="1" applyFont="1" applyFill="1" applyBorder="1" applyAlignment="1" applyProtection="1">
      <alignment horizontal="center" vertical="center" wrapText="1" readingOrder="2"/>
      <protection hidden="1"/>
    </xf>
    <xf numFmtId="0" fontId="2" fillId="4" borderId="6" xfId="1" applyFont="1" applyFill="1" applyBorder="1" applyAlignment="1" applyProtection="1">
      <alignment horizontal="center" vertical="center" wrapText="1" readingOrder="2"/>
      <protection locked="0"/>
    </xf>
    <xf numFmtId="0" fontId="2" fillId="4" borderId="15" xfId="1" applyFont="1" applyFill="1" applyBorder="1" applyAlignment="1" applyProtection="1">
      <alignment horizontal="center" vertical="center" wrapText="1" readingOrder="2"/>
      <protection locked="0"/>
    </xf>
    <xf numFmtId="0" fontId="2" fillId="4" borderId="5" xfId="1" applyFont="1" applyFill="1" applyBorder="1" applyAlignment="1" applyProtection="1">
      <alignment horizontal="center" vertical="center" wrapText="1" readingOrder="2"/>
      <protection locked="0"/>
    </xf>
    <xf numFmtId="0" fontId="11" fillId="0" borderId="15" xfId="0" applyFont="1" applyBorder="1" applyAlignment="1">
      <alignment horizontal="center" vertical="center" wrapText="1" readingOrder="2"/>
    </xf>
    <xf numFmtId="3" fontId="2" fillId="4" borderId="2" xfId="5" applyNumberFormat="1" applyFont="1" applyFill="1" applyBorder="1" applyAlignment="1" applyProtection="1">
      <alignment horizontal="center" vertical="center" wrapText="1" readingOrder="2"/>
      <protection locked="0"/>
    </xf>
    <xf numFmtId="3" fontId="2" fillId="4" borderId="3" xfId="5" applyNumberFormat="1" applyFont="1" applyFill="1" applyBorder="1" applyAlignment="1" applyProtection="1">
      <alignment horizontal="center" vertical="center" wrapText="1" readingOrder="2"/>
      <protection locked="0"/>
    </xf>
    <xf numFmtId="3" fontId="2" fillId="4" borderId="4" xfId="5" applyNumberFormat="1" applyFont="1" applyFill="1" applyBorder="1" applyAlignment="1" applyProtection="1">
      <alignment horizontal="center" vertical="center" wrapText="1" readingOrder="2"/>
      <protection locked="0"/>
    </xf>
    <xf numFmtId="3" fontId="2" fillId="4" borderId="8" xfId="5" applyNumberFormat="1" applyFont="1" applyFill="1" applyBorder="1" applyAlignment="1" applyProtection="1">
      <alignment horizontal="center" vertical="center" wrapText="1" readingOrder="2"/>
      <protection locked="0"/>
    </xf>
    <xf numFmtId="3" fontId="2" fillId="4" borderId="9" xfId="5" applyNumberFormat="1" applyFont="1" applyFill="1" applyBorder="1" applyAlignment="1" applyProtection="1">
      <alignment horizontal="center" vertical="center" wrapText="1" readingOrder="2"/>
      <protection locked="0"/>
    </xf>
    <xf numFmtId="3" fontId="2" fillId="4" borderId="10" xfId="5" applyNumberFormat="1" applyFont="1" applyFill="1" applyBorder="1" applyAlignment="1" applyProtection="1">
      <alignment horizontal="center" vertical="center" wrapText="1" readingOrder="2"/>
      <protection locked="0"/>
    </xf>
    <xf numFmtId="3" fontId="2" fillId="4" borderId="11" xfId="5" applyNumberFormat="1" applyFont="1" applyFill="1" applyBorder="1" applyAlignment="1" applyProtection="1">
      <alignment horizontal="center" vertical="center" wrapText="1" readingOrder="2"/>
      <protection locked="0"/>
    </xf>
    <xf numFmtId="3" fontId="2" fillId="4" borderId="12" xfId="5" applyNumberFormat="1" applyFont="1" applyFill="1" applyBorder="1" applyAlignment="1" applyProtection="1">
      <alignment horizontal="center" vertical="center" wrapText="1" readingOrder="2"/>
      <protection locked="0"/>
    </xf>
    <xf numFmtId="3" fontId="2" fillId="4" borderId="13" xfId="5" applyNumberFormat="1" applyFont="1" applyFill="1" applyBorder="1" applyAlignment="1" applyProtection="1">
      <alignment horizontal="center" vertical="center" wrapText="1" readingOrder="2"/>
      <protection locked="0"/>
    </xf>
    <xf numFmtId="3" fontId="2" fillId="0" borderId="6" xfId="5" applyNumberFormat="1" applyFont="1" applyFill="1" applyBorder="1" applyAlignment="1" applyProtection="1">
      <alignment horizontal="center" vertical="center" wrapText="1" readingOrder="2"/>
      <protection locked="0"/>
    </xf>
    <xf numFmtId="0" fontId="11" fillId="4" borderId="21"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2" fillId="9" borderId="17" xfId="0" applyFont="1" applyFill="1" applyBorder="1" applyAlignment="1" applyProtection="1">
      <alignment horizontal="center" vertical="center" wrapText="1" readingOrder="2"/>
      <protection locked="0"/>
    </xf>
    <xf numFmtId="0" fontId="2" fillId="9" borderId="19" xfId="0" applyFont="1" applyFill="1" applyBorder="1" applyAlignment="1" applyProtection="1">
      <alignment horizontal="center" vertical="center" wrapText="1" readingOrder="2"/>
      <protection locked="0"/>
    </xf>
    <xf numFmtId="49" fontId="7" fillId="0" borderId="24" xfId="0" applyNumberFormat="1" applyFont="1" applyBorder="1" applyAlignment="1" applyProtection="1">
      <alignment horizontal="center" vertical="center" wrapText="1" readingOrder="2"/>
      <protection locked="0"/>
    </xf>
    <xf numFmtId="49" fontId="7" fillId="0" borderId="22" xfId="0" applyNumberFormat="1" applyFont="1" applyBorder="1" applyAlignment="1" applyProtection="1">
      <alignment horizontal="center" vertical="center" wrapText="1" readingOrder="2"/>
      <protection locked="0"/>
    </xf>
    <xf numFmtId="49" fontId="2" fillId="0" borderId="18" xfId="0" applyNumberFormat="1" applyFont="1" applyBorder="1" applyAlignment="1" applyProtection="1">
      <alignment horizontal="center" vertical="center" wrapText="1" readingOrder="2"/>
      <protection locked="0"/>
    </xf>
    <xf numFmtId="49" fontId="2" fillId="0" borderId="23" xfId="0" applyNumberFormat="1" applyFont="1" applyBorder="1" applyAlignment="1" applyProtection="1">
      <alignment horizontal="center" vertical="center" wrapText="1" readingOrder="2"/>
      <protection locked="0"/>
    </xf>
    <xf numFmtId="0" fontId="2" fillId="0" borderId="18" xfId="0" applyFont="1" applyBorder="1" applyAlignment="1" applyProtection="1">
      <alignment horizontal="center" vertical="center" wrapText="1" readingOrder="2"/>
      <protection locked="0"/>
    </xf>
    <xf numFmtId="0" fontId="2" fillId="0" borderId="23" xfId="0" applyFont="1" applyBorder="1" applyAlignment="1" applyProtection="1">
      <alignment horizontal="center" vertical="center" wrapText="1" readingOrder="2"/>
      <protection locked="0"/>
    </xf>
    <xf numFmtId="0" fontId="11" fillId="4" borderId="23" xfId="0" applyFont="1" applyFill="1" applyBorder="1" applyAlignment="1">
      <alignment horizontal="center" vertical="center" wrapText="1"/>
    </xf>
    <xf numFmtId="3" fontId="8" fillId="4" borderId="21" xfId="1" applyNumberFormat="1" applyFont="1" applyFill="1" applyBorder="1" applyAlignment="1" applyProtection="1">
      <alignment horizontal="center" vertical="center" wrapText="1" readingOrder="2"/>
      <protection locked="0"/>
    </xf>
    <xf numFmtId="3" fontId="8" fillId="4" borderId="18" xfId="1" applyNumberFormat="1" applyFont="1" applyFill="1" applyBorder="1" applyAlignment="1" applyProtection="1">
      <alignment horizontal="center" vertical="center" wrapText="1" readingOrder="2"/>
      <protection locked="0"/>
    </xf>
    <xf numFmtId="49" fontId="7" fillId="4" borderId="20" xfId="0" applyNumberFormat="1" applyFont="1" applyFill="1" applyBorder="1" applyAlignment="1" applyProtection="1">
      <alignment horizontal="center" vertical="center" wrapText="1" readingOrder="2"/>
      <protection locked="0"/>
    </xf>
    <xf numFmtId="49" fontId="7" fillId="4" borderId="24" xfId="0" applyNumberFormat="1" applyFont="1" applyFill="1" applyBorder="1" applyAlignment="1" applyProtection="1">
      <alignment horizontal="center" vertical="center" wrapText="1" readingOrder="2"/>
      <protection locked="0"/>
    </xf>
    <xf numFmtId="49" fontId="2" fillId="4" borderId="21" xfId="0" applyNumberFormat="1" applyFont="1" applyFill="1" applyBorder="1" applyAlignment="1" applyProtection="1">
      <alignment horizontal="center" vertical="center" wrapText="1" readingOrder="2"/>
      <protection locked="0"/>
    </xf>
    <xf numFmtId="49" fontId="2" fillId="4" borderId="18" xfId="0" applyNumberFormat="1" applyFont="1" applyFill="1" applyBorder="1" applyAlignment="1" applyProtection="1">
      <alignment horizontal="center" vertical="center" wrapText="1" readingOrder="2"/>
      <protection locked="0"/>
    </xf>
    <xf numFmtId="0" fontId="2" fillId="0" borderId="21" xfId="0" applyFont="1" applyBorder="1" applyAlignment="1" applyProtection="1">
      <alignment horizontal="center" vertical="center" wrapText="1" readingOrder="2"/>
      <protection locked="0"/>
    </xf>
    <xf numFmtId="3" fontId="2" fillId="0" borderId="18" xfId="5" applyNumberFormat="1" applyFont="1" applyFill="1" applyBorder="1" applyAlignment="1" applyProtection="1">
      <alignment horizontal="center" vertical="center" wrapText="1" readingOrder="2"/>
      <protection locked="0"/>
    </xf>
    <xf numFmtId="3" fontId="2" fillId="0" borderId="23" xfId="5" applyNumberFormat="1" applyFont="1" applyFill="1" applyBorder="1" applyAlignment="1" applyProtection="1">
      <alignment horizontal="center" vertical="center" wrapText="1" readingOrder="2"/>
      <protection locked="0"/>
    </xf>
    <xf numFmtId="3" fontId="2" fillId="0" borderId="2" xfId="5" applyNumberFormat="1" applyFont="1" applyFill="1" applyBorder="1" applyAlignment="1" applyProtection="1">
      <alignment horizontal="center" vertical="center" wrapText="1" readingOrder="2"/>
      <protection locked="0"/>
    </xf>
    <xf numFmtId="3" fontId="2" fillId="0" borderId="3" xfId="5" applyNumberFormat="1" applyFont="1" applyFill="1" applyBorder="1" applyAlignment="1" applyProtection="1">
      <alignment horizontal="center" vertical="center" wrapText="1" readingOrder="2"/>
      <protection locked="0"/>
    </xf>
    <xf numFmtId="3" fontId="2" fillId="0" borderId="4" xfId="5" applyNumberFormat="1" applyFont="1" applyFill="1" applyBorder="1" applyAlignment="1" applyProtection="1">
      <alignment horizontal="center" vertical="center" wrapText="1" readingOrder="2"/>
      <protection locked="0"/>
    </xf>
    <xf numFmtId="49" fontId="7" fillId="4" borderId="6" xfId="1" applyNumberFormat="1" applyFont="1" applyFill="1" applyBorder="1" applyAlignment="1" applyProtection="1">
      <alignment horizontal="center" vertical="center" wrapText="1" readingOrder="2"/>
      <protection locked="0"/>
    </xf>
    <xf numFmtId="49" fontId="7" fillId="4" borderId="15" xfId="1" applyNumberFormat="1" applyFont="1" applyFill="1" applyBorder="1" applyAlignment="1" applyProtection="1">
      <alignment horizontal="center" vertical="center" wrapText="1" readingOrder="2"/>
      <protection locked="0"/>
    </xf>
    <xf numFmtId="49" fontId="7" fillId="4" borderId="5" xfId="1" applyNumberFormat="1" applyFont="1" applyFill="1" applyBorder="1" applyAlignment="1" applyProtection="1">
      <alignment horizontal="center" vertical="center" wrapText="1" readingOrder="2"/>
      <protection locked="0"/>
    </xf>
    <xf numFmtId="3" fontId="2" fillId="4" borderId="6" xfId="1" applyNumberFormat="1" applyFont="1" applyFill="1" applyBorder="1" applyAlignment="1" applyProtection="1">
      <alignment horizontal="center" vertical="center" wrapText="1" readingOrder="2"/>
      <protection locked="0"/>
    </xf>
    <xf numFmtId="3" fontId="2" fillId="4" borderId="5" xfId="1" applyNumberFormat="1" applyFont="1" applyFill="1" applyBorder="1" applyAlignment="1" applyProtection="1">
      <alignment horizontal="center" vertical="center" wrapText="1" readingOrder="2"/>
      <protection locked="0"/>
    </xf>
    <xf numFmtId="0" fontId="2" fillId="2" borderId="25" xfId="0" applyFont="1" applyFill="1" applyBorder="1" applyAlignment="1" applyProtection="1">
      <alignment horizontal="center" vertical="center" wrapText="1" readingOrder="2"/>
      <protection locked="0"/>
    </xf>
    <xf numFmtId="0" fontId="2" fillId="2" borderId="0" xfId="0" applyFont="1" applyFill="1" applyAlignment="1" applyProtection="1">
      <alignment horizontal="center" vertical="center" wrapText="1" readingOrder="2"/>
      <protection locked="0"/>
    </xf>
    <xf numFmtId="49" fontId="7" fillId="4" borderId="1" xfId="1" applyNumberFormat="1" applyFont="1" applyFill="1" applyBorder="1" applyAlignment="1" applyProtection="1">
      <alignment horizontal="center" vertical="center" wrapText="1" readingOrder="2"/>
      <protection locked="0"/>
    </xf>
    <xf numFmtId="49" fontId="2" fillId="4" borderId="1" xfId="1" applyNumberFormat="1" applyFont="1" applyFill="1" applyBorder="1" applyAlignment="1" applyProtection="1">
      <alignment horizontal="center" vertical="center" wrapText="1" readingOrder="2"/>
      <protection locked="0"/>
    </xf>
    <xf numFmtId="0" fontId="2" fillId="4" borderId="1" xfId="1" applyFont="1" applyFill="1" applyBorder="1" applyAlignment="1" applyProtection="1">
      <alignment horizontal="center" vertical="center" wrapText="1" readingOrder="2"/>
      <protection locked="0"/>
    </xf>
    <xf numFmtId="3" fontId="8" fillId="0" borderId="1" xfId="0" applyNumberFormat="1" applyFont="1" applyBorder="1" applyAlignment="1" applyProtection="1">
      <alignment horizontal="center" vertical="center" wrapText="1" readingOrder="2"/>
      <protection hidden="1"/>
    </xf>
    <xf numFmtId="3" fontId="8" fillId="4" borderId="1" xfId="1" applyNumberFormat="1" applyFont="1" applyFill="1" applyBorder="1" applyAlignment="1" applyProtection="1">
      <alignment horizontal="center" vertical="center" wrapText="1" readingOrder="2"/>
      <protection locked="0"/>
    </xf>
    <xf numFmtId="49" fontId="7" fillId="4" borderId="1" xfId="0" applyNumberFormat="1" applyFont="1" applyFill="1" applyBorder="1" applyAlignment="1" applyProtection="1">
      <alignment horizontal="center" vertical="center" wrapText="1" readingOrder="2"/>
      <protection locked="0"/>
    </xf>
    <xf numFmtId="49" fontId="2" fillId="0" borderId="1" xfId="0" applyNumberFormat="1" applyFont="1" applyBorder="1" applyAlignment="1" applyProtection="1">
      <alignment horizontal="center" vertical="center" wrapText="1" readingOrder="2"/>
      <protection locked="0"/>
    </xf>
    <xf numFmtId="0" fontId="2" fillId="0" borderId="1" xfId="0" applyFont="1" applyBorder="1" applyAlignment="1" applyProtection="1">
      <alignment horizontal="center" vertical="center" wrapText="1" readingOrder="2"/>
      <protection locked="0"/>
    </xf>
    <xf numFmtId="0" fontId="2" fillId="3" borderId="6" xfId="0" applyFont="1" applyFill="1" applyBorder="1" applyAlignment="1" applyProtection="1">
      <alignment horizontal="center" vertical="center" wrapText="1" readingOrder="2"/>
      <protection locked="0"/>
    </xf>
    <xf numFmtId="0" fontId="2" fillId="3" borderId="5" xfId="0" applyFont="1" applyFill="1" applyBorder="1" applyAlignment="1" applyProtection="1">
      <alignment horizontal="center" vertical="center" wrapText="1" readingOrder="2"/>
      <protection locked="0"/>
    </xf>
    <xf numFmtId="0" fontId="2" fillId="3" borderId="2" xfId="0" applyFont="1" applyFill="1" applyBorder="1" applyAlignment="1" applyProtection="1">
      <alignment horizontal="center" vertical="center" wrapText="1" readingOrder="2"/>
      <protection locked="0"/>
    </xf>
    <xf numFmtId="0" fontId="2" fillId="3" borderId="3" xfId="0" applyFont="1" applyFill="1" applyBorder="1" applyAlignment="1" applyProtection="1">
      <alignment horizontal="center" vertical="center" wrapText="1" readingOrder="2"/>
      <protection locked="0"/>
    </xf>
    <xf numFmtId="0" fontId="2" fillId="3" borderId="4" xfId="0" applyFont="1" applyFill="1" applyBorder="1" applyAlignment="1" applyProtection="1">
      <alignment horizontal="center" vertical="center" wrapText="1" readingOrder="2"/>
      <protection locked="0"/>
    </xf>
    <xf numFmtId="49" fontId="2" fillId="0" borderId="6" xfId="0" applyNumberFormat="1" applyFont="1" applyBorder="1" applyAlignment="1" applyProtection="1">
      <alignment horizontal="center" vertical="center" wrapText="1" readingOrder="2"/>
      <protection locked="0"/>
    </xf>
    <xf numFmtId="49" fontId="2" fillId="0" borderId="5" xfId="0" applyNumberFormat="1" applyFont="1" applyBorder="1" applyAlignment="1" applyProtection="1">
      <alignment horizontal="center" vertical="center" wrapText="1" readingOrder="2"/>
      <protection locked="0"/>
    </xf>
    <xf numFmtId="3" fontId="2" fillId="12" borderId="1" xfId="5" applyNumberFormat="1" applyFont="1" applyFill="1" applyBorder="1" applyAlignment="1" applyProtection="1">
      <alignment horizontal="center" vertical="center" wrapText="1" readingOrder="2"/>
      <protection locked="0"/>
    </xf>
    <xf numFmtId="0" fontId="2" fillId="11" borderId="25" xfId="0" applyFont="1" applyFill="1" applyBorder="1" applyAlignment="1" applyProtection="1">
      <alignment horizontal="center" vertical="center" wrapText="1" readingOrder="2"/>
      <protection locked="0"/>
    </xf>
    <xf numFmtId="0" fontId="2" fillId="11" borderId="0" xfId="0" applyFont="1" applyFill="1" applyAlignment="1" applyProtection="1">
      <alignment horizontal="center" vertical="center" wrapText="1" readingOrder="2"/>
      <protection locked="0"/>
    </xf>
    <xf numFmtId="0" fontId="11" fillId="4"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3" borderId="1" xfId="0" applyFont="1" applyFill="1" applyBorder="1" applyAlignment="1" applyProtection="1">
      <alignment horizontal="center" vertical="center" wrapText="1" readingOrder="2"/>
      <protection locked="0"/>
    </xf>
    <xf numFmtId="0" fontId="11" fillId="4" borderId="1" xfId="0" applyFont="1" applyFill="1" applyBorder="1" applyAlignment="1">
      <alignment horizontal="center" vertical="center" wrapText="1"/>
    </xf>
    <xf numFmtId="0" fontId="11" fillId="0" borderId="1" xfId="0" applyFont="1" applyBorder="1" applyAlignment="1">
      <alignment horizontal="center" vertical="center" wrapText="1" readingOrder="2"/>
    </xf>
    <xf numFmtId="49" fontId="7" fillId="0" borderId="6" xfId="0" applyNumberFormat="1" applyFont="1" applyBorder="1" applyAlignment="1" applyProtection="1">
      <alignment horizontal="center" vertical="center" wrapText="1" readingOrder="2"/>
      <protection locked="0"/>
    </xf>
    <xf numFmtId="49" fontId="7" fillId="0" borderId="5" xfId="0" applyNumberFormat="1" applyFont="1" applyBorder="1" applyAlignment="1" applyProtection="1">
      <alignment horizontal="center" vertical="center" wrapText="1" readingOrder="2"/>
      <protection locked="0"/>
    </xf>
    <xf numFmtId="0" fontId="2" fillId="0" borderId="6" xfId="0" applyFont="1" applyBorder="1" applyAlignment="1" applyProtection="1">
      <alignment horizontal="center" vertical="center" wrapText="1" readingOrder="2"/>
      <protection locked="0"/>
    </xf>
    <xf numFmtId="0" fontId="2" fillId="0" borderId="5" xfId="0" applyFont="1" applyBorder="1" applyAlignment="1" applyProtection="1">
      <alignment horizontal="center" vertical="center" wrapText="1" readingOrder="2"/>
      <protection locked="0"/>
    </xf>
    <xf numFmtId="49" fontId="7" fillId="4" borderId="6" xfId="0" applyNumberFormat="1" applyFont="1" applyFill="1" applyBorder="1" applyAlignment="1" applyProtection="1">
      <alignment horizontal="center" vertical="center" wrapText="1" readingOrder="2"/>
      <protection locked="0"/>
    </xf>
    <xf numFmtId="49" fontId="7" fillId="4" borderId="5" xfId="0" applyNumberFormat="1" applyFont="1" applyFill="1" applyBorder="1" applyAlignment="1" applyProtection="1">
      <alignment horizontal="center" vertical="center" wrapText="1" readingOrder="2"/>
      <protection locked="0"/>
    </xf>
    <xf numFmtId="0" fontId="2" fillId="9" borderId="1" xfId="0" applyFont="1" applyFill="1" applyBorder="1" applyAlignment="1" applyProtection="1">
      <alignment horizontal="center" vertical="center" wrapText="1" readingOrder="2"/>
      <protection locked="0"/>
    </xf>
    <xf numFmtId="3" fontId="8" fillId="12" borderId="6" xfId="0" applyNumberFormat="1" applyFont="1" applyFill="1" applyBorder="1" applyAlignment="1" applyProtection="1">
      <alignment horizontal="center" vertical="center" wrapText="1" readingOrder="2"/>
      <protection locked="0"/>
    </xf>
    <xf numFmtId="3" fontId="8" fillId="12" borderId="5" xfId="0" applyNumberFormat="1" applyFont="1" applyFill="1" applyBorder="1" applyAlignment="1" applyProtection="1">
      <alignment horizontal="center" vertical="center" wrapText="1" readingOrder="2"/>
      <protection locked="0"/>
    </xf>
    <xf numFmtId="0" fontId="2" fillId="12" borderId="6" xfId="0" applyFont="1" applyFill="1" applyBorder="1" applyAlignment="1" applyProtection="1">
      <alignment horizontal="center" vertical="center" wrapText="1" readingOrder="2"/>
      <protection locked="0"/>
    </xf>
    <xf numFmtId="0" fontId="2" fillId="12" borderId="5" xfId="0" applyFont="1" applyFill="1" applyBorder="1" applyAlignment="1" applyProtection="1">
      <alignment horizontal="center" vertical="center" wrapText="1" readingOrder="2"/>
      <protection locked="0"/>
    </xf>
    <xf numFmtId="49" fontId="7" fillId="12" borderId="6" xfId="0" applyNumberFormat="1" applyFont="1" applyFill="1" applyBorder="1" applyAlignment="1" applyProtection="1">
      <alignment horizontal="center" vertical="center" wrapText="1" readingOrder="2"/>
      <protection locked="0"/>
    </xf>
    <xf numFmtId="49" fontId="7" fillId="12" borderId="5" xfId="0" applyNumberFormat="1" applyFont="1" applyFill="1" applyBorder="1" applyAlignment="1" applyProtection="1">
      <alignment horizontal="center" vertical="center" wrapText="1" readingOrder="2"/>
      <protection locked="0"/>
    </xf>
    <xf numFmtId="3" fontId="8" fillId="4" borderId="6" xfId="1" applyNumberFormat="1" applyFont="1" applyFill="1" applyBorder="1" applyAlignment="1" applyProtection="1">
      <alignment horizontal="center" vertical="center" wrapText="1" readingOrder="2"/>
      <protection hidden="1"/>
    </xf>
    <xf numFmtId="3" fontId="8" fillId="4" borderId="5" xfId="1" applyNumberFormat="1" applyFont="1" applyFill="1" applyBorder="1" applyAlignment="1" applyProtection="1">
      <alignment horizontal="center" vertical="center" wrapText="1" readingOrder="2"/>
      <protection hidden="1"/>
    </xf>
    <xf numFmtId="49" fontId="7" fillId="0" borderId="1" xfId="0" applyNumberFormat="1" applyFont="1" applyBorder="1" applyAlignment="1" applyProtection="1">
      <alignment horizontal="center" vertical="center" wrapText="1" readingOrder="2"/>
      <protection locked="0"/>
    </xf>
    <xf numFmtId="0" fontId="2" fillId="4" borderId="6" xfId="4" applyFont="1" applyFill="1" applyBorder="1" applyAlignment="1" applyProtection="1">
      <alignment horizontal="center" vertical="center" wrapText="1" readingOrder="2"/>
      <protection locked="0"/>
    </xf>
    <xf numFmtId="0" fontId="2" fillId="4" borderId="5" xfId="4" applyFont="1" applyFill="1" applyBorder="1" applyAlignment="1" applyProtection="1">
      <alignment horizontal="center" vertical="center" wrapText="1" readingOrder="2"/>
      <protection locked="0"/>
    </xf>
    <xf numFmtId="3" fontId="2" fillId="0" borderId="14" xfId="5" applyNumberFormat="1" applyFont="1" applyFill="1" applyBorder="1" applyAlignment="1" applyProtection="1">
      <alignment horizontal="center" vertical="center" wrapText="1" readingOrder="2"/>
      <protection locked="0"/>
    </xf>
    <xf numFmtId="3" fontId="2" fillId="0" borderId="26" xfId="5" applyNumberFormat="1" applyFont="1" applyFill="1" applyBorder="1" applyAlignment="1" applyProtection="1">
      <alignment horizontal="center" vertical="center" wrapText="1" readingOrder="2"/>
      <protection locked="0"/>
    </xf>
    <xf numFmtId="3" fontId="2" fillId="0" borderId="27" xfId="5" applyNumberFormat="1" applyFont="1" applyFill="1" applyBorder="1" applyAlignment="1" applyProtection="1">
      <alignment horizontal="center" vertical="center" wrapText="1" readingOrder="2"/>
      <protection locked="0"/>
    </xf>
    <xf numFmtId="3" fontId="2" fillId="0" borderId="17" xfId="5" applyNumberFormat="1" applyFont="1" applyFill="1" applyBorder="1" applyAlignment="1" applyProtection="1">
      <alignment horizontal="center" vertical="center" wrapText="1" readingOrder="2"/>
      <protection locked="0"/>
    </xf>
    <xf numFmtId="3" fontId="2" fillId="0" borderId="19" xfId="5" applyNumberFormat="1" applyFont="1" applyFill="1" applyBorder="1" applyAlignment="1" applyProtection="1">
      <alignment horizontal="center" vertical="center" wrapText="1" readingOrder="2"/>
      <protection locked="0"/>
    </xf>
    <xf numFmtId="3" fontId="2" fillId="0" borderId="28" xfId="5" applyNumberFormat="1" applyFont="1" applyFill="1" applyBorder="1" applyAlignment="1" applyProtection="1">
      <alignment horizontal="center" vertical="center" wrapText="1" readingOrder="2"/>
      <protection locked="0"/>
    </xf>
    <xf numFmtId="3" fontId="8" fillId="0" borderId="1" xfId="0" applyNumberFormat="1" applyFont="1" applyBorder="1" applyAlignment="1" applyProtection="1">
      <alignment horizontal="center" vertical="center" wrapText="1" readingOrder="2"/>
      <protection locked="0"/>
    </xf>
    <xf numFmtId="49" fontId="7" fillId="0" borderId="1" xfId="1" applyNumberFormat="1" applyFont="1" applyFill="1" applyBorder="1" applyAlignment="1" applyProtection="1">
      <alignment horizontal="center" vertical="center" wrapText="1" readingOrder="2"/>
      <protection locked="0"/>
    </xf>
    <xf numFmtId="3" fontId="2" fillId="12" borderId="2" xfId="5" applyNumberFormat="1" applyFont="1" applyFill="1" applyBorder="1" applyAlignment="1" applyProtection="1">
      <alignment horizontal="center" vertical="center" wrapText="1" readingOrder="2"/>
      <protection locked="0"/>
    </xf>
    <xf numFmtId="3" fontId="2" fillId="12" borderId="3" xfId="5" applyNumberFormat="1" applyFont="1" applyFill="1" applyBorder="1" applyAlignment="1" applyProtection="1">
      <alignment horizontal="center" vertical="center" wrapText="1" readingOrder="2"/>
      <protection locked="0"/>
    </xf>
    <xf numFmtId="3" fontId="2" fillId="12" borderId="4" xfId="5" applyNumberFormat="1" applyFont="1" applyFill="1" applyBorder="1" applyAlignment="1" applyProtection="1">
      <alignment horizontal="center" vertical="center" wrapText="1" readingOrder="2"/>
      <protection locked="0"/>
    </xf>
    <xf numFmtId="0" fontId="7" fillId="3" borderId="1" xfId="0" applyFont="1" applyFill="1" applyBorder="1" applyAlignment="1" applyProtection="1">
      <alignment horizontal="center" vertical="center" wrapText="1" readingOrder="2"/>
      <protection locked="0"/>
    </xf>
    <xf numFmtId="0" fontId="2" fillId="3" borderId="1" xfId="0" applyFont="1" applyFill="1" applyBorder="1" applyAlignment="1" applyProtection="1">
      <alignment horizontal="center" vertical="center" wrapText="1" readingOrder="2"/>
      <protection locked="0"/>
    </xf>
    <xf numFmtId="0" fontId="2" fillId="0" borderId="2" xfId="0" applyFont="1" applyBorder="1" applyAlignment="1" applyProtection="1">
      <alignment horizontal="center" vertical="center" wrapText="1" readingOrder="2"/>
      <protection locked="0"/>
    </xf>
    <xf numFmtId="0" fontId="8" fillId="3" borderId="6" xfId="0" applyFont="1" applyFill="1" applyBorder="1" applyAlignment="1" applyProtection="1">
      <alignment horizontal="center" vertical="center" wrapText="1" readingOrder="2"/>
      <protection locked="0"/>
    </xf>
    <xf numFmtId="0" fontId="8" fillId="3" borderId="5" xfId="0" applyFont="1" applyFill="1" applyBorder="1" applyAlignment="1" applyProtection="1">
      <alignment horizontal="center" vertical="center" wrapText="1" readingOrder="2"/>
      <protection locked="0"/>
    </xf>
    <xf numFmtId="0" fontId="11" fillId="4" borderId="15" xfId="0" applyFont="1" applyFill="1" applyBorder="1" applyAlignment="1">
      <alignment horizontal="center" vertical="center" wrapText="1"/>
    </xf>
    <xf numFmtId="0" fontId="2" fillId="9" borderId="2" xfId="0" applyFont="1" applyFill="1" applyBorder="1" applyAlignment="1" applyProtection="1">
      <alignment horizontal="center" vertical="center" wrapText="1" readingOrder="2"/>
      <protection locked="0"/>
    </xf>
    <xf numFmtId="0" fontId="2" fillId="9" borderId="3" xfId="0" applyFont="1" applyFill="1" applyBorder="1" applyAlignment="1" applyProtection="1">
      <alignment horizontal="center" vertical="center" wrapText="1" readingOrder="2"/>
      <protection locked="0"/>
    </xf>
    <xf numFmtId="0" fontId="2" fillId="4" borderId="1" xfId="0" applyFont="1" applyFill="1" applyBorder="1" applyAlignment="1" applyProtection="1">
      <alignment horizontal="center" vertical="center" wrapText="1" readingOrder="2"/>
      <protection locked="0"/>
    </xf>
    <xf numFmtId="3" fontId="8" fillId="4" borderId="18" xfId="4" applyNumberFormat="1" applyFont="1" applyFill="1" applyBorder="1" applyAlignment="1" applyProtection="1">
      <alignment horizontal="center" vertical="center" wrapText="1" readingOrder="2"/>
      <protection locked="0"/>
    </xf>
    <xf numFmtId="3" fontId="8" fillId="4" borderId="23" xfId="4" applyNumberFormat="1" applyFont="1" applyFill="1" applyBorder="1" applyAlignment="1" applyProtection="1">
      <alignment horizontal="center" vertical="center" wrapText="1" readingOrder="2"/>
      <protection locked="0"/>
    </xf>
    <xf numFmtId="0" fontId="2" fillId="12" borderId="6" xfId="1" applyFont="1" applyFill="1" applyBorder="1" applyAlignment="1" applyProtection="1">
      <alignment horizontal="center" vertical="center" wrapText="1" readingOrder="2"/>
      <protection locked="0"/>
    </xf>
    <xf numFmtId="0" fontId="2" fillId="12" borderId="5" xfId="1" applyFont="1" applyFill="1" applyBorder="1" applyAlignment="1" applyProtection="1">
      <alignment horizontal="center" vertical="center" wrapText="1" readingOrder="2"/>
      <protection locked="0"/>
    </xf>
    <xf numFmtId="3" fontId="8" fillId="12" borderId="6" xfId="0" applyNumberFormat="1" applyFont="1" applyFill="1" applyBorder="1" applyAlignment="1" applyProtection="1">
      <alignment horizontal="center" vertical="center" wrapText="1" readingOrder="2"/>
      <protection hidden="1"/>
    </xf>
    <xf numFmtId="3" fontId="8" fillId="12" borderId="5" xfId="0" applyNumberFormat="1" applyFont="1" applyFill="1" applyBorder="1" applyAlignment="1" applyProtection="1">
      <alignment horizontal="center" vertical="center" wrapText="1" readingOrder="2"/>
      <protection hidden="1"/>
    </xf>
    <xf numFmtId="49" fontId="7" fillId="12" borderId="6" xfId="1" applyNumberFormat="1" applyFont="1" applyFill="1" applyBorder="1" applyAlignment="1" applyProtection="1">
      <alignment horizontal="center" vertical="center" wrapText="1" readingOrder="2"/>
      <protection locked="0"/>
    </xf>
    <xf numFmtId="49" fontId="7" fillId="12" borderId="5" xfId="1" applyNumberFormat="1" applyFont="1" applyFill="1" applyBorder="1" applyAlignment="1" applyProtection="1">
      <alignment horizontal="center" vertical="center" wrapText="1" readingOrder="2"/>
      <protection locked="0"/>
    </xf>
    <xf numFmtId="3" fontId="8" fillId="4" borderId="6" xfId="1" applyNumberFormat="1" applyFont="1" applyFill="1" applyBorder="1" applyAlignment="1" applyProtection="1">
      <alignment horizontal="center" vertical="center" wrapText="1" readingOrder="2"/>
      <protection locked="0"/>
    </xf>
    <xf numFmtId="3" fontId="8" fillId="4" borderId="5" xfId="1" applyNumberFormat="1" applyFont="1" applyFill="1" applyBorder="1" applyAlignment="1" applyProtection="1">
      <alignment horizontal="center" vertical="center" wrapText="1" readingOrder="2"/>
      <protection locked="0"/>
    </xf>
    <xf numFmtId="49" fontId="2" fillId="4" borderId="1" xfId="0" applyNumberFormat="1" applyFont="1" applyFill="1" applyBorder="1" applyAlignment="1" applyProtection="1">
      <alignment horizontal="center" vertical="center" wrapText="1" readingOrder="2"/>
      <protection locked="0"/>
    </xf>
    <xf numFmtId="3" fontId="2" fillId="0" borderId="6" xfId="0" applyNumberFormat="1" applyFont="1" applyBorder="1" applyAlignment="1" applyProtection="1">
      <alignment horizontal="center" vertical="center" wrapText="1" readingOrder="2"/>
      <protection locked="0"/>
    </xf>
    <xf numFmtId="3" fontId="2" fillId="0" borderId="5" xfId="0" applyNumberFormat="1" applyFont="1" applyBorder="1" applyAlignment="1" applyProtection="1">
      <alignment horizontal="center" vertical="center" wrapText="1" readingOrder="2"/>
      <protection locked="0"/>
    </xf>
  </cellXfs>
  <cellStyles count="6">
    <cellStyle name="40% - Accent1" xfId="3" builtinId="31"/>
    <cellStyle name="40% - Accent4" xfId="5" builtinId="43"/>
    <cellStyle name="Bad" xfId="2" builtinId="27"/>
    <cellStyle name="Good" xfId="1" builtinId="26"/>
    <cellStyle name="Input" xfId="4" builtinId="20"/>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9"/>
  <sheetViews>
    <sheetView rightToLeft="1" topLeftCell="A22" zoomScale="77" zoomScaleNormal="77" workbookViewId="0">
      <selection activeCell="M26" sqref="M26"/>
    </sheetView>
  </sheetViews>
  <sheetFormatPr defaultColWidth="9.125" defaultRowHeight="18" x14ac:dyDescent="0.25"/>
  <cols>
    <col min="1" max="1" width="13.75" style="32" customWidth="1"/>
    <col min="2" max="2" width="71.875" style="22" customWidth="1"/>
    <col min="3" max="3" width="14.375" style="33" customWidth="1"/>
    <col min="4" max="15" width="9.125" style="22"/>
    <col min="16" max="16" width="20.125" style="34" customWidth="1"/>
    <col min="17" max="17" width="9.125" style="22"/>
    <col min="18" max="18" width="30.75" style="22" customWidth="1"/>
    <col min="19" max="16384" width="9.125" style="22"/>
  </cols>
  <sheetData>
    <row r="1" spans="1:18" ht="51" customHeight="1" x14ac:dyDescent="0.2">
      <c r="A1" s="169" t="s">
        <v>12</v>
      </c>
      <c r="B1" s="170"/>
      <c r="C1" s="170"/>
      <c r="D1" s="170"/>
      <c r="E1" s="170"/>
      <c r="F1" s="170"/>
      <c r="G1" s="170"/>
      <c r="H1" s="170"/>
      <c r="I1" s="170"/>
      <c r="J1" s="170"/>
      <c r="K1" s="170"/>
      <c r="L1" s="170"/>
      <c r="M1" s="170"/>
      <c r="N1" s="170"/>
      <c r="O1" s="170"/>
      <c r="P1" s="170"/>
      <c r="Q1" s="170"/>
      <c r="R1" s="170"/>
    </row>
    <row r="2" spans="1:18" ht="24" customHeight="1" x14ac:dyDescent="0.2">
      <c r="A2" s="151" t="s">
        <v>11</v>
      </c>
      <c r="B2" s="152"/>
      <c r="C2" s="152"/>
      <c r="D2" s="152"/>
      <c r="E2" s="152"/>
      <c r="F2" s="152"/>
      <c r="G2" s="152"/>
      <c r="H2" s="152"/>
      <c r="I2" s="152"/>
      <c r="J2" s="152"/>
      <c r="K2" s="152"/>
      <c r="L2" s="152"/>
      <c r="M2" s="152"/>
      <c r="N2" s="152"/>
      <c r="O2" s="152"/>
      <c r="P2" s="152"/>
      <c r="Q2" s="152"/>
      <c r="R2" s="152"/>
    </row>
    <row r="3" spans="1:18" ht="27.75" customHeight="1" thickBot="1" x14ac:dyDescent="0.25">
      <c r="A3" s="125" t="s">
        <v>80</v>
      </c>
      <c r="B3" s="126"/>
      <c r="C3" s="126"/>
      <c r="D3" s="126"/>
      <c r="E3" s="126"/>
      <c r="F3" s="126"/>
      <c r="G3" s="126"/>
      <c r="H3" s="126"/>
      <c r="I3" s="126"/>
      <c r="J3" s="126"/>
      <c r="K3" s="126"/>
      <c r="L3" s="126"/>
      <c r="M3" s="126"/>
      <c r="N3" s="126"/>
      <c r="O3" s="126"/>
      <c r="P3" s="126"/>
      <c r="Q3" s="126"/>
      <c r="R3" s="126"/>
    </row>
    <row r="4" spans="1:18" ht="24" thickBot="1" x14ac:dyDescent="0.25">
      <c r="A4" s="161" t="s">
        <v>5</v>
      </c>
      <c r="B4" s="161" t="s">
        <v>4</v>
      </c>
      <c r="C4" s="25"/>
      <c r="D4" s="163" t="s">
        <v>3</v>
      </c>
      <c r="E4" s="164"/>
      <c r="F4" s="164"/>
      <c r="G4" s="165"/>
      <c r="H4" s="163" t="s">
        <v>2</v>
      </c>
      <c r="I4" s="164"/>
      <c r="J4" s="164"/>
      <c r="K4" s="165"/>
      <c r="L4" s="163" t="s">
        <v>1</v>
      </c>
      <c r="M4" s="164"/>
      <c r="N4" s="164"/>
      <c r="O4" s="165"/>
      <c r="P4" s="161" t="s">
        <v>47</v>
      </c>
      <c r="Q4" s="161" t="s">
        <v>0</v>
      </c>
      <c r="R4" s="173" t="s">
        <v>75</v>
      </c>
    </row>
    <row r="5" spans="1:18" ht="24" thickBot="1" x14ac:dyDescent="0.25">
      <c r="A5" s="162"/>
      <c r="B5" s="162"/>
      <c r="C5" s="12"/>
      <c r="D5" s="13" t="s">
        <v>9</v>
      </c>
      <c r="E5" s="13" t="s">
        <v>8</v>
      </c>
      <c r="F5" s="13" t="s">
        <v>7</v>
      </c>
      <c r="G5" s="13" t="s">
        <v>6</v>
      </c>
      <c r="H5" s="13" t="s">
        <v>9</v>
      </c>
      <c r="I5" s="13" t="s">
        <v>8</v>
      </c>
      <c r="J5" s="13" t="s">
        <v>7</v>
      </c>
      <c r="K5" s="13" t="s">
        <v>6</v>
      </c>
      <c r="L5" s="13" t="s">
        <v>9</v>
      </c>
      <c r="M5" s="13" t="s">
        <v>8</v>
      </c>
      <c r="N5" s="13" t="s">
        <v>7</v>
      </c>
      <c r="O5" s="13" t="s">
        <v>6</v>
      </c>
      <c r="P5" s="162"/>
      <c r="Q5" s="162"/>
      <c r="R5" s="173"/>
    </row>
    <row r="6" spans="1:18" ht="72.75" customHeight="1" thickBot="1" x14ac:dyDescent="0.25">
      <c r="A6" s="26" t="s">
        <v>266</v>
      </c>
      <c r="B6" s="45" t="s">
        <v>36</v>
      </c>
      <c r="C6" s="45" t="s">
        <v>267</v>
      </c>
      <c r="D6" s="106">
        <v>100000</v>
      </c>
      <c r="E6" s="106"/>
      <c r="F6" s="106"/>
      <c r="G6" s="106"/>
      <c r="H6" s="106">
        <f>D6-(D6*20/100)</f>
        <v>80000</v>
      </c>
      <c r="I6" s="106"/>
      <c r="J6" s="106"/>
      <c r="K6" s="106"/>
      <c r="L6" s="106">
        <f>D6-(D6*40/100)</f>
        <v>60000</v>
      </c>
      <c r="M6" s="106"/>
      <c r="N6" s="106"/>
      <c r="O6" s="106"/>
      <c r="P6" s="46" t="s">
        <v>135</v>
      </c>
      <c r="Q6" s="45" t="s">
        <v>10</v>
      </c>
      <c r="R6" s="53" t="s">
        <v>196</v>
      </c>
    </row>
    <row r="7" spans="1:18" ht="25.5" customHeight="1" thickBot="1" x14ac:dyDescent="0.25">
      <c r="A7" s="158" t="s">
        <v>268</v>
      </c>
      <c r="B7" s="160" t="s">
        <v>48</v>
      </c>
      <c r="C7" s="4" t="s">
        <v>283</v>
      </c>
      <c r="D7" s="4">
        <v>5000</v>
      </c>
      <c r="E7" s="57">
        <f t="shared" ref="E7" si="0">D7-(D7*10/100)</f>
        <v>4500</v>
      </c>
      <c r="F7" s="57">
        <f t="shared" ref="F7" si="1">D7-(D7*20/100)</f>
        <v>4000</v>
      </c>
      <c r="G7" s="57">
        <f t="shared" ref="G7" si="2">D7-(D7*30/100)</f>
        <v>3500</v>
      </c>
      <c r="H7" s="57">
        <f>D7-(D7*10/100)</f>
        <v>4500</v>
      </c>
      <c r="I7" s="57">
        <f t="shared" ref="I7" si="3">H7-(H7*10/100)</f>
        <v>4050</v>
      </c>
      <c r="J7" s="57">
        <f t="shared" ref="J7" si="4">H7-(H7*20/100)</f>
        <v>3600</v>
      </c>
      <c r="K7" s="57">
        <f t="shared" ref="K7" si="5">H7-(H7*30/100)</f>
        <v>3150</v>
      </c>
      <c r="L7" s="57">
        <f>D7-(D7*20/100)</f>
        <v>4000</v>
      </c>
      <c r="M7" s="57">
        <f t="shared" ref="M7" si="6">L7-(L7*10/100)</f>
        <v>3600</v>
      </c>
      <c r="N7" s="57">
        <f t="shared" ref="N7" si="7">L7-(L7*20/100)</f>
        <v>3200</v>
      </c>
      <c r="O7" s="57">
        <f t="shared" ref="O7" si="8">L7-(L7*30/100)</f>
        <v>2800</v>
      </c>
      <c r="P7" s="156" t="s">
        <v>135</v>
      </c>
      <c r="Q7" s="160" t="s">
        <v>25</v>
      </c>
      <c r="R7" s="174" t="s">
        <v>196</v>
      </c>
    </row>
    <row r="8" spans="1:18" ht="24" thickBot="1" x14ac:dyDescent="0.25">
      <c r="A8" s="158"/>
      <c r="B8" s="160"/>
      <c r="C8" s="57" t="s">
        <v>284</v>
      </c>
      <c r="D8" s="57">
        <f>D7*50/100</f>
        <v>2500</v>
      </c>
      <c r="E8" s="57">
        <f t="shared" ref="E8:O8" si="9">E7*50/100</f>
        <v>2250</v>
      </c>
      <c r="F8" s="57">
        <f t="shared" si="9"/>
        <v>2000</v>
      </c>
      <c r="G8" s="57">
        <f t="shared" si="9"/>
        <v>1750</v>
      </c>
      <c r="H8" s="57">
        <f t="shared" si="9"/>
        <v>2250</v>
      </c>
      <c r="I8" s="57">
        <f t="shared" si="9"/>
        <v>2025</v>
      </c>
      <c r="J8" s="57">
        <f t="shared" si="9"/>
        <v>1800</v>
      </c>
      <c r="K8" s="27">
        <f t="shared" si="9"/>
        <v>1575</v>
      </c>
      <c r="L8" s="27">
        <f t="shared" si="9"/>
        <v>2000</v>
      </c>
      <c r="M8" s="27">
        <f t="shared" si="9"/>
        <v>1800</v>
      </c>
      <c r="N8" s="27">
        <f t="shared" si="9"/>
        <v>1600</v>
      </c>
      <c r="O8" s="27">
        <f t="shared" si="9"/>
        <v>1400</v>
      </c>
      <c r="P8" s="156"/>
      <c r="Q8" s="160"/>
      <c r="R8" s="174"/>
    </row>
    <row r="9" spans="1:18" ht="45.75" customHeight="1" thickBot="1" x14ac:dyDescent="0.25">
      <c r="A9" s="43" t="s">
        <v>269</v>
      </c>
      <c r="B9" s="45" t="s">
        <v>286</v>
      </c>
      <c r="C9" s="45" t="s">
        <v>267</v>
      </c>
      <c r="D9" s="106">
        <v>20000</v>
      </c>
      <c r="E9" s="106"/>
      <c r="F9" s="106"/>
      <c r="G9" s="106"/>
      <c r="H9" s="106">
        <f t="shared" ref="H9:H19" si="10">D9-(D9*20/100)</f>
        <v>16000</v>
      </c>
      <c r="I9" s="106"/>
      <c r="J9" s="106"/>
      <c r="K9" s="106"/>
      <c r="L9" s="106">
        <f t="shared" ref="L9:L19" si="11">D9-(D9*40/100)</f>
        <v>12000</v>
      </c>
      <c r="M9" s="106"/>
      <c r="N9" s="106"/>
      <c r="O9" s="106"/>
      <c r="P9" s="46" t="s">
        <v>135</v>
      </c>
      <c r="Q9" s="45" t="s">
        <v>10</v>
      </c>
      <c r="R9" s="47" t="s">
        <v>248</v>
      </c>
    </row>
    <row r="10" spans="1:18" ht="66.75" customHeight="1" thickBot="1" x14ac:dyDescent="0.25">
      <c r="A10" s="90" t="s">
        <v>270</v>
      </c>
      <c r="B10" s="91" t="s">
        <v>285</v>
      </c>
      <c r="C10" s="91" t="s">
        <v>267</v>
      </c>
      <c r="D10" s="168">
        <v>50000</v>
      </c>
      <c r="E10" s="168"/>
      <c r="F10" s="168"/>
      <c r="G10" s="168"/>
      <c r="H10" s="168">
        <f>D10-(D10*20/100)</f>
        <v>40000</v>
      </c>
      <c r="I10" s="168"/>
      <c r="J10" s="168"/>
      <c r="K10" s="168"/>
      <c r="L10" s="168">
        <f>D10-(D10*40/100)</f>
        <v>30000</v>
      </c>
      <c r="M10" s="168"/>
      <c r="N10" s="168"/>
      <c r="O10" s="168"/>
      <c r="P10" s="92" t="s">
        <v>135</v>
      </c>
      <c r="Q10" s="45" t="s">
        <v>10</v>
      </c>
      <c r="R10" s="53" t="s">
        <v>249</v>
      </c>
    </row>
    <row r="11" spans="1:18" ht="21.75" customHeight="1" thickBot="1" x14ac:dyDescent="0.25">
      <c r="A11" s="187" t="s">
        <v>271</v>
      </c>
      <c r="B11" s="185" t="s">
        <v>610</v>
      </c>
      <c r="C11" s="93" t="s">
        <v>283</v>
      </c>
      <c r="D11" s="93">
        <v>5000</v>
      </c>
      <c r="E11" s="94">
        <f t="shared" ref="E11" si="12">D11-(D11*10/100)</f>
        <v>4500</v>
      </c>
      <c r="F11" s="94">
        <f t="shared" ref="F11" si="13">D11-(D11*20/100)</f>
        <v>4000</v>
      </c>
      <c r="G11" s="94">
        <f t="shared" ref="G11" si="14">D11-(D11*30/100)</f>
        <v>3500</v>
      </c>
      <c r="H11" s="94">
        <f>D11-(D11*10/100)</f>
        <v>4500</v>
      </c>
      <c r="I11" s="94">
        <f t="shared" ref="I11" si="15">H11-(H11*10/100)</f>
        <v>4050</v>
      </c>
      <c r="J11" s="94">
        <f t="shared" ref="J11" si="16">H11-(H11*20/100)</f>
        <v>3600</v>
      </c>
      <c r="K11" s="94">
        <f t="shared" ref="K11" si="17">H11-(H11*30/100)</f>
        <v>3150</v>
      </c>
      <c r="L11" s="94">
        <f>D11-(D11*20/100)</f>
        <v>4000</v>
      </c>
      <c r="M11" s="94">
        <f t="shared" ref="M11" si="18">L11-(L11*10/100)</f>
        <v>3600</v>
      </c>
      <c r="N11" s="94">
        <f t="shared" ref="N11" si="19">L11-(L11*20/100)</f>
        <v>3200</v>
      </c>
      <c r="O11" s="94">
        <f t="shared" ref="O11" si="20">L11-(L11*30/100)</f>
        <v>2800</v>
      </c>
      <c r="P11" s="183" t="s">
        <v>135</v>
      </c>
      <c r="Q11" s="178" t="s">
        <v>26</v>
      </c>
      <c r="R11" s="104" t="s">
        <v>249</v>
      </c>
    </row>
    <row r="12" spans="1:18" ht="26.25" customHeight="1" thickBot="1" x14ac:dyDescent="0.25">
      <c r="A12" s="188"/>
      <c r="B12" s="186"/>
      <c r="C12" s="94" t="s">
        <v>284</v>
      </c>
      <c r="D12" s="94">
        <f>D11*50/100</f>
        <v>2500</v>
      </c>
      <c r="E12" s="94">
        <f t="shared" ref="E12:O12" si="21">E11*50/100</f>
        <v>2250</v>
      </c>
      <c r="F12" s="94">
        <f t="shared" si="21"/>
        <v>2000</v>
      </c>
      <c r="G12" s="94">
        <f t="shared" si="21"/>
        <v>1750</v>
      </c>
      <c r="H12" s="94">
        <f t="shared" si="21"/>
        <v>2250</v>
      </c>
      <c r="I12" s="94">
        <f t="shared" si="21"/>
        <v>2025</v>
      </c>
      <c r="J12" s="94">
        <f t="shared" si="21"/>
        <v>1800</v>
      </c>
      <c r="K12" s="95">
        <f t="shared" si="21"/>
        <v>1575</v>
      </c>
      <c r="L12" s="95">
        <f t="shared" si="21"/>
        <v>2000</v>
      </c>
      <c r="M12" s="95">
        <f t="shared" si="21"/>
        <v>1800</v>
      </c>
      <c r="N12" s="95">
        <f t="shared" si="21"/>
        <v>1600</v>
      </c>
      <c r="O12" s="95">
        <f t="shared" si="21"/>
        <v>1400</v>
      </c>
      <c r="P12" s="184"/>
      <c r="Q12" s="179"/>
      <c r="R12" s="105"/>
    </row>
    <row r="13" spans="1:18" ht="69.75" customHeight="1" thickBot="1" x14ac:dyDescent="0.25">
      <c r="A13" s="43" t="s">
        <v>272</v>
      </c>
      <c r="B13" s="45" t="s">
        <v>38</v>
      </c>
      <c r="C13" s="45" t="s">
        <v>267</v>
      </c>
      <c r="D13" s="106">
        <v>30000</v>
      </c>
      <c r="E13" s="106"/>
      <c r="F13" s="106"/>
      <c r="G13" s="106"/>
      <c r="H13" s="106">
        <f t="shared" si="10"/>
        <v>24000</v>
      </c>
      <c r="I13" s="106"/>
      <c r="J13" s="106"/>
      <c r="K13" s="106"/>
      <c r="L13" s="106">
        <f t="shared" si="11"/>
        <v>18000</v>
      </c>
      <c r="M13" s="106"/>
      <c r="N13" s="106"/>
      <c r="O13" s="106"/>
      <c r="P13" s="51" t="s">
        <v>135</v>
      </c>
      <c r="Q13" s="45" t="s">
        <v>10</v>
      </c>
      <c r="R13" s="47" t="s">
        <v>250</v>
      </c>
    </row>
    <row r="14" spans="1:18" ht="69.75" customHeight="1" thickBot="1" x14ac:dyDescent="0.25">
      <c r="A14" s="180" t="s">
        <v>273</v>
      </c>
      <c r="B14" s="178" t="s">
        <v>130</v>
      </c>
      <c r="C14" s="4" t="s">
        <v>283</v>
      </c>
      <c r="D14" s="4">
        <v>1000</v>
      </c>
      <c r="E14" s="57">
        <f t="shared" ref="E14" si="22">D14-(D14*10/100)</f>
        <v>900</v>
      </c>
      <c r="F14" s="57">
        <f t="shared" ref="F14" si="23">D14-(D14*20/100)</f>
        <v>800</v>
      </c>
      <c r="G14" s="57">
        <f t="shared" ref="G14" si="24">D14-(D14*30/100)</f>
        <v>700</v>
      </c>
      <c r="H14" s="57">
        <f>D14-(D14*10/100)</f>
        <v>900</v>
      </c>
      <c r="I14" s="57">
        <f t="shared" ref="I14" si="25">H14-(H14*10/100)</f>
        <v>810</v>
      </c>
      <c r="J14" s="57">
        <f t="shared" ref="J14" si="26">H14-(H14*20/100)</f>
        <v>720</v>
      </c>
      <c r="K14" s="57">
        <f t="shared" ref="K14" si="27">H14-(H14*30/100)</f>
        <v>630</v>
      </c>
      <c r="L14" s="57">
        <f>D14-(D14*20/100)</f>
        <v>800</v>
      </c>
      <c r="M14" s="57">
        <f t="shared" ref="M14" si="28">L14-(L14*10/100)</f>
        <v>720</v>
      </c>
      <c r="N14" s="57">
        <f t="shared" ref="N14" si="29">L14-(L14*20/100)</f>
        <v>640</v>
      </c>
      <c r="O14" s="57">
        <f t="shared" ref="O14" si="30">L14-(L14*30/100)</f>
        <v>560</v>
      </c>
      <c r="P14" s="100" t="s">
        <v>135</v>
      </c>
      <c r="Q14" s="178" t="s">
        <v>26</v>
      </c>
      <c r="R14" s="104" t="s">
        <v>251</v>
      </c>
    </row>
    <row r="15" spans="1:18" ht="69.75" customHeight="1" thickBot="1" x14ac:dyDescent="0.25">
      <c r="A15" s="181"/>
      <c r="B15" s="179"/>
      <c r="C15" s="57" t="s">
        <v>284</v>
      </c>
      <c r="D15" s="57">
        <f t="shared" ref="D15:O15" si="31">D14*50/100</f>
        <v>500</v>
      </c>
      <c r="E15" s="57">
        <f t="shared" si="31"/>
        <v>450</v>
      </c>
      <c r="F15" s="57">
        <f t="shared" si="31"/>
        <v>400</v>
      </c>
      <c r="G15" s="57">
        <f t="shared" si="31"/>
        <v>350</v>
      </c>
      <c r="H15" s="57">
        <f t="shared" si="31"/>
        <v>450</v>
      </c>
      <c r="I15" s="57">
        <f t="shared" si="31"/>
        <v>405</v>
      </c>
      <c r="J15" s="57">
        <f t="shared" si="31"/>
        <v>360</v>
      </c>
      <c r="K15" s="57">
        <f t="shared" si="31"/>
        <v>315</v>
      </c>
      <c r="L15" s="57">
        <f t="shared" si="31"/>
        <v>400</v>
      </c>
      <c r="M15" s="57">
        <f t="shared" si="31"/>
        <v>360</v>
      </c>
      <c r="N15" s="57">
        <f t="shared" si="31"/>
        <v>320</v>
      </c>
      <c r="O15" s="57">
        <f t="shared" si="31"/>
        <v>280</v>
      </c>
      <c r="P15" s="101"/>
      <c r="Q15" s="179"/>
      <c r="R15" s="105"/>
    </row>
    <row r="16" spans="1:18" ht="55.5" customHeight="1" thickBot="1" x14ac:dyDescent="0.25">
      <c r="A16" s="43" t="s">
        <v>274</v>
      </c>
      <c r="B16" s="45" t="s">
        <v>136</v>
      </c>
      <c r="C16" s="79" t="s">
        <v>267</v>
      </c>
      <c r="D16" s="106">
        <v>15000</v>
      </c>
      <c r="E16" s="144"/>
      <c r="F16" s="144"/>
      <c r="G16" s="145"/>
      <c r="H16" s="106">
        <f t="shared" ref="H16" si="32">D16-(D16*20/100)</f>
        <v>12000</v>
      </c>
      <c r="I16" s="144"/>
      <c r="J16" s="144"/>
      <c r="K16" s="145"/>
      <c r="L16" s="106">
        <f t="shared" ref="L16" si="33">D16-(D16*40/100)</f>
        <v>9000</v>
      </c>
      <c r="M16" s="144"/>
      <c r="N16" s="144"/>
      <c r="O16" s="145"/>
      <c r="P16" s="45" t="s">
        <v>131</v>
      </c>
      <c r="Q16" s="45" t="s">
        <v>10</v>
      </c>
      <c r="R16" s="47" t="s">
        <v>252</v>
      </c>
    </row>
    <row r="17" spans="1:18" ht="56.25" customHeight="1" thickBot="1" x14ac:dyDescent="0.25">
      <c r="A17" s="43" t="s">
        <v>275</v>
      </c>
      <c r="B17" s="45" t="s">
        <v>132</v>
      </c>
      <c r="C17" s="45" t="s">
        <v>267</v>
      </c>
      <c r="D17" s="106">
        <v>50000</v>
      </c>
      <c r="E17" s="106"/>
      <c r="F17" s="106"/>
      <c r="G17" s="106"/>
      <c r="H17" s="106">
        <f t="shared" si="10"/>
        <v>40000</v>
      </c>
      <c r="I17" s="106"/>
      <c r="J17" s="106"/>
      <c r="K17" s="106"/>
      <c r="L17" s="106">
        <f t="shared" si="11"/>
        <v>30000</v>
      </c>
      <c r="M17" s="106"/>
      <c r="N17" s="106"/>
      <c r="O17" s="106"/>
      <c r="P17" s="46" t="s">
        <v>133</v>
      </c>
      <c r="Q17" s="45" t="s">
        <v>10</v>
      </c>
      <c r="R17" s="53" t="s">
        <v>253</v>
      </c>
    </row>
    <row r="18" spans="1:18" ht="68.25" customHeight="1" thickBot="1" x14ac:dyDescent="0.25">
      <c r="A18" s="43" t="s">
        <v>276</v>
      </c>
      <c r="B18" s="45" t="s">
        <v>32</v>
      </c>
      <c r="C18" s="45" t="s">
        <v>267</v>
      </c>
      <c r="D18" s="106">
        <v>20000</v>
      </c>
      <c r="E18" s="106"/>
      <c r="F18" s="106"/>
      <c r="G18" s="106"/>
      <c r="H18" s="106">
        <f t="shared" si="10"/>
        <v>16000</v>
      </c>
      <c r="I18" s="106"/>
      <c r="J18" s="106"/>
      <c r="K18" s="106"/>
      <c r="L18" s="106">
        <f t="shared" si="11"/>
        <v>12000</v>
      </c>
      <c r="M18" s="106"/>
      <c r="N18" s="106"/>
      <c r="O18" s="106"/>
      <c r="P18" s="46" t="s">
        <v>134</v>
      </c>
      <c r="Q18" s="45" t="s">
        <v>10</v>
      </c>
      <c r="R18" s="47" t="s">
        <v>254</v>
      </c>
    </row>
    <row r="19" spans="1:18" ht="69" customHeight="1" thickBot="1" x14ac:dyDescent="0.25">
      <c r="A19" s="43" t="s">
        <v>277</v>
      </c>
      <c r="B19" s="45" t="s">
        <v>37</v>
      </c>
      <c r="C19" s="45" t="s">
        <v>267</v>
      </c>
      <c r="D19" s="106">
        <v>20000</v>
      </c>
      <c r="E19" s="106"/>
      <c r="F19" s="106"/>
      <c r="G19" s="106"/>
      <c r="H19" s="106">
        <f t="shared" si="10"/>
        <v>16000</v>
      </c>
      <c r="I19" s="106"/>
      <c r="J19" s="106"/>
      <c r="K19" s="106"/>
      <c r="L19" s="106">
        <f t="shared" si="11"/>
        <v>12000</v>
      </c>
      <c r="M19" s="106"/>
      <c r="N19" s="106"/>
      <c r="O19" s="106"/>
      <c r="P19" s="46" t="s">
        <v>134</v>
      </c>
      <c r="Q19" s="45" t="s">
        <v>10</v>
      </c>
      <c r="R19" s="47" t="s">
        <v>254</v>
      </c>
    </row>
    <row r="20" spans="1:18" ht="36" customHeight="1" thickBot="1" x14ac:dyDescent="0.25">
      <c r="A20" s="158" t="s">
        <v>278</v>
      </c>
      <c r="B20" s="160" t="s">
        <v>15</v>
      </c>
      <c r="C20" s="4" t="s">
        <v>283</v>
      </c>
      <c r="D20" s="4">
        <v>5000</v>
      </c>
      <c r="E20" s="57">
        <f t="shared" ref="E20" si="34">D20-(D20*10/100)</f>
        <v>4500</v>
      </c>
      <c r="F20" s="57">
        <f t="shared" ref="F20" si="35">D20-(D20*20/100)</f>
        <v>4000</v>
      </c>
      <c r="G20" s="57">
        <f t="shared" ref="G20" si="36">D20-(D20*30/100)</f>
        <v>3500</v>
      </c>
      <c r="H20" s="57">
        <f>D20-(D20*10/100)</f>
        <v>4500</v>
      </c>
      <c r="I20" s="57">
        <f t="shared" ref="I20" si="37">H20-(H20*10/100)</f>
        <v>4050</v>
      </c>
      <c r="J20" s="57">
        <f t="shared" ref="J20" si="38">H20-(H20*20/100)</f>
        <v>3600</v>
      </c>
      <c r="K20" s="57">
        <f t="shared" ref="K20" si="39">H20-(H20*30/100)</f>
        <v>3150</v>
      </c>
      <c r="L20" s="57">
        <f>D20-(D20*20/100)</f>
        <v>4000</v>
      </c>
      <c r="M20" s="57">
        <f t="shared" ref="M20" si="40">L20-(L20*10/100)</f>
        <v>3600</v>
      </c>
      <c r="N20" s="57">
        <f t="shared" ref="N20" si="41">L20-(L20*20/100)</f>
        <v>3200</v>
      </c>
      <c r="O20" s="57">
        <f t="shared" ref="O20" si="42">L20-(L20*30/100)</f>
        <v>2800</v>
      </c>
      <c r="P20" s="156" t="s">
        <v>135</v>
      </c>
      <c r="Q20" s="160" t="s">
        <v>25</v>
      </c>
      <c r="R20" s="175" t="s">
        <v>255</v>
      </c>
    </row>
    <row r="21" spans="1:18" ht="56.25" customHeight="1" thickBot="1" x14ac:dyDescent="0.25">
      <c r="A21" s="158"/>
      <c r="B21" s="160"/>
      <c r="C21" s="57" t="s">
        <v>284</v>
      </c>
      <c r="D21" s="57">
        <f t="shared" ref="D21:O21" si="43">D20*50/100</f>
        <v>2500</v>
      </c>
      <c r="E21" s="57">
        <f t="shared" si="43"/>
        <v>2250</v>
      </c>
      <c r="F21" s="57">
        <f t="shared" si="43"/>
        <v>2000</v>
      </c>
      <c r="G21" s="57">
        <f t="shared" si="43"/>
        <v>1750</v>
      </c>
      <c r="H21" s="57">
        <f t="shared" si="43"/>
        <v>2250</v>
      </c>
      <c r="I21" s="57">
        <f t="shared" si="43"/>
        <v>2025</v>
      </c>
      <c r="J21" s="57">
        <f t="shared" si="43"/>
        <v>1800</v>
      </c>
      <c r="K21" s="57">
        <f t="shared" si="43"/>
        <v>1575</v>
      </c>
      <c r="L21" s="57">
        <f t="shared" si="43"/>
        <v>2000</v>
      </c>
      <c r="M21" s="57">
        <f t="shared" si="43"/>
        <v>1800</v>
      </c>
      <c r="N21" s="57">
        <f t="shared" si="43"/>
        <v>1600</v>
      </c>
      <c r="O21" s="57">
        <f t="shared" si="43"/>
        <v>1400</v>
      </c>
      <c r="P21" s="156"/>
      <c r="Q21" s="160"/>
      <c r="R21" s="175"/>
    </row>
    <row r="22" spans="1:18" ht="86.25" customHeight="1" thickBot="1" x14ac:dyDescent="0.25">
      <c r="A22" s="28" t="s">
        <v>279</v>
      </c>
      <c r="B22" s="11" t="s">
        <v>16</v>
      </c>
      <c r="C22" s="11" t="s">
        <v>267</v>
      </c>
      <c r="D22" s="106">
        <v>20000</v>
      </c>
      <c r="E22" s="106"/>
      <c r="F22" s="106"/>
      <c r="G22" s="106"/>
      <c r="H22" s="106">
        <f>D22-(D22*20/100)</f>
        <v>16000</v>
      </c>
      <c r="I22" s="106"/>
      <c r="J22" s="106"/>
      <c r="K22" s="106"/>
      <c r="L22" s="106">
        <f>D22-(D22*40/100)</f>
        <v>12000</v>
      </c>
      <c r="M22" s="106"/>
      <c r="N22" s="106"/>
      <c r="O22" s="106"/>
      <c r="P22" s="45" t="s">
        <v>131</v>
      </c>
      <c r="Q22" s="56" t="s">
        <v>10</v>
      </c>
      <c r="R22" s="47" t="s">
        <v>255</v>
      </c>
    </row>
    <row r="23" spans="1:18" ht="86.25" customHeight="1" thickBot="1" x14ac:dyDescent="0.25">
      <c r="A23" s="43" t="s">
        <v>280</v>
      </c>
      <c r="B23" s="44" t="s">
        <v>61</v>
      </c>
      <c r="C23" s="11" t="s">
        <v>267</v>
      </c>
      <c r="D23" s="106">
        <v>15000</v>
      </c>
      <c r="E23" s="106"/>
      <c r="F23" s="106"/>
      <c r="G23" s="106"/>
      <c r="H23" s="106">
        <f>D23-(D23*20/100)</f>
        <v>12000</v>
      </c>
      <c r="I23" s="106"/>
      <c r="J23" s="106"/>
      <c r="K23" s="106"/>
      <c r="L23" s="106">
        <f>D23-(D23*40/100)</f>
        <v>9000</v>
      </c>
      <c r="M23" s="106"/>
      <c r="N23" s="106"/>
      <c r="O23" s="106"/>
      <c r="P23" s="45" t="s">
        <v>131</v>
      </c>
      <c r="Q23" s="45" t="s">
        <v>10</v>
      </c>
      <c r="R23" s="47" t="s">
        <v>256</v>
      </c>
    </row>
    <row r="24" spans="1:18" ht="86.25" customHeight="1" thickBot="1" x14ac:dyDescent="0.25">
      <c r="A24" s="43" t="s">
        <v>281</v>
      </c>
      <c r="B24" s="44" t="s">
        <v>60</v>
      </c>
      <c r="C24" s="11" t="s">
        <v>267</v>
      </c>
      <c r="D24" s="106">
        <v>50000</v>
      </c>
      <c r="E24" s="106"/>
      <c r="F24" s="106"/>
      <c r="G24" s="106"/>
      <c r="H24" s="106">
        <f>D24-(D24*20/100)</f>
        <v>40000</v>
      </c>
      <c r="I24" s="106"/>
      <c r="J24" s="106"/>
      <c r="K24" s="106"/>
      <c r="L24" s="106">
        <f>D24-(D24*40/100)</f>
        <v>30000</v>
      </c>
      <c r="M24" s="106"/>
      <c r="N24" s="106"/>
      <c r="O24" s="106"/>
      <c r="P24" s="46" t="s">
        <v>135</v>
      </c>
      <c r="Q24" s="45" t="s">
        <v>10</v>
      </c>
      <c r="R24" s="47" t="s">
        <v>615</v>
      </c>
    </row>
    <row r="25" spans="1:18" ht="106.5" customHeight="1" thickBot="1" x14ac:dyDescent="0.25">
      <c r="A25" s="43" t="s">
        <v>282</v>
      </c>
      <c r="B25" s="44" t="s">
        <v>104</v>
      </c>
      <c r="C25" s="11" t="s">
        <v>267</v>
      </c>
      <c r="D25" s="106">
        <v>30000</v>
      </c>
      <c r="E25" s="106"/>
      <c r="F25" s="106"/>
      <c r="G25" s="106"/>
      <c r="H25" s="106">
        <f>D25-(D25*20/100)</f>
        <v>24000</v>
      </c>
      <c r="I25" s="106"/>
      <c r="J25" s="106"/>
      <c r="K25" s="106"/>
      <c r="L25" s="106">
        <f>D25-(D25*40/100)</f>
        <v>18000</v>
      </c>
      <c r="M25" s="106"/>
      <c r="N25" s="106"/>
      <c r="O25" s="106"/>
      <c r="P25" s="46" t="s">
        <v>135</v>
      </c>
      <c r="Q25" s="45" t="s">
        <v>27</v>
      </c>
      <c r="R25" s="47" t="s">
        <v>257</v>
      </c>
    </row>
    <row r="26" spans="1:18" ht="86.25" customHeight="1" thickBot="1" x14ac:dyDescent="0.25">
      <c r="A26" s="176" t="s">
        <v>287</v>
      </c>
      <c r="B26" s="166" t="s">
        <v>154</v>
      </c>
      <c r="C26" s="4" t="s">
        <v>283</v>
      </c>
      <c r="D26" s="4">
        <v>1000</v>
      </c>
      <c r="E26" s="57">
        <f t="shared" ref="E26" si="44">D26-(D26*10/100)</f>
        <v>900</v>
      </c>
      <c r="F26" s="57">
        <f t="shared" ref="F26" si="45">D26-(D26*20/100)</f>
        <v>800</v>
      </c>
      <c r="G26" s="57">
        <f t="shared" ref="G26" si="46">D26-(D26*30/100)</f>
        <v>700</v>
      </c>
      <c r="H26" s="57">
        <f>D26-(D26*10/100)</f>
        <v>900</v>
      </c>
      <c r="I26" s="57">
        <f t="shared" ref="I26" si="47">H26-(H26*10/100)</f>
        <v>810</v>
      </c>
      <c r="J26" s="57">
        <f t="shared" ref="J26" si="48">H26-(H26*20/100)</f>
        <v>720</v>
      </c>
      <c r="K26" s="57">
        <f t="shared" ref="K26" si="49">H26-(H26*30/100)</f>
        <v>630</v>
      </c>
      <c r="L26" s="57">
        <f>D26-(D26*20/100)</f>
        <v>800</v>
      </c>
      <c r="M26" s="57">
        <f t="shared" ref="M26" si="50">L26-(L26*10/100)</f>
        <v>720</v>
      </c>
      <c r="N26" s="57">
        <f t="shared" ref="N26" si="51">L26-(L26*20/100)</f>
        <v>640</v>
      </c>
      <c r="O26" s="57">
        <f t="shared" ref="O26" si="52">L26-(L26*30/100)</f>
        <v>560</v>
      </c>
      <c r="P26" s="102" t="s">
        <v>131</v>
      </c>
      <c r="Q26" s="178" t="s">
        <v>25</v>
      </c>
      <c r="R26" s="104" t="s">
        <v>187</v>
      </c>
    </row>
    <row r="27" spans="1:18" ht="86.25" customHeight="1" thickBot="1" x14ac:dyDescent="0.25">
      <c r="A27" s="177"/>
      <c r="B27" s="167"/>
      <c r="C27" s="57" t="s">
        <v>284</v>
      </c>
      <c r="D27" s="57">
        <f t="shared" ref="D27:O27" si="53">D26*50/100</f>
        <v>500</v>
      </c>
      <c r="E27" s="57">
        <f t="shared" si="53"/>
        <v>450</v>
      </c>
      <c r="F27" s="57">
        <f t="shared" si="53"/>
        <v>400</v>
      </c>
      <c r="G27" s="57">
        <f t="shared" si="53"/>
        <v>350</v>
      </c>
      <c r="H27" s="57">
        <f t="shared" si="53"/>
        <v>450</v>
      </c>
      <c r="I27" s="57">
        <f t="shared" si="53"/>
        <v>405</v>
      </c>
      <c r="J27" s="57">
        <f t="shared" si="53"/>
        <v>360</v>
      </c>
      <c r="K27" s="57">
        <f t="shared" si="53"/>
        <v>315</v>
      </c>
      <c r="L27" s="57">
        <f t="shared" si="53"/>
        <v>400</v>
      </c>
      <c r="M27" s="57">
        <f t="shared" si="53"/>
        <v>360</v>
      </c>
      <c r="N27" s="57">
        <f t="shared" si="53"/>
        <v>320</v>
      </c>
      <c r="O27" s="57">
        <f t="shared" si="53"/>
        <v>280</v>
      </c>
      <c r="P27" s="103"/>
      <c r="Q27" s="179"/>
      <c r="R27" s="105"/>
    </row>
    <row r="28" spans="1:18" ht="24" customHeight="1" thickBot="1" x14ac:dyDescent="0.55000000000000004">
      <c r="A28" s="182" t="s">
        <v>288</v>
      </c>
      <c r="B28" s="182"/>
      <c r="C28" s="182"/>
      <c r="D28" s="182"/>
      <c r="E28" s="182"/>
      <c r="F28" s="182"/>
      <c r="G28" s="182"/>
      <c r="H28" s="182"/>
      <c r="I28" s="182"/>
      <c r="J28" s="182"/>
      <c r="K28" s="182"/>
      <c r="L28" s="182"/>
      <c r="M28" s="182"/>
      <c r="N28" s="182"/>
      <c r="O28" s="182"/>
      <c r="P28" s="182"/>
      <c r="Q28" s="182"/>
      <c r="R28" s="23"/>
    </row>
    <row r="29" spans="1:18" ht="81.75" customHeight="1" thickBot="1" x14ac:dyDescent="0.25">
      <c r="A29" s="43" t="s">
        <v>289</v>
      </c>
      <c r="B29" s="45" t="s">
        <v>77</v>
      </c>
      <c r="C29" s="45" t="s">
        <v>267</v>
      </c>
      <c r="D29" s="106">
        <v>5000</v>
      </c>
      <c r="E29" s="106"/>
      <c r="F29" s="106"/>
      <c r="G29" s="106"/>
      <c r="H29" s="106">
        <f t="shared" ref="H29:H36" si="54">D29-(D29*20/100)</f>
        <v>4000</v>
      </c>
      <c r="I29" s="106"/>
      <c r="J29" s="106"/>
      <c r="K29" s="106"/>
      <c r="L29" s="106">
        <f t="shared" ref="L29:L36" si="55">D29-(D29*40/100)</f>
        <v>3000</v>
      </c>
      <c r="M29" s="106"/>
      <c r="N29" s="106"/>
      <c r="O29" s="106"/>
      <c r="P29" s="45" t="s">
        <v>131</v>
      </c>
      <c r="Q29" s="45" t="s">
        <v>10</v>
      </c>
      <c r="R29" s="47" t="s">
        <v>258</v>
      </c>
    </row>
    <row r="30" spans="1:18" ht="75.75" customHeight="1" thickBot="1" x14ac:dyDescent="0.25">
      <c r="A30" s="43" t="s">
        <v>290</v>
      </c>
      <c r="B30" s="45" t="s">
        <v>78</v>
      </c>
      <c r="C30" s="45" t="s">
        <v>267</v>
      </c>
      <c r="D30" s="106">
        <v>10000</v>
      </c>
      <c r="E30" s="106"/>
      <c r="F30" s="106"/>
      <c r="G30" s="106"/>
      <c r="H30" s="106">
        <f t="shared" ref="H30:H35" si="56">D30-(D30*20/100)</f>
        <v>8000</v>
      </c>
      <c r="I30" s="106"/>
      <c r="J30" s="106"/>
      <c r="K30" s="106"/>
      <c r="L30" s="106">
        <f t="shared" ref="L30:L35" si="57">D30-(D30*40/100)</f>
        <v>6000</v>
      </c>
      <c r="M30" s="106"/>
      <c r="N30" s="106"/>
      <c r="O30" s="106"/>
      <c r="P30" s="45" t="s">
        <v>131</v>
      </c>
      <c r="Q30" s="45" t="s">
        <v>10</v>
      </c>
      <c r="R30" s="47" t="s">
        <v>211</v>
      </c>
    </row>
    <row r="31" spans="1:18" ht="60.75" customHeight="1" thickBot="1" x14ac:dyDescent="0.25">
      <c r="A31" s="49" t="s">
        <v>291</v>
      </c>
      <c r="B31" s="50" t="s">
        <v>79</v>
      </c>
      <c r="C31" s="45" t="s">
        <v>267</v>
      </c>
      <c r="D31" s="106">
        <v>20000</v>
      </c>
      <c r="E31" s="106"/>
      <c r="F31" s="106"/>
      <c r="G31" s="106"/>
      <c r="H31" s="106">
        <f t="shared" si="56"/>
        <v>16000</v>
      </c>
      <c r="I31" s="106"/>
      <c r="J31" s="106"/>
      <c r="K31" s="106"/>
      <c r="L31" s="106">
        <f t="shared" si="57"/>
        <v>12000</v>
      </c>
      <c r="M31" s="106"/>
      <c r="N31" s="106"/>
      <c r="O31" s="106"/>
      <c r="P31" s="52" t="s">
        <v>134</v>
      </c>
      <c r="Q31" s="50" t="s">
        <v>27</v>
      </c>
      <c r="R31" s="47" t="s">
        <v>259</v>
      </c>
    </row>
    <row r="32" spans="1:18" ht="117.75" customHeight="1" thickBot="1" x14ac:dyDescent="0.25">
      <c r="A32" s="49" t="s">
        <v>292</v>
      </c>
      <c r="B32" s="50" t="s">
        <v>81</v>
      </c>
      <c r="C32" s="45" t="s">
        <v>267</v>
      </c>
      <c r="D32" s="106">
        <v>15000</v>
      </c>
      <c r="E32" s="106"/>
      <c r="F32" s="106"/>
      <c r="G32" s="106"/>
      <c r="H32" s="106">
        <f t="shared" si="56"/>
        <v>12000</v>
      </c>
      <c r="I32" s="106"/>
      <c r="J32" s="106"/>
      <c r="K32" s="106"/>
      <c r="L32" s="106">
        <f t="shared" si="57"/>
        <v>9000</v>
      </c>
      <c r="M32" s="106"/>
      <c r="N32" s="106"/>
      <c r="O32" s="106"/>
      <c r="P32" s="52" t="s">
        <v>134</v>
      </c>
      <c r="Q32" s="50" t="s">
        <v>10</v>
      </c>
      <c r="R32" s="47" t="s">
        <v>223</v>
      </c>
    </row>
    <row r="33" spans="1:18" ht="123.75" customHeight="1" thickBot="1" x14ac:dyDescent="0.25">
      <c r="A33" s="49" t="s">
        <v>295</v>
      </c>
      <c r="B33" s="50" t="s">
        <v>82</v>
      </c>
      <c r="C33" s="45" t="s">
        <v>267</v>
      </c>
      <c r="D33" s="106">
        <v>1000</v>
      </c>
      <c r="E33" s="106"/>
      <c r="F33" s="106"/>
      <c r="G33" s="106"/>
      <c r="H33" s="106">
        <f t="shared" si="56"/>
        <v>800</v>
      </c>
      <c r="I33" s="106"/>
      <c r="J33" s="106"/>
      <c r="K33" s="106"/>
      <c r="L33" s="106">
        <f t="shared" si="57"/>
        <v>600</v>
      </c>
      <c r="M33" s="106"/>
      <c r="N33" s="106"/>
      <c r="O33" s="106"/>
      <c r="P33" s="52" t="s">
        <v>137</v>
      </c>
      <c r="Q33" s="50" t="s">
        <v>10</v>
      </c>
      <c r="R33" s="47" t="s">
        <v>222</v>
      </c>
    </row>
    <row r="34" spans="1:18" ht="134.25" customHeight="1" thickBot="1" x14ac:dyDescent="0.25">
      <c r="A34" s="49" t="s">
        <v>296</v>
      </c>
      <c r="B34" s="50" t="s">
        <v>293</v>
      </c>
      <c r="C34" s="45" t="s">
        <v>267</v>
      </c>
      <c r="D34" s="106">
        <v>500</v>
      </c>
      <c r="E34" s="106"/>
      <c r="F34" s="106"/>
      <c r="G34" s="106"/>
      <c r="H34" s="106">
        <f t="shared" si="56"/>
        <v>400</v>
      </c>
      <c r="I34" s="106"/>
      <c r="J34" s="106"/>
      <c r="K34" s="106"/>
      <c r="L34" s="106">
        <f t="shared" si="57"/>
        <v>300</v>
      </c>
      <c r="M34" s="106"/>
      <c r="N34" s="106"/>
      <c r="O34" s="106"/>
      <c r="P34" s="52" t="s">
        <v>137</v>
      </c>
      <c r="Q34" s="50" t="s">
        <v>27</v>
      </c>
      <c r="R34" s="47" t="s">
        <v>222</v>
      </c>
    </row>
    <row r="35" spans="1:18" ht="115.5" customHeight="1" thickBot="1" x14ac:dyDescent="0.25">
      <c r="A35" s="96">
        <v>37074</v>
      </c>
      <c r="B35" s="50" t="s">
        <v>138</v>
      </c>
      <c r="C35" s="45" t="s">
        <v>267</v>
      </c>
      <c r="D35" s="106">
        <v>500</v>
      </c>
      <c r="E35" s="106"/>
      <c r="F35" s="106"/>
      <c r="G35" s="106"/>
      <c r="H35" s="106">
        <f t="shared" si="56"/>
        <v>400</v>
      </c>
      <c r="I35" s="106"/>
      <c r="J35" s="106"/>
      <c r="K35" s="106"/>
      <c r="L35" s="106">
        <f t="shared" si="57"/>
        <v>300</v>
      </c>
      <c r="M35" s="106"/>
      <c r="N35" s="106"/>
      <c r="O35" s="106"/>
      <c r="P35" s="52" t="s">
        <v>137</v>
      </c>
      <c r="Q35" s="50" t="s">
        <v>10</v>
      </c>
      <c r="R35" s="47" t="s">
        <v>222</v>
      </c>
    </row>
    <row r="36" spans="1:18" ht="128.25" customHeight="1" thickBot="1" x14ac:dyDescent="0.25">
      <c r="A36" s="49" t="s">
        <v>297</v>
      </c>
      <c r="B36" s="50" t="s">
        <v>294</v>
      </c>
      <c r="C36" s="45" t="s">
        <v>267</v>
      </c>
      <c r="D36" s="106">
        <v>500</v>
      </c>
      <c r="E36" s="106"/>
      <c r="F36" s="106"/>
      <c r="G36" s="106"/>
      <c r="H36" s="106">
        <f t="shared" si="54"/>
        <v>400</v>
      </c>
      <c r="I36" s="106"/>
      <c r="J36" s="106"/>
      <c r="K36" s="106"/>
      <c r="L36" s="106">
        <f t="shared" si="55"/>
        <v>300</v>
      </c>
      <c r="M36" s="106"/>
      <c r="N36" s="106"/>
      <c r="O36" s="106"/>
      <c r="P36" s="50" t="s">
        <v>83</v>
      </c>
      <c r="Q36" s="50" t="s">
        <v>10</v>
      </c>
      <c r="R36" s="47" t="s">
        <v>213</v>
      </c>
    </row>
    <row r="37" spans="1:18" ht="23.25" customHeight="1" thickBot="1" x14ac:dyDescent="0.25">
      <c r="A37" s="146" t="s">
        <v>298</v>
      </c>
      <c r="B37" s="109" t="s">
        <v>84</v>
      </c>
      <c r="C37" s="45" t="s">
        <v>283</v>
      </c>
      <c r="D37" s="48">
        <v>2000</v>
      </c>
      <c r="E37" s="48">
        <f t="shared" ref="E37" si="58">D37-(D37*10/100)</f>
        <v>1800</v>
      </c>
      <c r="F37" s="48">
        <f t="shared" ref="F37" si="59">D37-(D37*20/100)</f>
        <v>1600</v>
      </c>
      <c r="G37" s="48">
        <f t="shared" ref="G37" si="60">D37-(D37*30/100)</f>
        <v>1400</v>
      </c>
      <c r="H37" s="48">
        <f>D37-(D37*10/100)</f>
        <v>1800</v>
      </c>
      <c r="I37" s="48">
        <f t="shared" ref="I37" si="61">H37-(H37*10/100)</f>
        <v>1620</v>
      </c>
      <c r="J37" s="48">
        <f t="shared" ref="J37" si="62">H37-(H37*20/100)</f>
        <v>1440</v>
      </c>
      <c r="K37" s="48">
        <f t="shared" ref="K37" si="63">H37-(H37*30/100)</f>
        <v>1260</v>
      </c>
      <c r="L37" s="48">
        <f>D37-(D37*20/100)</f>
        <v>1600</v>
      </c>
      <c r="M37" s="48">
        <f t="shared" ref="M37" si="64">L37-(L37*10/100)</f>
        <v>1440</v>
      </c>
      <c r="N37" s="48">
        <f t="shared" ref="N37" si="65">L37-(L37*20/100)</f>
        <v>1280</v>
      </c>
      <c r="O37" s="48">
        <f t="shared" ref="O37" si="66">L37-(L37*30/100)</f>
        <v>1120</v>
      </c>
      <c r="P37" s="109" t="s">
        <v>85</v>
      </c>
      <c r="Q37" s="109" t="s">
        <v>25</v>
      </c>
      <c r="R37" s="104" t="s">
        <v>260</v>
      </c>
    </row>
    <row r="38" spans="1:18" ht="27" customHeight="1" x14ac:dyDescent="0.2">
      <c r="A38" s="147"/>
      <c r="B38" s="110"/>
      <c r="C38" s="149" t="s">
        <v>284</v>
      </c>
      <c r="D38" s="149">
        <f t="shared" ref="D38:O38" si="67">D37*50/100</f>
        <v>1000</v>
      </c>
      <c r="E38" s="107">
        <f t="shared" si="67"/>
        <v>900</v>
      </c>
      <c r="F38" s="107">
        <f t="shared" si="67"/>
        <v>800</v>
      </c>
      <c r="G38" s="107">
        <f t="shared" si="67"/>
        <v>700</v>
      </c>
      <c r="H38" s="107">
        <f t="shared" si="67"/>
        <v>900</v>
      </c>
      <c r="I38" s="107">
        <f t="shared" si="67"/>
        <v>810</v>
      </c>
      <c r="J38" s="107">
        <f t="shared" si="67"/>
        <v>720</v>
      </c>
      <c r="K38" s="107">
        <f t="shared" si="67"/>
        <v>630</v>
      </c>
      <c r="L38" s="107">
        <f t="shared" si="67"/>
        <v>800</v>
      </c>
      <c r="M38" s="107">
        <f t="shared" si="67"/>
        <v>720</v>
      </c>
      <c r="N38" s="107">
        <f t="shared" si="67"/>
        <v>640</v>
      </c>
      <c r="O38" s="107">
        <f t="shared" si="67"/>
        <v>560</v>
      </c>
      <c r="P38" s="110"/>
      <c r="Q38" s="110"/>
      <c r="R38" s="112"/>
    </row>
    <row r="39" spans="1:18" ht="15" customHeight="1" thickBot="1" x14ac:dyDescent="0.25">
      <c r="A39" s="148"/>
      <c r="B39" s="111"/>
      <c r="C39" s="150"/>
      <c r="D39" s="150"/>
      <c r="E39" s="108"/>
      <c r="F39" s="108"/>
      <c r="G39" s="108"/>
      <c r="H39" s="108"/>
      <c r="I39" s="108"/>
      <c r="J39" s="108"/>
      <c r="K39" s="108"/>
      <c r="L39" s="108"/>
      <c r="M39" s="108"/>
      <c r="N39" s="108"/>
      <c r="O39" s="108"/>
      <c r="P39" s="111"/>
      <c r="Q39" s="111"/>
      <c r="R39" s="105"/>
    </row>
    <row r="40" spans="1:18" s="14" customFormat="1" ht="53.25" customHeight="1" thickBot="1" x14ac:dyDescent="0.5">
      <c r="A40" s="55" t="s">
        <v>299</v>
      </c>
      <c r="B40" s="45" t="s">
        <v>46</v>
      </c>
      <c r="C40" s="11" t="s">
        <v>267</v>
      </c>
      <c r="D40" s="106">
        <v>20000</v>
      </c>
      <c r="E40" s="106"/>
      <c r="F40" s="106"/>
      <c r="G40" s="106"/>
      <c r="H40" s="106">
        <f t="shared" ref="H40" si="68">D40-(D40*20/100)</f>
        <v>16000</v>
      </c>
      <c r="I40" s="106"/>
      <c r="J40" s="106"/>
      <c r="K40" s="106"/>
      <c r="L40" s="106">
        <f t="shared" ref="L40" si="69">D40-(D40*40/100)</f>
        <v>12000</v>
      </c>
      <c r="M40" s="106"/>
      <c r="N40" s="106"/>
      <c r="O40" s="106"/>
      <c r="P40" s="6" t="s">
        <v>85</v>
      </c>
      <c r="Q40" s="45" t="s">
        <v>10</v>
      </c>
      <c r="R40" s="53" t="s">
        <v>185</v>
      </c>
    </row>
    <row r="41" spans="1:18" s="14" customFormat="1" ht="60.75" customHeight="1" thickBot="1" x14ac:dyDescent="0.5">
      <c r="A41" s="55" t="s">
        <v>300</v>
      </c>
      <c r="B41" s="45" t="s">
        <v>86</v>
      </c>
      <c r="C41" s="11" t="s">
        <v>267</v>
      </c>
      <c r="D41" s="106">
        <v>50000</v>
      </c>
      <c r="E41" s="106"/>
      <c r="F41" s="106"/>
      <c r="G41" s="106"/>
      <c r="H41" s="106">
        <f t="shared" ref="H41" si="70">D41-(D41*20/100)</f>
        <v>40000</v>
      </c>
      <c r="I41" s="106"/>
      <c r="J41" s="106"/>
      <c r="K41" s="106"/>
      <c r="L41" s="106">
        <f t="shared" ref="L41" si="71">D41-(D41*40/100)</f>
        <v>30000</v>
      </c>
      <c r="M41" s="106"/>
      <c r="N41" s="106"/>
      <c r="O41" s="106"/>
      <c r="P41" s="6" t="s">
        <v>85</v>
      </c>
      <c r="Q41" s="45" t="s">
        <v>10</v>
      </c>
      <c r="R41" s="53" t="s">
        <v>186</v>
      </c>
    </row>
    <row r="42" spans="1:18" s="14" customFormat="1" ht="68.25" customHeight="1" thickBot="1" x14ac:dyDescent="0.5">
      <c r="A42" s="55" t="s">
        <v>301</v>
      </c>
      <c r="B42" s="45" t="s">
        <v>87</v>
      </c>
      <c r="C42" s="11" t="s">
        <v>267</v>
      </c>
      <c r="D42" s="106">
        <v>50000</v>
      </c>
      <c r="E42" s="106"/>
      <c r="F42" s="106"/>
      <c r="G42" s="106"/>
      <c r="H42" s="106">
        <f t="shared" ref="H42" si="72">D42-(D42*20/100)</f>
        <v>40000</v>
      </c>
      <c r="I42" s="106"/>
      <c r="J42" s="106"/>
      <c r="K42" s="106"/>
      <c r="L42" s="106">
        <f t="shared" ref="L42" si="73">D42-(D42*40/100)</f>
        <v>30000</v>
      </c>
      <c r="M42" s="106"/>
      <c r="N42" s="106"/>
      <c r="O42" s="106"/>
      <c r="P42" s="6" t="s">
        <v>85</v>
      </c>
      <c r="Q42" s="45" t="s">
        <v>10</v>
      </c>
      <c r="R42" s="53" t="s">
        <v>186</v>
      </c>
    </row>
    <row r="43" spans="1:18" s="14" customFormat="1" ht="53.25" customHeight="1" thickBot="1" x14ac:dyDescent="0.5">
      <c r="A43" s="55" t="s">
        <v>302</v>
      </c>
      <c r="B43" s="45" t="s">
        <v>88</v>
      </c>
      <c r="C43" s="11" t="s">
        <v>267</v>
      </c>
      <c r="D43" s="106">
        <v>30000</v>
      </c>
      <c r="E43" s="106"/>
      <c r="F43" s="106"/>
      <c r="G43" s="106"/>
      <c r="H43" s="106">
        <f t="shared" ref="H43" si="74">D43-(D43*20/100)</f>
        <v>24000</v>
      </c>
      <c r="I43" s="106"/>
      <c r="J43" s="106"/>
      <c r="K43" s="106"/>
      <c r="L43" s="106">
        <f t="shared" ref="L43" si="75">D43-(D43*40/100)</f>
        <v>18000</v>
      </c>
      <c r="M43" s="106"/>
      <c r="N43" s="106"/>
      <c r="O43" s="106"/>
      <c r="P43" s="6" t="s">
        <v>85</v>
      </c>
      <c r="Q43" s="45" t="s">
        <v>10</v>
      </c>
      <c r="R43" s="53" t="s">
        <v>187</v>
      </c>
    </row>
    <row r="44" spans="1:18" s="14" customFormat="1" ht="60.75" customHeight="1" thickBot="1" x14ac:dyDescent="0.5">
      <c r="A44" s="55" t="s">
        <v>303</v>
      </c>
      <c r="B44" s="45" t="s">
        <v>39</v>
      </c>
      <c r="C44" s="11" t="s">
        <v>267</v>
      </c>
      <c r="D44" s="106">
        <v>20000</v>
      </c>
      <c r="E44" s="106"/>
      <c r="F44" s="106"/>
      <c r="G44" s="106"/>
      <c r="H44" s="106">
        <f t="shared" ref="H44:H51" si="76">D44-(D44*20/100)</f>
        <v>16000</v>
      </c>
      <c r="I44" s="106"/>
      <c r="J44" s="106"/>
      <c r="K44" s="106"/>
      <c r="L44" s="106">
        <f t="shared" ref="L44:L51" si="77">D44-(D44*40/100)</f>
        <v>12000</v>
      </c>
      <c r="M44" s="106"/>
      <c r="N44" s="106"/>
      <c r="O44" s="106"/>
      <c r="P44" s="6" t="s">
        <v>85</v>
      </c>
      <c r="Q44" s="45" t="s">
        <v>10</v>
      </c>
      <c r="R44" s="53" t="s">
        <v>186</v>
      </c>
    </row>
    <row r="45" spans="1:18" s="14" customFormat="1" ht="68.25" customHeight="1" thickBot="1" x14ac:dyDescent="0.5">
      <c r="A45" s="55" t="s">
        <v>304</v>
      </c>
      <c r="B45" s="45" t="s">
        <v>40</v>
      </c>
      <c r="C45" s="11" t="s">
        <v>267</v>
      </c>
      <c r="D45" s="106">
        <v>15000</v>
      </c>
      <c r="E45" s="106"/>
      <c r="F45" s="106"/>
      <c r="G45" s="106"/>
      <c r="H45" s="106">
        <f t="shared" si="76"/>
        <v>12000</v>
      </c>
      <c r="I45" s="106"/>
      <c r="J45" s="106"/>
      <c r="K45" s="106"/>
      <c r="L45" s="106">
        <f t="shared" si="77"/>
        <v>9000</v>
      </c>
      <c r="M45" s="106"/>
      <c r="N45" s="106"/>
      <c r="O45" s="106"/>
      <c r="P45" s="6" t="s">
        <v>85</v>
      </c>
      <c r="Q45" s="45" t="s">
        <v>10</v>
      </c>
      <c r="R45" s="53" t="s">
        <v>186</v>
      </c>
    </row>
    <row r="46" spans="1:18" s="14" customFormat="1" ht="53.25" customHeight="1" thickBot="1" x14ac:dyDescent="0.5">
      <c r="A46" s="55" t="s">
        <v>306</v>
      </c>
      <c r="B46" s="45" t="s">
        <v>305</v>
      </c>
      <c r="C46" s="11" t="s">
        <v>267</v>
      </c>
      <c r="D46" s="106">
        <v>30000</v>
      </c>
      <c r="E46" s="106"/>
      <c r="F46" s="106"/>
      <c r="G46" s="106"/>
      <c r="H46" s="106">
        <f t="shared" ref="H46" si="78">D46-(D46*20/100)</f>
        <v>24000</v>
      </c>
      <c r="I46" s="106"/>
      <c r="J46" s="106"/>
      <c r="K46" s="106"/>
      <c r="L46" s="106">
        <f t="shared" ref="L46" si="79">D46-(D46*40/100)</f>
        <v>18000</v>
      </c>
      <c r="M46" s="106"/>
      <c r="N46" s="106"/>
      <c r="O46" s="106"/>
      <c r="P46" s="6" t="s">
        <v>139</v>
      </c>
      <c r="Q46" s="45" t="s">
        <v>10</v>
      </c>
      <c r="R46" s="53" t="s">
        <v>188</v>
      </c>
    </row>
    <row r="47" spans="1:18" s="14" customFormat="1" ht="60.75" customHeight="1" thickBot="1" x14ac:dyDescent="0.5">
      <c r="A47" s="55" t="s">
        <v>307</v>
      </c>
      <c r="B47" s="45" t="s">
        <v>140</v>
      </c>
      <c r="C47" s="11" t="s">
        <v>267</v>
      </c>
      <c r="D47" s="106">
        <v>15000</v>
      </c>
      <c r="E47" s="106"/>
      <c r="F47" s="106"/>
      <c r="G47" s="106"/>
      <c r="H47" s="106">
        <f t="shared" si="76"/>
        <v>12000</v>
      </c>
      <c r="I47" s="106"/>
      <c r="J47" s="106"/>
      <c r="K47" s="106"/>
      <c r="L47" s="106">
        <f t="shared" si="77"/>
        <v>9000</v>
      </c>
      <c r="M47" s="106"/>
      <c r="N47" s="106"/>
      <c r="O47" s="106"/>
      <c r="P47" s="6" t="s">
        <v>141</v>
      </c>
      <c r="Q47" s="45" t="s">
        <v>10</v>
      </c>
      <c r="R47" s="53" t="s">
        <v>189</v>
      </c>
    </row>
    <row r="48" spans="1:18" ht="60.75" customHeight="1" thickBot="1" x14ac:dyDescent="0.25">
      <c r="A48" s="28" t="s">
        <v>308</v>
      </c>
      <c r="B48" s="29" t="s">
        <v>142</v>
      </c>
      <c r="C48" s="45" t="s">
        <v>267</v>
      </c>
      <c r="D48" s="106">
        <v>30000</v>
      </c>
      <c r="E48" s="106"/>
      <c r="F48" s="106"/>
      <c r="G48" s="106"/>
      <c r="H48" s="106">
        <f t="shared" si="76"/>
        <v>24000</v>
      </c>
      <c r="I48" s="106"/>
      <c r="J48" s="106"/>
      <c r="K48" s="106"/>
      <c r="L48" s="106">
        <f t="shared" si="77"/>
        <v>18000</v>
      </c>
      <c r="M48" s="106"/>
      <c r="N48" s="106"/>
      <c r="O48" s="106"/>
      <c r="P48" s="52" t="s">
        <v>141</v>
      </c>
      <c r="Q48" s="50" t="s">
        <v>10</v>
      </c>
      <c r="R48" s="53" t="s">
        <v>189</v>
      </c>
    </row>
    <row r="49" spans="1:18" ht="92.25" customHeight="1" thickBot="1" x14ac:dyDescent="0.25">
      <c r="A49" s="28" t="s">
        <v>309</v>
      </c>
      <c r="B49" s="29" t="s">
        <v>63</v>
      </c>
      <c r="C49" s="79" t="s">
        <v>267</v>
      </c>
      <c r="D49" s="106">
        <v>5000</v>
      </c>
      <c r="E49" s="106"/>
      <c r="F49" s="106"/>
      <c r="G49" s="106"/>
      <c r="H49" s="106">
        <f t="shared" si="76"/>
        <v>4000</v>
      </c>
      <c r="I49" s="106"/>
      <c r="J49" s="106"/>
      <c r="K49" s="106"/>
      <c r="L49" s="106">
        <f t="shared" si="77"/>
        <v>3000</v>
      </c>
      <c r="M49" s="106"/>
      <c r="N49" s="106"/>
      <c r="O49" s="106"/>
      <c r="P49" s="46" t="s">
        <v>131</v>
      </c>
      <c r="Q49" s="45" t="s">
        <v>10</v>
      </c>
      <c r="R49" s="75" t="s">
        <v>225</v>
      </c>
    </row>
    <row r="50" spans="1:18" ht="101.25" customHeight="1" thickBot="1" x14ac:dyDescent="0.25">
      <c r="A50" s="28" t="s">
        <v>310</v>
      </c>
      <c r="B50" s="29" t="s">
        <v>17</v>
      </c>
      <c r="C50" s="79" t="s">
        <v>267</v>
      </c>
      <c r="D50" s="106">
        <v>15000</v>
      </c>
      <c r="E50" s="106"/>
      <c r="F50" s="106"/>
      <c r="G50" s="106"/>
      <c r="H50" s="106">
        <f t="shared" si="76"/>
        <v>12000</v>
      </c>
      <c r="I50" s="106"/>
      <c r="J50" s="106"/>
      <c r="K50" s="106"/>
      <c r="L50" s="106">
        <f t="shared" si="77"/>
        <v>9000</v>
      </c>
      <c r="M50" s="106"/>
      <c r="N50" s="106"/>
      <c r="O50" s="106"/>
      <c r="P50" s="46" t="s">
        <v>141</v>
      </c>
      <c r="Q50" s="45" t="s">
        <v>10</v>
      </c>
      <c r="R50" s="75" t="s">
        <v>189</v>
      </c>
    </row>
    <row r="51" spans="1:18" ht="110.25" customHeight="1" thickBot="1" x14ac:dyDescent="0.25">
      <c r="A51" s="43" t="s">
        <v>311</v>
      </c>
      <c r="B51" s="44" t="s">
        <v>18</v>
      </c>
      <c r="C51" s="79" t="s">
        <v>267</v>
      </c>
      <c r="D51" s="106">
        <v>10000</v>
      </c>
      <c r="E51" s="106"/>
      <c r="F51" s="106"/>
      <c r="G51" s="106"/>
      <c r="H51" s="106">
        <f t="shared" si="76"/>
        <v>8000</v>
      </c>
      <c r="I51" s="106"/>
      <c r="J51" s="106"/>
      <c r="K51" s="106"/>
      <c r="L51" s="106">
        <f t="shared" si="77"/>
        <v>6000</v>
      </c>
      <c r="M51" s="106"/>
      <c r="N51" s="106"/>
      <c r="O51" s="106"/>
      <c r="P51" s="46" t="s">
        <v>141</v>
      </c>
      <c r="Q51" s="45" t="s">
        <v>27</v>
      </c>
      <c r="R51" s="75" t="s">
        <v>189</v>
      </c>
    </row>
    <row r="52" spans="1:18" ht="26.25" customHeight="1" thickBot="1" x14ac:dyDescent="0.25">
      <c r="A52" s="158" t="s">
        <v>312</v>
      </c>
      <c r="B52" s="159" t="s">
        <v>62</v>
      </c>
      <c r="C52" s="4" t="s">
        <v>283</v>
      </c>
      <c r="D52" s="4">
        <v>2000</v>
      </c>
      <c r="E52" s="57">
        <f t="shared" ref="E52:E54" si="80">D52-(D52*10/100)</f>
        <v>1800</v>
      </c>
      <c r="F52" s="57">
        <f t="shared" ref="F52:F54" si="81">D52-(D52*20/100)</f>
        <v>1600</v>
      </c>
      <c r="G52" s="57">
        <f t="shared" ref="G52:G54" si="82">D52-(D52*30/100)</f>
        <v>1400</v>
      </c>
      <c r="H52" s="57">
        <f>D52-(D52*10/100)</f>
        <v>1800</v>
      </c>
      <c r="I52" s="57">
        <f t="shared" ref="I52:I54" si="83">H52-(H52*10/100)</f>
        <v>1620</v>
      </c>
      <c r="J52" s="57">
        <f t="shared" ref="J52:J54" si="84">H52-(H52*20/100)</f>
        <v>1440</v>
      </c>
      <c r="K52" s="57">
        <f t="shared" ref="K52:K54" si="85">H52-(H52*30/100)</f>
        <v>1260</v>
      </c>
      <c r="L52" s="57">
        <f>D52-(D52*20/100)</f>
        <v>1600</v>
      </c>
      <c r="M52" s="57">
        <f t="shared" ref="M52:M54" si="86">L52-(L52*10/100)</f>
        <v>1440</v>
      </c>
      <c r="N52" s="57">
        <f t="shared" ref="N52:N54" si="87">L52-(L52*20/100)</f>
        <v>1280</v>
      </c>
      <c r="O52" s="57">
        <f t="shared" ref="O52:O54" si="88">L52-(L52*30/100)</f>
        <v>1120</v>
      </c>
      <c r="P52" s="156" t="s">
        <v>141</v>
      </c>
      <c r="Q52" s="160" t="s">
        <v>25</v>
      </c>
      <c r="R52" s="171" t="s">
        <v>189</v>
      </c>
    </row>
    <row r="53" spans="1:18" ht="32.25" customHeight="1" thickBot="1" x14ac:dyDescent="0.25">
      <c r="A53" s="158"/>
      <c r="B53" s="159"/>
      <c r="C53" s="57" t="s">
        <v>284</v>
      </c>
      <c r="D53" s="57">
        <f t="shared" ref="D53:O53" si="89">D52*50/100</f>
        <v>1000</v>
      </c>
      <c r="E53" s="57">
        <f t="shared" si="89"/>
        <v>900</v>
      </c>
      <c r="F53" s="57">
        <f t="shared" si="89"/>
        <v>800</v>
      </c>
      <c r="G53" s="57">
        <f t="shared" si="89"/>
        <v>700</v>
      </c>
      <c r="H53" s="57">
        <f t="shared" si="89"/>
        <v>900</v>
      </c>
      <c r="I53" s="57">
        <f t="shared" si="89"/>
        <v>810</v>
      </c>
      <c r="J53" s="57">
        <f t="shared" si="89"/>
        <v>720</v>
      </c>
      <c r="K53" s="57">
        <f t="shared" si="89"/>
        <v>630</v>
      </c>
      <c r="L53" s="57">
        <f t="shared" si="89"/>
        <v>800</v>
      </c>
      <c r="M53" s="57">
        <f t="shared" si="89"/>
        <v>720</v>
      </c>
      <c r="N53" s="57">
        <f t="shared" si="89"/>
        <v>640</v>
      </c>
      <c r="O53" s="57">
        <f t="shared" si="89"/>
        <v>560</v>
      </c>
      <c r="P53" s="156"/>
      <c r="Q53" s="160"/>
      <c r="R53" s="172"/>
    </row>
    <row r="54" spans="1:18" ht="38.25" customHeight="1" thickBot="1" x14ac:dyDescent="0.25">
      <c r="A54" s="158" t="s">
        <v>313</v>
      </c>
      <c r="B54" s="159" t="s">
        <v>143</v>
      </c>
      <c r="C54" s="4" t="s">
        <v>283</v>
      </c>
      <c r="D54" s="4">
        <v>1000</v>
      </c>
      <c r="E54" s="57">
        <f t="shared" si="80"/>
        <v>900</v>
      </c>
      <c r="F54" s="57">
        <f t="shared" si="81"/>
        <v>800</v>
      </c>
      <c r="G54" s="57">
        <f t="shared" si="82"/>
        <v>700</v>
      </c>
      <c r="H54" s="57">
        <f>D54-(D54*10/100)</f>
        <v>900</v>
      </c>
      <c r="I54" s="57">
        <f t="shared" si="83"/>
        <v>810</v>
      </c>
      <c r="J54" s="57">
        <f t="shared" si="84"/>
        <v>720</v>
      </c>
      <c r="K54" s="57">
        <f t="shared" si="85"/>
        <v>630</v>
      </c>
      <c r="L54" s="57">
        <f>D54-(D54*20/100)</f>
        <v>800</v>
      </c>
      <c r="M54" s="57">
        <f t="shared" si="86"/>
        <v>720</v>
      </c>
      <c r="N54" s="57">
        <f t="shared" si="87"/>
        <v>640</v>
      </c>
      <c r="O54" s="57">
        <f t="shared" si="88"/>
        <v>560</v>
      </c>
      <c r="P54" s="160" t="s">
        <v>131</v>
      </c>
      <c r="Q54" s="160" t="s">
        <v>25</v>
      </c>
      <c r="R54" s="171" t="s">
        <v>189</v>
      </c>
    </row>
    <row r="55" spans="1:18" ht="33" customHeight="1" thickBot="1" x14ac:dyDescent="0.25">
      <c r="A55" s="158"/>
      <c r="B55" s="159"/>
      <c r="C55" s="57" t="s">
        <v>284</v>
      </c>
      <c r="D55" s="57">
        <f t="shared" ref="D55:O55" si="90">D54*50/100</f>
        <v>500</v>
      </c>
      <c r="E55" s="57">
        <f t="shared" si="90"/>
        <v>450</v>
      </c>
      <c r="F55" s="57">
        <f t="shared" si="90"/>
        <v>400</v>
      </c>
      <c r="G55" s="57">
        <f t="shared" si="90"/>
        <v>350</v>
      </c>
      <c r="H55" s="57">
        <f t="shared" si="90"/>
        <v>450</v>
      </c>
      <c r="I55" s="57">
        <f t="shared" si="90"/>
        <v>405</v>
      </c>
      <c r="J55" s="57">
        <f t="shared" si="90"/>
        <v>360</v>
      </c>
      <c r="K55" s="57">
        <f t="shared" si="90"/>
        <v>315</v>
      </c>
      <c r="L55" s="57">
        <f t="shared" si="90"/>
        <v>400</v>
      </c>
      <c r="M55" s="57">
        <f t="shared" si="90"/>
        <v>360</v>
      </c>
      <c r="N55" s="57">
        <f t="shared" si="90"/>
        <v>320</v>
      </c>
      <c r="O55" s="57">
        <f t="shared" si="90"/>
        <v>280</v>
      </c>
      <c r="P55" s="160"/>
      <c r="Q55" s="160"/>
      <c r="R55" s="172"/>
    </row>
    <row r="56" spans="1:18" ht="57.75" customHeight="1" thickBot="1" x14ac:dyDescent="0.25">
      <c r="A56" s="49" t="s">
        <v>314</v>
      </c>
      <c r="B56" s="76" t="s">
        <v>144</v>
      </c>
      <c r="C56" s="82" t="s">
        <v>267</v>
      </c>
      <c r="D56" s="106">
        <v>15000</v>
      </c>
      <c r="E56" s="106"/>
      <c r="F56" s="106"/>
      <c r="G56" s="106"/>
      <c r="H56" s="106">
        <f t="shared" ref="H56:H66" si="91">D56-(D56*20/100)</f>
        <v>12000</v>
      </c>
      <c r="I56" s="106"/>
      <c r="J56" s="106"/>
      <c r="K56" s="106"/>
      <c r="L56" s="106">
        <f t="shared" ref="L56:L66" si="92">D56-(D56*40/100)</f>
        <v>9000</v>
      </c>
      <c r="M56" s="106"/>
      <c r="N56" s="106"/>
      <c r="O56" s="106"/>
      <c r="P56" s="52" t="s">
        <v>141</v>
      </c>
      <c r="Q56" s="45" t="s">
        <v>10</v>
      </c>
      <c r="R56" s="53" t="s">
        <v>189</v>
      </c>
    </row>
    <row r="57" spans="1:18" s="14" customFormat="1" ht="93.75" thickBot="1" x14ac:dyDescent="0.5">
      <c r="A57" s="55" t="s">
        <v>315</v>
      </c>
      <c r="B57" s="44" t="s">
        <v>89</v>
      </c>
      <c r="C57" s="11" t="s">
        <v>267</v>
      </c>
      <c r="D57" s="106">
        <v>50000</v>
      </c>
      <c r="E57" s="106"/>
      <c r="F57" s="106"/>
      <c r="G57" s="106"/>
      <c r="H57" s="106">
        <f t="shared" si="91"/>
        <v>40000</v>
      </c>
      <c r="I57" s="106"/>
      <c r="J57" s="106"/>
      <c r="K57" s="106"/>
      <c r="L57" s="106">
        <f t="shared" si="92"/>
        <v>30000</v>
      </c>
      <c r="M57" s="106"/>
      <c r="N57" s="106"/>
      <c r="O57" s="106"/>
      <c r="P57" s="46" t="s">
        <v>131</v>
      </c>
      <c r="Q57" s="45" t="s">
        <v>10</v>
      </c>
      <c r="R57" s="53" t="s">
        <v>261</v>
      </c>
    </row>
    <row r="58" spans="1:18" s="14" customFormat="1" ht="61.5" customHeight="1" thickBot="1" x14ac:dyDescent="0.5">
      <c r="A58" s="55" t="s">
        <v>317</v>
      </c>
      <c r="B58" s="78" t="s">
        <v>316</v>
      </c>
      <c r="C58" s="11" t="s">
        <v>267</v>
      </c>
      <c r="D58" s="106">
        <v>30000</v>
      </c>
      <c r="E58" s="106"/>
      <c r="F58" s="106"/>
      <c r="G58" s="106"/>
      <c r="H58" s="106">
        <f t="shared" si="91"/>
        <v>24000</v>
      </c>
      <c r="I58" s="106"/>
      <c r="J58" s="106"/>
      <c r="K58" s="106"/>
      <c r="L58" s="106">
        <f t="shared" si="92"/>
        <v>18000</v>
      </c>
      <c r="M58" s="106"/>
      <c r="N58" s="106"/>
      <c r="O58" s="106"/>
      <c r="P58" s="58" t="s">
        <v>135</v>
      </c>
      <c r="Q58" s="56" t="s">
        <v>10</v>
      </c>
      <c r="R58" s="53" t="s">
        <v>242</v>
      </c>
    </row>
    <row r="59" spans="1:18" s="14" customFormat="1" ht="70.5" thickBot="1" x14ac:dyDescent="0.5">
      <c r="A59" s="55" t="s">
        <v>318</v>
      </c>
      <c r="B59" s="44" t="s">
        <v>145</v>
      </c>
      <c r="C59" s="11" t="s">
        <v>267</v>
      </c>
      <c r="D59" s="106">
        <v>15000</v>
      </c>
      <c r="E59" s="106"/>
      <c r="F59" s="106"/>
      <c r="G59" s="106"/>
      <c r="H59" s="106">
        <f t="shared" si="91"/>
        <v>12000</v>
      </c>
      <c r="I59" s="106"/>
      <c r="J59" s="106"/>
      <c r="K59" s="106"/>
      <c r="L59" s="106">
        <f t="shared" si="92"/>
        <v>9000</v>
      </c>
      <c r="M59" s="106"/>
      <c r="N59" s="106"/>
      <c r="O59" s="106"/>
      <c r="P59" s="46" t="s">
        <v>131</v>
      </c>
      <c r="Q59" s="45" t="s">
        <v>10</v>
      </c>
      <c r="R59" s="53" t="s">
        <v>242</v>
      </c>
    </row>
    <row r="60" spans="1:18" s="14" customFormat="1" ht="47.25" thickBot="1" x14ac:dyDescent="0.5">
      <c r="A60" s="55" t="s">
        <v>319</v>
      </c>
      <c r="B60" s="44" t="s">
        <v>146</v>
      </c>
      <c r="C60" s="11" t="s">
        <v>267</v>
      </c>
      <c r="D60" s="106">
        <v>30000</v>
      </c>
      <c r="E60" s="106"/>
      <c r="F60" s="106"/>
      <c r="G60" s="106"/>
      <c r="H60" s="106">
        <f t="shared" si="91"/>
        <v>24000</v>
      </c>
      <c r="I60" s="106"/>
      <c r="J60" s="106"/>
      <c r="K60" s="106"/>
      <c r="L60" s="106">
        <f t="shared" si="92"/>
        <v>18000</v>
      </c>
      <c r="M60" s="106"/>
      <c r="N60" s="106"/>
      <c r="O60" s="106"/>
      <c r="P60" s="46" t="s">
        <v>131</v>
      </c>
      <c r="Q60" s="45" t="s">
        <v>10</v>
      </c>
      <c r="R60" s="53" t="s">
        <v>243</v>
      </c>
    </row>
    <row r="61" spans="1:18" s="14" customFormat="1" ht="47.25" thickBot="1" x14ac:dyDescent="0.5">
      <c r="A61" s="55" t="s">
        <v>320</v>
      </c>
      <c r="B61" s="44" t="s">
        <v>68</v>
      </c>
      <c r="C61" s="11" t="s">
        <v>267</v>
      </c>
      <c r="D61" s="106">
        <v>30000</v>
      </c>
      <c r="E61" s="106"/>
      <c r="F61" s="106"/>
      <c r="G61" s="106"/>
      <c r="H61" s="106">
        <f t="shared" si="91"/>
        <v>24000</v>
      </c>
      <c r="I61" s="106"/>
      <c r="J61" s="106"/>
      <c r="K61" s="106"/>
      <c r="L61" s="106">
        <f t="shared" si="92"/>
        <v>18000</v>
      </c>
      <c r="M61" s="106"/>
      <c r="N61" s="106"/>
      <c r="O61" s="106"/>
      <c r="P61" s="46" t="s">
        <v>131</v>
      </c>
      <c r="Q61" s="45" t="s">
        <v>10</v>
      </c>
      <c r="R61" s="53" t="s">
        <v>262</v>
      </c>
    </row>
    <row r="62" spans="1:18" s="14" customFormat="1" ht="44.25" thickBot="1" x14ac:dyDescent="0.5">
      <c r="A62" s="55" t="s">
        <v>321</v>
      </c>
      <c r="B62" s="44" t="s">
        <v>90</v>
      </c>
      <c r="C62" s="11" t="s">
        <v>267</v>
      </c>
      <c r="D62" s="106">
        <v>20000</v>
      </c>
      <c r="E62" s="106"/>
      <c r="F62" s="106"/>
      <c r="G62" s="106"/>
      <c r="H62" s="106">
        <f t="shared" si="91"/>
        <v>16000</v>
      </c>
      <c r="I62" s="106"/>
      <c r="J62" s="106"/>
      <c r="K62" s="106"/>
      <c r="L62" s="106">
        <f t="shared" si="92"/>
        <v>12000</v>
      </c>
      <c r="M62" s="106"/>
      <c r="N62" s="106"/>
      <c r="O62" s="106"/>
      <c r="P62" s="46" t="s">
        <v>85</v>
      </c>
      <c r="Q62" s="45" t="s">
        <v>10</v>
      </c>
      <c r="R62" s="53" t="s">
        <v>263</v>
      </c>
    </row>
    <row r="63" spans="1:18" s="14" customFormat="1" ht="44.25" thickBot="1" x14ac:dyDescent="0.5">
      <c r="A63" s="55" t="s">
        <v>322</v>
      </c>
      <c r="B63" s="44" t="s">
        <v>69</v>
      </c>
      <c r="C63" s="11" t="s">
        <v>267</v>
      </c>
      <c r="D63" s="106">
        <v>15000</v>
      </c>
      <c r="E63" s="106"/>
      <c r="F63" s="106"/>
      <c r="G63" s="106"/>
      <c r="H63" s="106">
        <f t="shared" si="91"/>
        <v>12000</v>
      </c>
      <c r="I63" s="106"/>
      <c r="J63" s="106"/>
      <c r="K63" s="106"/>
      <c r="L63" s="106">
        <f t="shared" si="92"/>
        <v>9000</v>
      </c>
      <c r="M63" s="106"/>
      <c r="N63" s="106"/>
      <c r="O63" s="106"/>
      <c r="P63" s="46" t="s">
        <v>131</v>
      </c>
      <c r="Q63" s="45" t="s">
        <v>10</v>
      </c>
      <c r="R63" s="53" t="s">
        <v>264</v>
      </c>
    </row>
    <row r="64" spans="1:18" ht="47.25" thickBot="1" x14ac:dyDescent="0.25">
      <c r="A64" s="49" t="s">
        <v>323</v>
      </c>
      <c r="B64" s="76" t="s">
        <v>91</v>
      </c>
      <c r="C64" s="82" t="s">
        <v>267</v>
      </c>
      <c r="D64" s="143">
        <v>5000</v>
      </c>
      <c r="E64" s="144"/>
      <c r="F64" s="144"/>
      <c r="G64" s="145"/>
      <c r="H64" s="143">
        <f t="shared" si="91"/>
        <v>4000</v>
      </c>
      <c r="I64" s="144"/>
      <c r="J64" s="144"/>
      <c r="K64" s="145"/>
      <c r="L64" s="143">
        <f t="shared" si="92"/>
        <v>3000</v>
      </c>
      <c r="M64" s="144"/>
      <c r="N64" s="144"/>
      <c r="O64" s="145"/>
      <c r="P64" s="50" t="s">
        <v>85</v>
      </c>
      <c r="Q64" s="50" t="s">
        <v>10</v>
      </c>
      <c r="R64" s="53" t="s">
        <v>217</v>
      </c>
    </row>
    <row r="65" spans="1:18" ht="70.5" thickBot="1" x14ac:dyDescent="0.25">
      <c r="A65" s="49" t="s">
        <v>324</v>
      </c>
      <c r="B65" s="76" t="s">
        <v>92</v>
      </c>
      <c r="C65" s="82" t="s">
        <v>267</v>
      </c>
      <c r="D65" s="106">
        <v>1000</v>
      </c>
      <c r="E65" s="106"/>
      <c r="F65" s="106"/>
      <c r="G65" s="106"/>
      <c r="H65" s="106">
        <f t="shared" si="91"/>
        <v>800</v>
      </c>
      <c r="I65" s="106"/>
      <c r="J65" s="106"/>
      <c r="K65" s="106"/>
      <c r="L65" s="106">
        <f t="shared" si="92"/>
        <v>600</v>
      </c>
      <c r="M65" s="106"/>
      <c r="N65" s="106"/>
      <c r="O65" s="106"/>
      <c r="P65" s="50" t="s">
        <v>147</v>
      </c>
      <c r="Q65" s="50" t="s">
        <v>10</v>
      </c>
      <c r="R65" s="53" t="s">
        <v>188</v>
      </c>
    </row>
    <row r="66" spans="1:18" ht="70.5" thickBot="1" x14ac:dyDescent="0.25">
      <c r="A66" s="49" t="s">
        <v>325</v>
      </c>
      <c r="B66" s="76" t="s">
        <v>93</v>
      </c>
      <c r="C66" s="82" t="s">
        <v>267</v>
      </c>
      <c r="D66" s="106">
        <v>1000</v>
      </c>
      <c r="E66" s="106"/>
      <c r="F66" s="106"/>
      <c r="G66" s="106"/>
      <c r="H66" s="106">
        <f t="shared" si="91"/>
        <v>800</v>
      </c>
      <c r="I66" s="106"/>
      <c r="J66" s="106"/>
      <c r="K66" s="106"/>
      <c r="L66" s="106">
        <f t="shared" si="92"/>
        <v>600</v>
      </c>
      <c r="M66" s="106"/>
      <c r="N66" s="106"/>
      <c r="O66" s="106"/>
      <c r="P66" s="50" t="s">
        <v>147</v>
      </c>
      <c r="Q66" s="50" t="s">
        <v>10</v>
      </c>
      <c r="R66" s="53" t="s">
        <v>76</v>
      </c>
    </row>
    <row r="67" spans="1:18" ht="32.25" customHeight="1" thickBot="1" x14ac:dyDescent="0.25">
      <c r="A67" s="153" t="s">
        <v>326</v>
      </c>
      <c r="B67" s="154" t="s">
        <v>148</v>
      </c>
      <c r="C67" s="50" t="s">
        <v>283</v>
      </c>
      <c r="D67" s="1">
        <v>1000</v>
      </c>
      <c r="E67" s="1">
        <f t="shared" ref="E67" si="93">D67-(D67*10/100)</f>
        <v>900</v>
      </c>
      <c r="F67" s="1">
        <f t="shared" ref="F67" si="94">D67-(D67*20/100)</f>
        <v>800</v>
      </c>
      <c r="G67" s="1">
        <f t="shared" ref="G67" si="95">D67-(D67*30/100)</f>
        <v>700</v>
      </c>
      <c r="H67" s="1">
        <f>D67-(D67*10/100)</f>
        <v>900</v>
      </c>
      <c r="I67" s="1">
        <f t="shared" ref="I67" si="96">H67-(H67*10/100)</f>
        <v>810</v>
      </c>
      <c r="J67" s="1">
        <f t="shared" ref="J67" si="97">H67-(H67*20/100)</f>
        <v>720</v>
      </c>
      <c r="K67" s="1">
        <f t="shared" ref="K67" si="98">H67-(H67*30/100)</f>
        <v>630</v>
      </c>
      <c r="L67" s="1">
        <f>D67-(D67*20/100)</f>
        <v>800</v>
      </c>
      <c r="M67" s="1">
        <f t="shared" ref="M67" si="99">L67-(L67*10/100)</f>
        <v>720</v>
      </c>
      <c r="N67" s="1">
        <f t="shared" ref="N67" si="100">L67-(L67*20/100)</f>
        <v>640</v>
      </c>
      <c r="O67" s="1">
        <f t="shared" ref="O67" si="101">L67-(L67*30/100)</f>
        <v>560</v>
      </c>
      <c r="P67" s="157" t="s">
        <v>85</v>
      </c>
      <c r="Q67" s="155" t="s">
        <v>26</v>
      </c>
      <c r="R67" s="171" t="s">
        <v>188</v>
      </c>
    </row>
    <row r="68" spans="1:18" ht="34.5" customHeight="1" thickBot="1" x14ac:dyDescent="0.25">
      <c r="A68" s="153"/>
      <c r="B68" s="154"/>
      <c r="C68" s="50" t="s">
        <v>284</v>
      </c>
      <c r="D68" s="1">
        <f t="shared" ref="D68:O68" si="102">D67*50/100</f>
        <v>500</v>
      </c>
      <c r="E68" s="1">
        <f t="shared" si="102"/>
        <v>450</v>
      </c>
      <c r="F68" s="1">
        <f t="shared" si="102"/>
        <v>400</v>
      </c>
      <c r="G68" s="1">
        <f t="shared" si="102"/>
        <v>350</v>
      </c>
      <c r="H68" s="1">
        <f t="shared" si="102"/>
        <v>450</v>
      </c>
      <c r="I68" s="1">
        <f t="shared" si="102"/>
        <v>405</v>
      </c>
      <c r="J68" s="1">
        <f t="shared" si="102"/>
        <v>360</v>
      </c>
      <c r="K68" s="1">
        <f t="shared" si="102"/>
        <v>315</v>
      </c>
      <c r="L68" s="1">
        <f t="shared" si="102"/>
        <v>400</v>
      </c>
      <c r="M68" s="1">
        <f t="shared" si="102"/>
        <v>360</v>
      </c>
      <c r="N68" s="1">
        <f t="shared" si="102"/>
        <v>320</v>
      </c>
      <c r="O68" s="1">
        <f t="shared" si="102"/>
        <v>280</v>
      </c>
      <c r="P68" s="157"/>
      <c r="Q68" s="155"/>
      <c r="R68" s="172"/>
    </row>
    <row r="69" spans="1:18" ht="80.25" customHeight="1" thickBot="1" x14ac:dyDescent="0.25">
      <c r="A69" s="43" t="s">
        <v>327</v>
      </c>
      <c r="B69" s="44" t="s">
        <v>44</v>
      </c>
      <c r="C69" s="81" t="s">
        <v>267</v>
      </c>
      <c r="D69" s="106">
        <v>40000</v>
      </c>
      <c r="E69" s="106"/>
      <c r="F69" s="106"/>
      <c r="G69" s="106"/>
      <c r="H69" s="106">
        <f>D69-(D69*20/100)</f>
        <v>32000</v>
      </c>
      <c r="I69" s="106"/>
      <c r="J69" s="106"/>
      <c r="K69" s="106"/>
      <c r="L69" s="106">
        <f>D69-(D69*40/100)</f>
        <v>24000</v>
      </c>
      <c r="M69" s="106"/>
      <c r="N69" s="106"/>
      <c r="O69" s="106"/>
      <c r="P69" s="46" t="s">
        <v>85</v>
      </c>
      <c r="Q69" s="45" t="s">
        <v>10</v>
      </c>
      <c r="R69" s="53" t="s">
        <v>192</v>
      </c>
    </row>
    <row r="70" spans="1:18" ht="65.25" customHeight="1" thickBot="1" x14ac:dyDescent="0.25">
      <c r="A70" s="43" t="s">
        <v>328</v>
      </c>
      <c r="B70" s="78" t="s">
        <v>74</v>
      </c>
      <c r="C70" s="81" t="s">
        <v>267</v>
      </c>
      <c r="D70" s="106">
        <v>20000</v>
      </c>
      <c r="E70" s="106"/>
      <c r="F70" s="106"/>
      <c r="G70" s="106"/>
      <c r="H70" s="106">
        <f>D70-(D70*20/100)</f>
        <v>16000</v>
      </c>
      <c r="I70" s="106"/>
      <c r="J70" s="106"/>
      <c r="K70" s="106"/>
      <c r="L70" s="106">
        <f>D70-(D70*40/100)</f>
        <v>12000</v>
      </c>
      <c r="M70" s="106"/>
      <c r="N70" s="106"/>
      <c r="O70" s="106"/>
      <c r="P70" s="46" t="s">
        <v>85</v>
      </c>
      <c r="Q70" s="45" t="s">
        <v>10</v>
      </c>
      <c r="R70" s="53" t="s">
        <v>192</v>
      </c>
    </row>
    <row r="71" spans="1:18" ht="65.25" customHeight="1" thickBot="1" x14ac:dyDescent="0.25">
      <c r="A71" s="77" t="s">
        <v>329</v>
      </c>
      <c r="B71" s="59" t="s">
        <v>94</v>
      </c>
      <c r="C71" s="80" t="s">
        <v>267</v>
      </c>
      <c r="D71" s="122">
        <v>10000</v>
      </c>
      <c r="E71" s="122"/>
      <c r="F71" s="122"/>
      <c r="G71" s="122"/>
      <c r="H71" s="122">
        <f>D71-(D71*20/100)</f>
        <v>8000</v>
      </c>
      <c r="I71" s="122"/>
      <c r="J71" s="122"/>
      <c r="K71" s="122"/>
      <c r="L71" s="122">
        <f>D71-(D71*40/100)</f>
        <v>6000</v>
      </c>
      <c r="M71" s="122"/>
      <c r="N71" s="122"/>
      <c r="O71" s="122"/>
      <c r="P71" s="46" t="s">
        <v>85</v>
      </c>
      <c r="Q71" s="62" t="s">
        <v>10</v>
      </c>
      <c r="R71" s="54" t="s">
        <v>265</v>
      </c>
    </row>
    <row r="72" spans="1:18" ht="65.25" customHeight="1" x14ac:dyDescent="0.2">
      <c r="A72" s="136" t="s">
        <v>330</v>
      </c>
      <c r="B72" s="138" t="s">
        <v>95</v>
      </c>
      <c r="C72" s="65" t="s">
        <v>283</v>
      </c>
      <c r="D72" s="66">
        <v>1000</v>
      </c>
      <c r="E72" s="66">
        <f t="shared" ref="E72" si="103">D72-(D72*10/100)</f>
        <v>900</v>
      </c>
      <c r="F72" s="66">
        <f t="shared" ref="F72" si="104">D72-(D72*20/100)</f>
        <v>800</v>
      </c>
      <c r="G72" s="66">
        <f t="shared" ref="G72" si="105">D72-(D72*30/100)</f>
        <v>700</v>
      </c>
      <c r="H72" s="66">
        <f>D72-(D72*10/100)</f>
        <v>900</v>
      </c>
      <c r="I72" s="66">
        <f t="shared" ref="I72" si="106">H72-(H72*10/100)</f>
        <v>810</v>
      </c>
      <c r="J72" s="66">
        <f t="shared" ref="J72" si="107">H72-(H72*20/100)</f>
        <v>720</v>
      </c>
      <c r="K72" s="66">
        <f t="shared" ref="K72" si="108">H72-(H72*30/100)</f>
        <v>630</v>
      </c>
      <c r="L72" s="66">
        <f>D72-(D72*20/100)</f>
        <v>800</v>
      </c>
      <c r="M72" s="66">
        <f t="shared" ref="M72" si="109">L72-(L72*10/100)</f>
        <v>720</v>
      </c>
      <c r="N72" s="66">
        <f t="shared" ref="N72" si="110">L72-(L72*20/100)</f>
        <v>640</v>
      </c>
      <c r="O72" s="66">
        <f t="shared" ref="O72" si="111">L72-(L72*30/100)</f>
        <v>560</v>
      </c>
      <c r="P72" s="134" t="s">
        <v>131</v>
      </c>
      <c r="Q72" s="140" t="s">
        <v>25</v>
      </c>
      <c r="R72" s="123" t="s">
        <v>192</v>
      </c>
    </row>
    <row r="73" spans="1:18" ht="65.25" customHeight="1" thickBot="1" x14ac:dyDescent="0.25">
      <c r="A73" s="137"/>
      <c r="B73" s="139"/>
      <c r="C73" s="63" t="s">
        <v>284</v>
      </c>
      <c r="D73" s="64">
        <f t="shared" ref="D73:O73" si="112">D72*50/100</f>
        <v>500</v>
      </c>
      <c r="E73" s="64">
        <f t="shared" si="112"/>
        <v>450</v>
      </c>
      <c r="F73" s="64">
        <f t="shared" si="112"/>
        <v>400</v>
      </c>
      <c r="G73" s="64">
        <f t="shared" si="112"/>
        <v>350</v>
      </c>
      <c r="H73" s="64">
        <f t="shared" si="112"/>
        <v>450</v>
      </c>
      <c r="I73" s="64">
        <f t="shared" si="112"/>
        <v>405</v>
      </c>
      <c r="J73" s="64">
        <f t="shared" si="112"/>
        <v>360</v>
      </c>
      <c r="K73" s="64">
        <f t="shared" si="112"/>
        <v>315</v>
      </c>
      <c r="L73" s="64">
        <f t="shared" si="112"/>
        <v>400</v>
      </c>
      <c r="M73" s="64">
        <f t="shared" si="112"/>
        <v>360</v>
      </c>
      <c r="N73" s="64">
        <f t="shared" si="112"/>
        <v>320</v>
      </c>
      <c r="O73" s="64">
        <f t="shared" si="112"/>
        <v>280</v>
      </c>
      <c r="P73" s="135"/>
      <c r="Q73" s="131"/>
      <c r="R73" s="124"/>
    </row>
    <row r="74" spans="1:18" ht="86.25" customHeight="1" x14ac:dyDescent="0.2">
      <c r="A74" s="127" t="s">
        <v>331</v>
      </c>
      <c r="B74" s="129" t="s">
        <v>332</v>
      </c>
      <c r="C74" s="129" t="s">
        <v>267</v>
      </c>
      <c r="D74" s="141">
        <v>15000</v>
      </c>
      <c r="E74" s="141"/>
      <c r="F74" s="141"/>
      <c r="G74" s="141"/>
      <c r="H74" s="141">
        <f t="shared" ref="H74" si="113">D74-(D74*20/100)</f>
        <v>12000</v>
      </c>
      <c r="I74" s="141"/>
      <c r="J74" s="141"/>
      <c r="K74" s="141"/>
      <c r="L74" s="141">
        <f t="shared" ref="L74" si="114">D74-(D74*40/100)</f>
        <v>9000</v>
      </c>
      <c r="M74" s="141"/>
      <c r="N74" s="141"/>
      <c r="O74" s="141"/>
      <c r="P74" s="134" t="s">
        <v>131</v>
      </c>
      <c r="Q74" s="131" t="s">
        <v>10</v>
      </c>
      <c r="R74" s="124" t="s">
        <v>187</v>
      </c>
    </row>
    <row r="75" spans="1:18" ht="34.5" customHeight="1" thickBot="1" x14ac:dyDescent="0.25">
      <c r="A75" s="128"/>
      <c r="B75" s="130"/>
      <c r="C75" s="130"/>
      <c r="D75" s="142"/>
      <c r="E75" s="142"/>
      <c r="F75" s="142"/>
      <c r="G75" s="142"/>
      <c r="H75" s="142"/>
      <c r="I75" s="142"/>
      <c r="J75" s="142"/>
      <c r="K75" s="142"/>
      <c r="L75" s="142"/>
      <c r="M75" s="142"/>
      <c r="N75" s="142"/>
      <c r="O75" s="142"/>
      <c r="P75" s="135"/>
      <c r="Q75" s="132"/>
      <c r="R75" s="133"/>
    </row>
    <row r="76" spans="1:18" ht="33" customHeight="1" thickBot="1" x14ac:dyDescent="0.25">
      <c r="A76" s="125" t="s">
        <v>49</v>
      </c>
      <c r="B76" s="126"/>
      <c r="C76" s="126"/>
      <c r="D76" s="126"/>
      <c r="E76" s="126"/>
      <c r="F76" s="126"/>
      <c r="G76" s="126"/>
      <c r="H76" s="126"/>
      <c r="I76" s="126"/>
      <c r="J76" s="126"/>
      <c r="K76" s="126"/>
      <c r="L76" s="126"/>
      <c r="M76" s="126"/>
      <c r="N76" s="126"/>
      <c r="O76" s="126"/>
      <c r="P76" s="126"/>
      <c r="Q76" s="126"/>
      <c r="R76" s="126"/>
    </row>
    <row r="77" spans="1:18" ht="66" thickBot="1" x14ac:dyDescent="0.25">
      <c r="A77" s="49" t="s">
        <v>335</v>
      </c>
      <c r="B77" s="76" t="s">
        <v>333</v>
      </c>
      <c r="C77" s="82" t="s">
        <v>267</v>
      </c>
      <c r="D77" s="106">
        <v>1000</v>
      </c>
      <c r="E77" s="106"/>
      <c r="F77" s="106"/>
      <c r="G77" s="106"/>
      <c r="H77" s="106">
        <f t="shared" ref="H77:H89" si="115">D77-(D77*20/100)</f>
        <v>800</v>
      </c>
      <c r="I77" s="106"/>
      <c r="J77" s="106"/>
      <c r="K77" s="106"/>
      <c r="L77" s="106">
        <f t="shared" ref="L77:L89" si="116">D77-(D77*40/100)</f>
        <v>600</v>
      </c>
      <c r="M77" s="106"/>
      <c r="N77" s="106"/>
      <c r="O77" s="106"/>
      <c r="P77" s="52" t="s">
        <v>147</v>
      </c>
      <c r="Q77" s="50" t="s">
        <v>10</v>
      </c>
      <c r="R77" s="53" t="s">
        <v>192</v>
      </c>
    </row>
    <row r="78" spans="1:18" ht="47.25" thickBot="1" x14ac:dyDescent="0.25">
      <c r="A78" s="31" t="s">
        <v>336</v>
      </c>
      <c r="B78" s="3" t="s">
        <v>174</v>
      </c>
      <c r="C78" s="82" t="s">
        <v>267</v>
      </c>
      <c r="D78" s="106">
        <v>5000</v>
      </c>
      <c r="E78" s="106"/>
      <c r="F78" s="106"/>
      <c r="G78" s="106"/>
      <c r="H78" s="106">
        <f t="shared" si="115"/>
        <v>4000</v>
      </c>
      <c r="I78" s="106"/>
      <c r="J78" s="106"/>
      <c r="K78" s="106"/>
      <c r="L78" s="106">
        <f t="shared" si="116"/>
        <v>3000</v>
      </c>
      <c r="M78" s="106"/>
      <c r="N78" s="106"/>
      <c r="O78" s="106"/>
      <c r="P78" s="6" t="s">
        <v>135</v>
      </c>
      <c r="Q78" s="2" t="s">
        <v>10</v>
      </c>
      <c r="R78" s="53" t="s">
        <v>192</v>
      </c>
    </row>
    <row r="79" spans="1:18" ht="59.25" customHeight="1" thickBot="1" x14ac:dyDescent="0.25">
      <c r="A79" s="43" t="s">
        <v>337</v>
      </c>
      <c r="B79" s="44" t="s">
        <v>334</v>
      </c>
      <c r="C79" s="82" t="s">
        <v>267</v>
      </c>
      <c r="D79" s="106">
        <v>200000</v>
      </c>
      <c r="E79" s="106"/>
      <c r="F79" s="106"/>
      <c r="G79" s="106"/>
      <c r="H79" s="106">
        <f t="shared" si="115"/>
        <v>160000</v>
      </c>
      <c r="I79" s="106"/>
      <c r="J79" s="106"/>
      <c r="K79" s="106"/>
      <c r="L79" s="106">
        <f t="shared" si="116"/>
        <v>120000</v>
      </c>
      <c r="M79" s="106"/>
      <c r="N79" s="106"/>
      <c r="O79" s="106"/>
      <c r="P79" s="46" t="s">
        <v>135</v>
      </c>
      <c r="Q79" s="45" t="s">
        <v>10</v>
      </c>
      <c r="R79" s="53" t="s">
        <v>192</v>
      </c>
    </row>
    <row r="80" spans="1:18" ht="59.25" customHeight="1" thickBot="1" x14ac:dyDescent="0.25">
      <c r="A80" s="43" t="s">
        <v>338</v>
      </c>
      <c r="B80" s="44" t="s">
        <v>97</v>
      </c>
      <c r="C80" s="82" t="s">
        <v>267</v>
      </c>
      <c r="D80" s="106">
        <v>50000</v>
      </c>
      <c r="E80" s="106"/>
      <c r="F80" s="106"/>
      <c r="G80" s="106"/>
      <c r="H80" s="106">
        <f t="shared" ref="H80" si="117">D80-(D80*20/100)</f>
        <v>40000</v>
      </c>
      <c r="I80" s="106"/>
      <c r="J80" s="106"/>
      <c r="K80" s="106"/>
      <c r="L80" s="106">
        <f t="shared" ref="L80" si="118">D80-(D80*40/100)</f>
        <v>30000</v>
      </c>
      <c r="M80" s="106"/>
      <c r="N80" s="106"/>
      <c r="O80" s="106"/>
      <c r="P80" s="46" t="s">
        <v>135</v>
      </c>
      <c r="Q80" s="45" t="s">
        <v>10</v>
      </c>
      <c r="R80" s="53" t="s">
        <v>192</v>
      </c>
    </row>
    <row r="81" spans="1:18" s="32" customFormat="1" ht="60" customHeight="1" thickBot="1" x14ac:dyDescent="0.25">
      <c r="A81" s="43" t="s">
        <v>339</v>
      </c>
      <c r="B81" s="20" t="s">
        <v>58</v>
      </c>
      <c r="C81" s="82" t="s">
        <v>267</v>
      </c>
      <c r="D81" s="113">
        <v>5000</v>
      </c>
      <c r="E81" s="114"/>
      <c r="F81" s="114"/>
      <c r="G81" s="115"/>
      <c r="H81" s="113">
        <f t="shared" si="115"/>
        <v>4000</v>
      </c>
      <c r="I81" s="114"/>
      <c r="J81" s="114"/>
      <c r="K81" s="115"/>
      <c r="L81" s="113">
        <f t="shared" si="116"/>
        <v>3000</v>
      </c>
      <c r="M81" s="114"/>
      <c r="N81" s="114"/>
      <c r="O81" s="115"/>
      <c r="P81" s="56" t="s">
        <v>131</v>
      </c>
      <c r="Q81" s="56" t="s">
        <v>10</v>
      </c>
      <c r="R81" s="53" t="s">
        <v>192</v>
      </c>
    </row>
    <row r="82" spans="1:18" s="32" customFormat="1" ht="60" customHeight="1" thickBot="1" x14ac:dyDescent="0.25">
      <c r="A82" s="43" t="s">
        <v>340</v>
      </c>
      <c r="B82" s="20" t="s">
        <v>55</v>
      </c>
      <c r="C82" s="82" t="s">
        <v>267</v>
      </c>
      <c r="D82" s="116">
        <v>50000</v>
      </c>
      <c r="E82" s="117"/>
      <c r="F82" s="117"/>
      <c r="G82" s="118"/>
      <c r="H82" s="114">
        <f t="shared" ref="H82" si="119">D82-(D82*20/100)</f>
        <v>40000</v>
      </c>
      <c r="I82" s="114"/>
      <c r="J82" s="114"/>
      <c r="K82" s="115"/>
      <c r="L82" s="113">
        <f t="shared" ref="L82" si="120">D82-(D82*40/100)</f>
        <v>30000</v>
      </c>
      <c r="M82" s="114"/>
      <c r="N82" s="114"/>
      <c r="O82" s="115"/>
      <c r="P82" s="56" t="s">
        <v>149</v>
      </c>
      <c r="Q82" s="56" t="s">
        <v>10</v>
      </c>
      <c r="R82" s="53" t="s">
        <v>192</v>
      </c>
    </row>
    <row r="83" spans="1:18" s="32" customFormat="1" ht="60" customHeight="1" thickBot="1" x14ac:dyDescent="0.25">
      <c r="A83" s="43" t="s">
        <v>341</v>
      </c>
      <c r="B83" s="20" t="s">
        <v>56</v>
      </c>
      <c r="C83" s="82" t="s">
        <v>267</v>
      </c>
      <c r="D83" s="119">
        <v>15000</v>
      </c>
      <c r="E83" s="120"/>
      <c r="F83" s="120"/>
      <c r="G83" s="121"/>
      <c r="H83" s="114">
        <f t="shared" ref="H83" si="121">D83-(D83*20/100)</f>
        <v>12000</v>
      </c>
      <c r="I83" s="114"/>
      <c r="J83" s="114"/>
      <c r="K83" s="115"/>
      <c r="L83" s="113">
        <f t="shared" ref="L83" si="122">D83-(D83*40/100)</f>
        <v>9000</v>
      </c>
      <c r="M83" s="114"/>
      <c r="N83" s="114"/>
      <c r="O83" s="115"/>
      <c r="P83" s="56" t="s">
        <v>85</v>
      </c>
      <c r="Q83" s="56" t="s">
        <v>10</v>
      </c>
      <c r="R83" s="53" t="s">
        <v>192</v>
      </c>
    </row>
    <row r="84" spans="1:18" s="32" customFormat="1" ht="60" customHeight="1" thickBot="1" x14ac:dyDescent="0.25">
      <c r="A84" s="43" t="s">
        <v>342</v>
      </c>
      <c r="B84" s="20" t="s">
        <v>57</v>
      </c>
      <c r="C84" s="82" t="s">
        <v>267</v>
      </c>
      <c r="D84" s="113">
        <v>5000</v>
      </c>
      <c r="E84" s="114"/>
      <c r="F84" s="114"/>
      <c r="G84" s="115"/>
      <c r="H84" s="114">
        <f t="shared" ref="H84" si="123">D84-(D84*20/100)</f>
        <v>4000</v>
      </c>
      <c r="I84" s="114"/>
      <c r="J84" s="114"/>
      <c r="K84" s="115"/>
      <c r="L84" s="113">
        <f t="shared" ref="L84" si="124">D84-(D84*40/100)</f>
        <v>3000</v>
      </c>
      <c r="M84" s="114"/>
      <c r="N84" s="114"/>
      <c r="O84" s="115"/>
      <c r="P84" s="56" t="s">
        <v>131</v>
      </c>
      <c r="Q84" s="56" t="s">
        <v>10</v>
      </c>
      <c r="R84" s="53" t="s">
        <v>192</v>
      </c>
    </row>
    <row r="85" spans="1:18" s="32" customFormat="1" ht="60" customHeight="1" thickBot="1" x14ac:dyDescent="0.25">
      <c r="A85" s="43" t="s">
        <v>343</v>
      </c>
      <c r="B85" s="20" t="s">
        <v>98</v>
      </c>
      <c r="C85" s="82" t="s">
        <v>267</v>
      </c>
      <c r="D85" s="113">
        <v>10000</v>
      </c>
      <c r="E85" s="114"/>
      <c r="F85" s="114"/>
      <c r="G85" s="115"/>
      <c r="H85" s="114">
        <f t="shared" ref="H85" si="125">D85-(D85*20/100)</f>
        <v>8000</v>
      </c>
      <c r="I85" s="114"/>
      <c r="J85" s="114"/>
      <c r="K85" s="115"/>
      <c r="L85" s="113">
        <f t="shared" ref="L85" si="126">D85-(D85*40/100)</f>
        <v>6000</v>
      </c>
      <c r="M85" s="114"/>
      <c r="N85" s="114"/>
      <c r="O85" s="115"/>
      <c r="P85" s="56" t="s">
        <v>131</v>
      </c>
      <c r="Q85" s="56" t="s">
        <v>10</v>
      </c>
      <c r="R85" s="53" t="s">
        <v>192</v>
      </c>
    </row>
    <row r="86" spans="1:18" s="32" customFormat="1" ht="60" customHeight="1" thickBot="1" x14ac:dyDescent="0.25">
      <c r="A86" s="43" t="s">
        <v>344</v>
      </c>
      <c r="B86" s="20" t="s">
        <v>99</v>
      </c>
      <c r="C86" s="82" t="s">
        <v>267</v>
      </c>
      <c r="D86" s="113">
        <v>5000</v>
      </c>
      <c r="E86" s="114"/>
      <c r="F86" s="114"/>
      <c r="G86" s="115"/>
      <c r="H86" s="114">
        <f t="shared" ref="H86" si="127">D86-(D86*20/100)</f>
        <v>4000</v>
      </c>
      <c r="I86" s="114"/>
      <c r="J86" s="114"/>
      <c r="K86" s="115"/>
      <c r="L86" s="113">
        <f t="shared" ref="L86" si="128">D86-(D86*40/100)</f>
        <v>3000</v>
      </c>
      <c r="M86" s="114"/>
      <c r="N86" s="114"/>
      <c r="O86" s="115"/>
      <c r="P86" s="56" t="s">
        <v>131</v>
      </c>
      <c r="Q86" s="56" t="s">
        <v>10</v>
      </c>
      <c r="R86" s="53" t="s">
        <v>193</v>
      </c>
    </row>
    <row r="87" spans="1:18" ht="60" customHeight="1" thickBot="1" x14ac:dyDescent="0.25">
      <c r="A87" s="43" t="s">
        <v>345</v>
      </c>
      <c r="B87" s="44" t="s">
        <v>169</v>
      </c>
      <c r="C87" s="82" t="s">
        <v>267</v>
      </c>
      <c r="D87" s="143">
        <v>5000</v>
      </c>
      <c r="E87" s="144"/>
      <c r="F87" s="144"/>
      <c r="G87" s="145"/>
      <c r="H87" s="143">
        <f t="shared" si="115"/>
        <v>4000</v>
      </c>
      <c r="I87" s="144"/>
      <c r="J87" s="144"/>
      <c r="K87" s="145"/>
      <c r="L87" s="143">
        <f t="shared" si="116"/>
        <v>3000</v>
      </c>
      <c r="M87" s="144"/>
      <c r="N87" s="144"/>
      <c r="O87" s="145"/>
      <c r="P87" s="56" t="s">
        <v>131</v>
      </c>
      <c r="Q87" s="45" t="s">
        <v>10</v>
      </c>
      <c r="R87" s="53" t="s">
        <v>193</v>
      </c>
    </row>
    <row r="88" spans="1:18" ht="47.25" customHeight="1" thickBot="1" x14ac:dyDescent="0.25">
      <c r="A88" s="43" t="s">
        <v>346</v>
      </c>
      <c r="B88" s="44" t="s">
        <v>150</v>
      </c>
      <c r="C88" s="82" t="s">
        <v>267</v>
      </c>
      <c r="D88" s="143">
        <v>20000</v>
      </c>
      <c r="E88" s="144"/>
      <c r="F88" s="144"/>
      <c r="G88" s="145"/>
      <c r="H88" s="143">
        <f t="shared" si="115"/>
        <v>16000</v>
      </c>
      <c r="I88" s="144"/>
      <c r="J88" s="144"/>
      <c r="K88" s="145"/>
      <c r="L88" s="143">
        <f t="shared" si="116"/>
        <v>12000</v>
      </c>
      <c r="M88" s="144"/>
      <c r="N88" s="144"/>
      <c r="O88" s="145"/>
      <c r="P88" s="46" t="s">
        <v>135</v>
      </c>
      <c r="Q88" s="45" t="s">
        <v>10</v>
      </c>
      <c r="R88" s="47" t="s">
        <v>195</v>
      </c>
    </row>
    <row r="89" spans="1:18" ht="51.75" customHeight="1" thickBot="1" x14ac:dyDescent="0.25">
      <c r="A89" s="43" t="s">
        <v>347</v>
      </c>
      <c r="B89" s="44" t="s">
        <v>53</v>
      </c>
      <c r="C89" s="82" t="s">
        <v>267</v>
      </c>
      <c r="D89" s="143">
        <v>30000</v>
      </c>
      <c r="E89" s="144"/>
      <c r="F89" s="144"/>
      <c r="G89" s="145"/>
      <c r="H89" s="143">
        <f t="shared" si="115"/>
        <v>24000</v>
      </c>
      <c r="I89" s="144"/>
      <c r="J89" s="144"/>
      <c r="K89" s="145"/>
      <c r="L89" s="143">
        <f t="shared" si="116"/>
        <v>18000</v>
      </c>
      <c r="M89" s="144"/>
      <c r="N89" s="144"/>
      <c r="O89" s="145"/>
      <c r="P89" s="46" t="s">
        <v>135</v>
      </c>
      <c r="Q89" s="45" t="s">
        <v>10</v>
      </c>
      <c r="R89" s="47" t="s">
        <v>195</v>
      </c>
    </row>
  </sheetData>
  <mergeCells count="262">
    <mergeCell ref="D24:G24"/>
    <mergeCell ref="D9:G9"/>
    <mergeCell ref="H9:K9"/>
    <mergeCell ref="P11:P12"/>
    <mergeCell ref="Q11:Q12"/>
    <mergeCell ref="R11:R12"/>
    <mergeCell ref="B11:B12"/>
    <mergeCell ref="A11:A12"/>
    <mergeCell ref="L10:O10"/>
    <mergeCell ref="D13:G13"/>
    <mergeCell ref="Q20:Q21"/>
    <mergeCell ref="Q14:Q15"/>
    <mergeCell ref="D19:G19"/>
    <mergeCell ref="H19:K19"/>
    <mergeCell ref="L19:O19"/>
    <mergeCell ref="D23:G23"/>
    <mergeCell ref="H23:K23"/>
    <mergeCell ref="H22:K22"/>
    <mergeCell ref="L22:O22"/>
    <mergeCell ref="L23:O23"/>
    <mergeCell ref="R14:R15"/>
    <mergeCell ref="D16:G16"/>
    <mergeCell ref="H16:K16"/>
    <mergeCell ref="L16:O16"/>
    <mergeCell ref="A1:R1"/>
    <mergeCell ref="R67:R68"/>
    <mergeCell ref="R54:R55"/>
    <mergeCell ref="R52:R53"/>
    <mergeCell ref="R4:R5"/>
    <mergeCell ref="R7:R8"/>
    <mergeCell ref="R20:R21"/>
    <mergeCell ref="B54:B55"/>
    <mergeCell ref="P54:P55"/>
    <mergeCell ref="Q54:Q55"/>
    <mergeCell ref="B7:B8"/>
    <mergeCell ref="A26:A27"/>
    <mergeCell ref="Q26:Q27"/>
    <mergeCell ref="D25:G25"/>
    <mergeCell ref="H25:K25"/>
    <mergeCell ref="L25:O25"/>
    <mergeCell ref="B14:B15"/>
    <mergeCell ref="A14:A15"/>
    <mergeCell ref="D10:G10"/>
    <mergeCell ref="L9:O9"/>
    <mergeCell ref="A28:Q28"/>
    <mergeCell ref="H13:K13"/>
    <mergeCell ref="L13:O13"/>
    <mergeCell ref="D29:G29"/>
    <mergeCell ref="L29:O29"/>
    <mergeCell ref="D22:G22"/>
    <mergeCell ref="D30:G30"/>
    <mergeCell ref="H30:K30"/>
    <mergeCell ref="L30:O30"/>
    <mergeCell ref="H29:K29"/>
    <mergeCell ref="Q7:Q8"/>
    <mergeCell ref="A4:A5"/>
    <mergeCell ref="B4:B5"/>
    <mergeCell ref="D4:G4"/>
    <mergeCell ref="H4:K4"/>
    <mergeCell ref="L4:O4"/>
    <mergeCell ref="Q4:Q5"/>
    <mergeCell ref="A7:A8"/>
    <mergeCell ref="D6:G6"/>
    <mergeCell ref="H6:K6"/>
    <mergeCell ref="L6:O6"/>
    <mergeCell ref="P4:P5"/>
    <mergeCell ref="B20:B21"/>
    <mergeCell ref="H24:K24"/>
    <mergeCell ref="L24:O24"/>
    <mergeCell ref="B26:B27"/>
    <mergeCell ref="H10:K10"/>
    <mergeCell ref="A20:A21"/>
    <mergeCell ref="A3:R3"/>
    <mergeCell ref="A2:R2"/>
    <mergeCell ref="A67:A68"/>
    <mergeCell ref="B67:B68"/>
    <mergeCell ref="Q67:Q68"/>
    <mergeCell ref="P7:P8"/>
    <mergeCell ref="P67:P68"/>
    <mergeCell ref="P52:P53"/>
    <mergeCell ref="P20:P21"/>
    <mergeCell ref="A52:A53"/>
    <mergeCell ref="B52:B53"/>
    <mergeCell ref="D58:G58"/>
    <mergeCell ref="H58:K58"/>
    <mergeCell ref="L58:O58"/>
    <mergeCell ref="D17:G17"/>
    <mergeCell ref="H17:K17"/>
    <mergeCell ref="L17:O17"/>
    <mergeCell ref="D18:G18"/>
    <mergeCell ref="H18:K18"/>
    <mergeCell ref="L18:O18"/>
    <mergeCell ref="Q52:Q53"/>
    <mergeCell ref="A54:A55"/>
    <mergeCell ref="H41:K41"/>
    <mergeCell ref="L41:O41"/>
    <mergeCell ref="L40:O40"/>
    <mergeCell ref="D44:G44"/>
    <mergeCell ref="H44:K44"/>
    <mergeCell ref="L44:O44"/>
    <mergeCell ref="L42:O42"/>
    <mergeCell ref="D43:G43"/>
    <mergeCell ref="H43:K43"/>
    <mergeCell ref="L43:O43"/>
    <mergeCell ref="D42:G42"/>
    <mergeCell ref="H42:K42"/>
    <mergeCell ref="D41:G41"/>
    <mergeCell ref="L48:O48"/>
    <mergeCell ref="D45:G45"/>
    <mergeCell ref="H45:K45"/>
    <mergeCell ref="L45:O45"/>
    <mergeCell ref="D51:G51"/>
    <mergeCell ref="H51:K51"/>
    <mergeCell ref="L51:O51"/>
    <mergeCell ref="D47:G47"/>
    <mergeCell ref="H47:K47"/>
    <mergeCell ref="L47:O47"/>
    <mergeCell ref="L59:O59"/>
    <mergeCell ref="D60:G60"/>
    <mergeCell ref="H60:K60"/>
    <mergeCell ref="L60:O60"/>
    <mergeCell ref="D56:G56"/>
    <mergeCell ref="H56:K56"/>
    <mergeCell ref="L56:O56"/>
    <mergeCell ref="D49:G49"/>
    <mergeCell ref="H49:K49"/>
    <mergeCell ref="L49:O49"/>
    <mergeCell ref="D50:G50"/>
    <mergeCell ref="H50:K50"/>
    <mergeCell ref="L50:O50"/>
    <mergeCell ref="L65:O65"/>
    <mergeCell ref="D63:G63"/>
    <mergeCell ref="H63:K63"/>
    <mergeCell ref="L63:O63"/>
    <mergeCell ref="D61:G61"/>
    <mergeCell ref="H61:K61"/>
    <mergeCell ref="L61:O61"/>
    <mergeCell ref="D62:G62"/>
    <mergeCell ref="H62:K62"/>
    <mergeCell ref="L62:O62"/>
    <mergeCell ref="L88:O88"/>
    <mergeCell ref="D89:G89"/>
    <mergeCell ref="H89:K89"/>
    <mergeCell ref="L89:O89"/>
    <mergeCell ref="D87:G87"/>
    <mergeCell ref="H87:K87"/>
    <mergeCell ref="L87:O87"/>
    <mergeCell ref="D66:G66"/>
    <mergeCell ref="H66:K66"/>
    <mergeCell ref="L66:O66"/>
    <mergeCell ref="C38:C39"/>
    <mergeCell ref="D38:D39"/>
    <mergeCell ref="E38:E39"/>
    <mergeCell ref="F38:F39"/>
    <mergeCell ref="G38:G39"/>
    <mergeCell ref="H38:H39"/>
    <mergeCell ref="I38:I39"/>
    <mergeCell ref="D88:G88"/>
    <mergeCell ref="H88:K88"/>
    <mergeCell ref="D65:G65"/>
    <mergeCell ref="H65:K65"/>
    <mergeCell ref="D59:G59"/>
    <mergeCell ref="H59:K59"/>
    <mergeCell ref="D48:G48"/>
    <mergeCell ref="H48:K48"/>
    <mergeCell ref="D40:G40"/>
    <mergeCell ref="H40:K40"/>
    <mergeCell ref="D34:G34"/>
    <mergeCell ref="H34:K34"/>
    <mergeCell ref="L34:O34"/>
    <mergeCell ref="D36:G36"/>
    <mergeCell ref="H36:K36"/>
    <mergeCell ref="L36:O36"/>
    <mergeCell ref="D33:G33"/>
    <mergeCell ref="H33:K33"/>
    <mergeCell ref="L33:O33"/>
    <mergeCell ref="D35:G35"/>
    <mergeCell ref="H35:K35"/>
    <mergeCell ref="L35:O35"/>
    <mergeCell ref="A72:A73"/>
    <mergeCell ref="B72:B73"/>
    <mergeCell ref="Q72:Q73"/>
    <mergeCell ref="O38:O39"/>
    <mergeCell ref="C74:C75"/>
    <mergeCell ref="D74:G75"/>
    <mergeCell ref="H74:K75"/>
    <mergeCell ref="L74:O75"/>
    <mergeCell ref="P74:P75"/>
    <mergeCell ref="D46:G46"/>
    <mergeCell ref="H46:K46"/>
    <mergeCell ref="L46:O46"/>
    <mergeCell ref="D57:G57"/>
    <mergeCell ref="H57:K57"/>
    <mergeCell ref="L57:O57"/>
    <mergeCell ref="L64:O64"/>
    <mergeCell ref="H64:K64"/>
    <mergeCell ref="D64:G64"/>
    <mergeCell ref="D69:G69"/>
    <mergeCell ref="L38:L39"/>
    <mergeCell ref="M38:M39"/>
    <mergeCell ref="N38:N39"/>
    <mergeCell ref="B37:B39"/>
    <mergeCell ref="A37:A39"/>
    <mergeCell ref="L82:O82"/>
    <mergeCell ref="H82:K82"/>
    <mergeCell ref="D82:G82"/>
    <mergeCell ref="D83:G83"/>
    <mergeCell ref="D81:G81"/>
    <mergeCell ref="H81:K81"/>
    <mergeCell ref="L81:O81"/>
    <mergeCell ref="L71:O71"/>
    <mergeCell ref="R72:R73"/>
    <mergeCell ref="A76:R76"/>
    <mergeCell ref="D71:G71"/>
    <mergeCell ref="H71:K71"/>
    <mergeCell ref="D79:G79"/>
    <mergeCell ref="H79:K79"/>
    <mergeCell ref="L79:O79"/>
    <mergeCell ref="D78:G78"/>
    <mergeCell ref="H78:K78"/>
    <mergeCell ref="L78:O78"/>
    <mergeCell ref="D77:G77"/>
    <mergeCell ref="H77:K77"/>
    <mergeCell ref="L77:O77"/>
    <mergeCell ref="A74:A75"/>
    <mergeCell ref="B74:B75"/>
    <mergeCell ref="Q74:Q75"/>
    <mergeCell ref="D85:G85"/>
    <mergeCell ref="H85:K85"/>
    <mergeCell ref="L85:O85"/>
    <mergeCell ref="D86:G86"/>
    <mergeCell ref="H86:K86"/>
    <mergeCell ref="L86:O86"/>
    <mergeCell ref="D84:G84"/>
    <mergeCell ref="H84:K84"/>
    <mergeCell ref="H83:K83"/>
    <mergeCell ref="L84:O84"/>
    <mergeCell ref="L83:O83"/>
    <mergeCell ref="P14:P15"/>
    <mergeCell ref="P26:P27"/>
    <mergeCell ref="R26:R27"/>
    <mergeCell ref="D80:G80"/>
    <mergeCell ref="H80:K80"/>
    <mergeCell ref="L80:O80"/>
    <mergeCell ref="H69:K69"/>
    <mergeCell ref="L69:O69"/>
    <mergeCell ref="D70:G70"/>
    <mergeCell ref="H70:K70"/>
    <mergeCell ref="L70:O70"/>
    <mergeCell ref="J38:J39"/>
    <mergeCell ref="K38:K39"/>
    <mergeCell ref="P37:P39"/>
    <mergeCell ref="Q37:Q39"/>
    <mergeCell ref="R37:R39"/>
    <mergeCell ref="D31:G31"/>
    <mergeCell ref="H31:K31"/>
    <mergeCell ref="L31:O31"/>
    <mergeCell ref="D32:G32"/>
    <mergeCell ref="R74:R75"/>
    <mergeCell ref="P72:P73"/>
    <mergeCell ref="H32:K32"/>
    <mergeCell ref="L32:O32"/>
  </mergeCells>
  <phoneticPr fontId="14" type="noConversion"/>
  <pageMargins left="0.7" right="0.7" top="0.75" bottom="0.75" header="0.3" footer="0.3"/>
  <pageSetup paperSize="9" scale="42"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15"/>
  <sheetViews>
    <sheetView rightToLeft="1" tabSelected="1" topLeftCell="A115" zoomScale="79" zoomScaleNormal="203" workbookViewId="0">
      <selection activeCell="R95" sqref="R95"/>
    </sheetView>
  </sheetViews>
  <sheetFormatPr defaultColWidth="9.125" defaultRowHeight="21.75" x14ac:dyDescent="0.5"/>
  <cols>
    <col min="1" max="1" width="12.875" style="14" customWidth="1"/>
    <col min="2" max="2" width="71.75" style="14" customWidth="1"/>
    <col min="3" max="3" width="15.375" style="14" customWidth="1"/>
    <col min="4" max="15" width="9.125" style="14"/>
    <col min="16" max="16" width="21.75" style="23" customWidth="1"/>
    <col min="17" max="17" width="10.25" style="24" customWidth="1"/>
    <col min="18" max="18" width="30.75" style="86" customWidth="1"/>
    <col min="19" max="16384" width="9.125" style="14"/>
  </cols>
  <sheetData>
    <row r="1" spans="1:18" ht="47.25" customHeight="1" x14ac:dyDescent="0.45">
      <c r="A1" s="169" t="s">
        <v>12</v>
      </c>
      <c r="B1" s="170"/>
      <c r="C1" s="170"/>
      <c r="D1" s="170"/>
      <c r="E1" s="170"/>
      <c r="F1" s="170"/>
      <c r="G1" s="170"/>
      <c r="H1" s="170"/>
      <c r="I1" s="170"/>
      <c r="J1" s="170"/>
      <c r="K1" s="170"/>
      <c r="L1" s="170"/>
      <c r="M1" s="170"/>
      <c r="N1" s="170"/>
      <c r="O1" s="170"/>
      <c r="P1" s="170"/>
      <c r="Q1" s="170"/>
      <c r="R1" s="170"/>
    </row>
    <row r="2" spans="1:18" ht="24" customHeight="1" x14ac:dyDescent="0.45">
      <c r="A2" s="151" t="s">
        <v>54</v>
      </c>
      <c r="B2" s="152"/>
      <c r="C2" s="152"/>
      <c r="D2" s="152"/>
      <c r="E2" s="152"/>
      <c r="F2" s="152"/>
      <c r="G2" s="152"/>
      <c r="H2" s="152"/>
      <c r="I2" s="152"/>
      <c r="J2" s="152"/>
      <c r="K2" s="152"/>
      <c r="L2" s="152"/>
      <c r="M2" s="152"/>
      <c r="N2" s="152"/>
      <c r="O2" s="152"/>
      <c r="P2" s="152"/>
      <c r="Q2" s="152"/>
      <c r="R2" s="152"/>
    </row>
    <row r="3" spans="1:18" ht="24" customHeight="1" thickBot="1" x14ac:dyDescent="0.5">
      <c r="A3" s="125" t="s">
        <v>80</v>
      </c>
      <c r="B3" s="126"/>
      <c r="C3" s="126"/>
      <c r="D3" s="126"/>
      <c r="E3" s="126"/>
      <c r="F3" s="126"/>
      <c r="G3" s="126"/>
      <c r="H3" s="126"/>
      <c r="I3" s="126"/>
      <c r="J3" s="126"/>
      <c r="K3" s="126"/>
      <c r="L3" s="126"/>
      <c r="M3" s="126"/>
      <c r="N3" s="126"/>
      <c r="O3" s="126"/>
      <c r="P3" s="126"/>
      <c r="Q3" s="126"/>
      <c r="R3" s="126"/>
    </row>
    <row r="4" spans="1:18" ht="24" thickBot="1" x14ac:dyDescent="0.5">
      <c r="A4" s="205" t="s">
        <v>5</v>
      </c>
      <c r="B4" s="206" t="s">
        <v>4</v>
      </c>
      <c r="C4" s="161"/>
      <c r="D4" s="206" t="s">
        <v>3</v>
      </c>
      <c r="E4" s="206"/>
      <c r="F4" s="206"/>
      <c r="G4" s="206"/>
      <c r="H4" s="206" t="s">
        <v>2</v>
      </c>
      <c r="I4" s="206"/>
      <c r="J4" s="206"/>
      <c r="K4" s="206"/>
      <c r="L4" s="206" t="s">
        <v>1</v>
      </c>
      <c r="M4" s="206"/>
      <c r="N4" s="206"/>
      <c r="O4" s="206"/>
      <c r="P4" s="208" t="s">
        <v>47</v>
      </c>
      <c r="Q4" s="206" t="s">
        <v>0</v>
      </c>
      <c r="R4" s="173" t="s">
        <v>75</v>
      </c>
    </row>
    <row r="5" spans="1:18" ht="24" thickBot="1" x14ac:dyDescent="0.5">
      <c r="A5" s="205"/>
      <c r="B5" s="206"/>
      <c r="C5" s="162"/>
      <c r="D5" s="13" t="s">
        <v>9</v>
      </c>
      <c r="E5" s="13" t="s">
        <v>8</v>
      </c>
      <c r="F5" s="13" t="s">
        <v>7</v>
      </c>
      <c r="G5" s="13" t="s">
        <v>6</v>
      </c>
      <c r="H5" s="13" t="s">
        <v>9</v>
      </c>
      <c r="I5" s="13" t="s">
        <v>8</v>
      </c>
      <c r="J5" s="13" t="s">
        <v>7</v>
      </c>
      <c r="K5" s="13" t="s">
        <v>6</v>
      </c>
      <c r="L5" s="13" t="s">
        <v>9</v>
      </c>
      <c r="M5" s="13" t="s">
        <v>8</v>
      </c>
      <c r="N5" s="13" t="s">
        <v>7</v>
      </c>
      <c r="O5" s="13" t="s">
        <v>6</v>
      </c>
      <c r="P5" s="209"/>
      <c r="Q5" s="206"/>
      <c r="R5" s="173"/>
    </row>
    <row r="6" spans="1:18" ht="66.75" customHeight="1" thickBot="1" x14ac:dyDescent="0.5">
      <c r="A6" s="15" t="s">
        <v>348</v>
      </c>
      <c r="B6" s="45" t="s">
        <v>36</v>
      </c>
      <c r="C6" s="45" t="s">
        <v>267</v>
      </c>
      <c r="D6" s="106">
        <v>50000</v>
      </c>
      <c r="E6" s="106"/>
      <c r="F6" s="106"/>
      <c r="G6" s="106"/>
      <c r="H6" s="106">
        <f>D6-(D6*20/100)</f>
        <v>40000</v>
      </c>
      <c r="I6" s="106"/>
      <c r="J6" s="106"/>
      <c r="K6" s="106"/>
      <c r="L6" s="106">
        <f>D6-(D6*40/100)</f>
        <v>30000</v>
      </c>
      <c r="M6" s="106"/>
      <c r="N6" s="106"/>
      <c r="O6" s="106"/>
      <c r="P6" s="46" t="s">
        <v>151</v>
      </c>
      <c r="Q6" s="68" t="s">
        <v>10</v>
      </c>
      <c r="R6" s="53" t="s">
        <v>228</v>
      </c>
    </row>
    <row r="7" spans="1:18" ht="24" customHeight="1" thickBot="1" x14ac:dyDescent="0.5">
      <c r="A7" s="191" t="s">
        <v>349</v>
      </c>
      <c r="B7" s="160" t="s">
        <v>48</v>
      </c>
      <c r="C7" s="45" t="s">
        <v>283</v>
      </c>
      <c r="D7" s="4">
        <v>3000</v>
      </c>
      <c r="E7" s="57">
        <f t="shared" ref="E7" si="0">D7-(D7*10/100)</f>
        <v>2700</v>
      </c>
      <c r="F7" s="57">
        <f t="shared" ref="F7" si="1">D7-(D7*20/100)</f>
        <v>2400</v>
      </c>
      <c r="G7" s="57">
        <f t="shared" ref="G7" si="2">D7-(D7*30/100)</f>
        <v>2100</v>
      </c>
      <c r="H7" s="57">
        <f>D7-(D7*10/100)</f>
        <v>2700</v>
      </c>
      <c r="I7" s="57">
        <f t="shared" ref="I7" si="3">H7-(H7*10/100)</f>
        <v>2430</v>
      </c>
      <c r="J7" s="57">
        <f t="shared" ref="J7" si="4">H7-(H7*20/100)</f>
        <v>2160</v>
      </c>
      <c r="K7" s="57">
        <f t="shared" ref="K7" si="5">H7-(H7*30/100)</f>
        <v>1890</v>
      </c>
      <c r="L7" s="57">
        <f>D7-(D7*20/100)</f>
        <v>2400</v>
      </c>
      <c r="M7" s="57">
        <f t="shared" ref="M7" si="6">L7-(L7*10/100)</f>
        <v>2160</v>
      </c>
      <c r="N7" s="57">
        <f t="shared" ref="N7" si="7">L7-(L7*20/100)</f>
        <v>1920</v>
      </c>
      <c r="O7" s="57">
        <f t="shared" ref="O7" si="8">L7-(L7*30/100)</f>
        <v>1680</v>
      </c>
      <c r="P7" s="102" t="s">
        <v>151</v>
      </c>
      <c r="Q7" s="207" t="s">
        <v>25</v>
      </c>
      <c r="R7" s="174" t="s">
        <v>229</v>
      </c>
    </row>
    <row r="8" spans="1:18" ht="24" thickBot="1" x14ac:dyDescent="0.5">
      <c r="A8" s="191"/>
      <c r="B8" s="160"/>
      <c r="C8" s="45" t="s">
        <v>284</v>
      </c>
      <c r="D8" s="57">
        <f t="shared" ref="D8:O8" si="9">D7*50/100</f>
        <v>1500</v>
      </c>
      <c r="E8" s="57">
        <f t="shared" si="9"/>
        <v>1350</v>
      </c>
      <c r="F8" s="57">
        <f t="shared" si="9"/>
        <v>1200</v>
      </c>
      <c r="G8" s="57">
        <f t="shared" si="9"/>
        <v>1050</v>
      </c>
      <c r="H8" s="57">
        <f t="shared" si="9"/>
        <v>1350</v>
      </c>
      <c r="I8" s="57">
        <f t="shared" si="9"/>
        <v>1215</v>
      </c>
      <c r="J8" s="57">
        <f t="shared" si="9"/>
        <v>1080</v>
      </c>
      <c r="K8" s="57">
        <f t="shared" si="9"/>
        <v>945</v>
      </c>
      <c r="L8" s="57">
        <f t="shared" si="9"/>
        <v>1200</v>
      </c>
      <c r="M8" s="57">
        <f t="shared" si="9"/>
        <v>1080</v>
      </c>
      <c r="N8" s="57">
        <f t="shared" si="9"/>
        <v>960</v>
      </c>
      <c r="O8" s="57">
        <f t="shared" si="9"/>
        <v>840</v>
      </c>
      <c r="P8" s="103"/>
      <c r="Q8" s="207"/>
      <c r="R8" s="174"/>
    </row>
    <row r="9" spans="1:18" ht="36" customHeight="1" thickBot="1" x14ac:dyDescent="0.5">
      <c r="A9" s="191" t="s">
        <v>350</v>
      </c>
      <c r="B9" s="160" t="s">
        <v>100</v>
      </c>
      <c r="C9" s="45" t="s">
        <v>283</v>
      </c>
      <c r="D9" s="4">
        <v>5000</v>
      </c>
      <c r="E9" s="57">
        <f t="shared" ref="E9" si="10">D9-(D9*10/100)</f>
        <v>4500</v>
      </c>
      <c r="F9" s="57">
        <f t="shared" ref="F9" si="11">D9-(D9*20/100)</f>
        <v>4000</v>
      </c>
      <c r="G9" s="57">
        <f t="shared" ref="G9" si="12">D9-(D9*30/100)</f>
        <v>3500</v>
      </c>
      <c r="H9" s="57">
        <f>D9-(D9*10/100)</f>
        <v>4500</v>
      </c>
      <c r="I9" s="57">
        <f t="shared" ref="I9" si="13">H9-(H9*10/100)</f>
        <v>4050</v>
      </c>
      <c r="J9" s="57">
        <f t="shared" ref="J9" si="14">H9-(H9*20/100)</f>
        <v>3600</v>
      </c>
      <c r="K9" s="57">
        <f t="shared" ref="K9" si="15">H9-(H9*30/100)</f>
        <v>3150</v>
      </c>
      <c r="L9" s="57">
        <f>D9-(D9*20/100)</f>
        <v>4000</v>
      </c>
      <c r="M9" s="57">
        <f t="shared" ref="M9" si="16">L9-(L9*10/100)</f>
        <v>3600</v>
      </c>
      <c r="N9" s="57">
        <f t="shared" ref="N9" si="17">L9-(L9*20/100)</f>
        <v>3200</v>
      </c>
      <c r="O9" s="57">
        <f t="shared" ref="O9" si="18">L9-(L9*30/100)</f>
        <v>2800</v>
      </c>
      <c r="P9" s="102" t="s">
        <v>151</v>
      </c>
      <c r="Q9" s="207" t="s">
        <v>25</v>
      </c>
      <c r="R9" s="174" t="s">
        <v>616</v>
      </c>
    </row>
    <row r="10" spans="1:18" ht="33.75" customHeight="1" thickBot="1" x14ac:dyDescent="0.5">
      <c r="A10" s="191"/>
      <c r="B10" s="160"/>
      <c r="C10" s="45" t="s">
        <v>284</v>
      </c>
      <c r="D10" s="57">
        <f t="shared" ref="D10:O10" si="19">D9*50/100</f>
        <v>2500</v>
      </c>
      <c r="E10" s="57">
        <f t="shared" si="19"/>
        <v>2250</v>
      </c>
      <c r="F10" s="57">
        <f t="shared" si="19"/>
        <v>2000</v>
      </c>
      <c r="G10" s="57">
        <f t="shared" si="19"/>
        <v>1750</v>
      </c>
      <c r="H10" s="57">
        <f t="shared" si="19"/>
        <v>2250</v>
      </c>
      <c r="I10" s="57">
        <f t="shared" si="19"/>
        <v>2025</v>
      </c>
      <c r="J10" s="57">
        <f t="shared" si="19"/>
        <v>1800</v>
      </c>
      <c r="K10" s="57">
        <f t="shared" si="19"/>
        <v>1575</v>
      </c>
      <c r="L10" s="57">
        <f t="shared" si="19"/>
        <v>2000</v>
      </c>
      <c r="M10" s="57">
        <f t="shared" si="19"/>
        <v>1800</v>
      </c>
      <c r="N10" s="57">
        <f t="shared" si="19"/>
        <v>1600</v>
      </c>
      <c r="O10" s="57">
        <f t="shared" si="19"/>
        <v>1400</v>
      </c>
      <c r="P10" s="103"/>
      <c r="Q10" s="207"/>
      <c r="R10" s="174"/>
    </row>
    <row r="11" spans="1:18" ht="49.5" customHeight="1" thickBot="1" x14ac:dyDescent="0.5">
      <c r="A11" s="55" t="s">
        <v>351</v>
      </c>
      <c r="B11" s="45" t="s">
        <v>101</v>
      </c>
      <c r="C11" s="79" t="s">
        <v>267</v>
      </c>
      <c r="D11" s="106">
        <v>50000</v>
      </c>
      <c r="E11" s="106"/>
      <c r="F11" s="106"/>
      <c r="G11" s="106"/>
      <c r="H11" s="106">
        <f t="shared" ref="H11:H20" si="20">D11-(D11*20/100)</f>
        <v>40000</v>
      </c>
      <c r="I11" s="106"/>
      <c r="J11" s="106"/>
      <c r="K11" s="106"/>
      <c r="L11" s="106">
        <f t="shared" ref="L11:L20" si="21">D11-(D11*40/100)</f>
        <v>30000</v>
      </c>
      <c r="M11" s="106"/>
      <c r="N11" s="106"/>
      <c r="O11" s="106"/>
      <c r="P11" s="51" t="s">
        <v>151</v>
      </c>
      <c r="Q11" s="68" t="s">
        <v>10</v>
      </c>
      <c r="R11" s="53" t="s">
        <v>197</v>
      </c>
    </row>
    <row r="12" spans="1:18" ht="49.5" customHeight="1" thickBot="1" x14ac:dyDescent="0.5">
      <c r="A12" s="55" t="s">
        <v>352</v>
      </c>
      <c r="B12" s="45" t="s">
        <v>43</v>
      </c>
      <c r="C12" s="79" t="s">
        <v>267</v>
      </c>
      <c r="D12" s="106">
        <v>10000</v>
      </c>
      <c r="E12" s="106"/>
      <c r="F12" s="106"/>
      <c r="G12" s="106"/>
      <c r="H12" s="106">
        <f t="shared" si="20"/>
        <v>8000</v>
      </c>
      <c r="I12" s="106"/>
      <c r="J12" s="106"/>
      <c r="K12" s="106"/>
      <c r="L12" s="106">
        <f t="shared" si="21"/>
        <v>6000</v>
      </c>
      <c r="M12" s="106"/>
      <c r="N12" s="106"/>
      <c r="O12" s="106"/>
      <c r="P12" s="51" t="s">
        <v>151</v>
      </c>
      <c r="Q12" s="68" t="s">
        <v>10</v>
      </c>
      <c r="R12" s="53" t="s">
        <v>197</v>
      </c>
    </row>
    <row r="13" spans="1:18" ht="44.25" thickBot="1" x14ac:dyDescent="0.5">
      <c r="A13" s="97" t="s">
        <v>353</v>
      </c>
      <c r="B13" s="98" t="s">
        <v>513</v>
      </c>
      <c r="C13" s="91" t="s">
        <v>267</v>
      </c>
      <c r="D13" s="202">
        <v>30000</v>
      </c>
      <c r="E13" s="203"/>
      <c r="F13" s="203"/>
      <c r="G13" s="204"/>
      <c r="H13" s="202">
        <f t="shared" si="20"/>
        <v>24000</v>
      </c>
      <c r="I13" s="203"/>
      <c r="J13" s="203"/>
      <c r="K13" s="204"/>
      <c r="L13" s="202">
        <f t="shared" si="21"/>
        <v>18000</v>
      </c>
      <c r="M13" s="203"/>
      <c r="N13" s="203"/>
      <c r="O13" s="204"/>
      <c r="P13" s="92" t="s">
        <v>151</v>
      </c>
      <c r="Q13" s="99" t="s">
        <v>28</v>
      </c>
      <c r="R13" s="47" t="s">
        <v>230</v>
      </c>
    </row>
    <row r="14" spans="1:18" ht="24" thickBot="1" x14ac:dyDescent="0.5">
      <c r="A14" s="220" t="s">
        <v>354</v>
      </c>
      <c r="B14" s="216" t="s">
        <v>611</v>
      </c>
      <c r="C14" s="91" t="s">
        <v>283</v>
      </c>
      <c r="D14" s="93">
        <v>5000</v>
      </c>
      <c r="E14" s="94">
        <f t="shared" ref="E14" si="22">D14-(D14*10/100)</f>
        <v>4500</v>
      </c>
      <c r="F14" s="94">
        <f t="shared" ref="F14" si="23">D14-(D14*20/100)</f>
        <v>4000</v>
      </c>
      <c r="G14" s="94">
        <f t="shared" ref="G14" si="24">D14-(D14*30/100)</f>
        <v>3500</v>
      </c>
      <c r="H14" s="94">
        <f>D14-(D14*10/100)</f>
        <v>4500</v>
      </c>
      <c r="I14" s="94">
        <f t="shared" ref="I14" si="25">H14-(H14*10/100)</f>
        <v>4050</v>
      </c>
      <c r="J14" s="94">
        <f t="shared" ref="J14" si="26">H14-(H14*20/100)</f>
        <v>3600</v>
      </c>
      <c r="K14" s="94">
        <f t="shared" ref="K14" si="27">H14-(H14*30/100)</f>
        <v>3150</v>
      </c>
      <c r="L14" s="94">
        <f>D14-(D14*20/100)</f>
        <v>4000</v>
      </c>
      <c r="M14" s="94">
        <f t="shared" ref="M14" si="28">L14-(L14*10/100)</f>
        <v>3600</v>
      </c>
      <c r="N14" s="94">
        <f t="shared" ref="N14" si="29">L14-(L14*20/100)</f>
        <v>3200</v>
      </c>
      <c r="O14" s="94">
        <f t="shared" ref="O14" si="30">L14-(L14*30/100)</f>
        <v>2800</v>
      </c>
      <c r="P14" s="218" t="s">
        <v>135</v>
      </c>
      <c r="Q14" s="216" t="s">
        <v>25</v>
      </c>
      <c r="R14" s="104" t="s">
        <v>230</v>
      </c>
    </row>
    <row r="15" spans="1:18" ht="24" thickBot="1" x14ac:dyDescent="0.5">
      <c r="A15" s="221"/>
      <c r="B15" s="217"/>
      <c r="C15" s="91" t="s">
        <v>284</v>
      </c>
      <c r="D15" s="94">
        <f t="shared" ref="D15:O15" si="31">D14*50/100</f>
        <v>2500</v>
      </c>
      <c r="E15" s="94">
        <f t="shared" si="31"/>
        <v>2250</v>
      </c>
      <c r="F15" s="94">
        <f t="shared" si="31"/>
        <v>2000</v>
      </c>
      <c r="G15" s="94">
        <f t="shared" si="31"/>
        <v>1750</v>
      </c>
      <c r="H15" s="94">
        <f t="shared" si="31"/>
        <v>2250</v>
      </c>
      <c r="I15" s="94">
        <f t="shared" si="31"/>
        <v>2025</v>
      </c>
      <c r="J15" s="94">
        <f t="shared" si="31"/>
        <v>1800</v>
      </c>
      <c r="K15" s="94">
        <f t="shared" si="31"/>
        <v>1575</v>
      </c>
      <c r="L15" s="94">
        <f t="shared" si="31"/>
        <v>2000</v>
      </c>
      <c r="M15" s="94">
        <f t="shared" si="31"/>
        <v>1800</v>
      </c>
      <c r="N15" s="94">
        <f t="shared" si="31"/>
        <v>1600</v>
      </c>
      <c r="O15" s="94">
        <f t="shared" si="31"/>
        <v>1400</v>
      </c>
      <c r="P15" s="219"/>
      <c r="Q15" s="217"/>
      <c r="R15" s="105"/>
    </row>
    <row r="16" spans="1:18" ht="47.25" thickBot="1" x14ac:dyDescent="0.5">
      <c r="A16" s="97" t="s">
        <v>355</v>
      </c>
      <c r="B16" s="98" t="s">
        <v>612</v>
      </c>
      <c r="C16" s="91" t="s">
        <v>267</v>
      </c>
      <c r="D16" s="202">
        <v>30000</v>
      </c>
      <c r="E16" s="203"/>
      <c r="F16" s="203"/>
      <c r="G16" s="204"/>
      <c r="H16" s="202">
        <f t="shared" si="20"/>
        <v>24000</v>
      </c>
      <c r="I16" s="203"/>
      <c r="J16" s="203"/>
      <c r="K16" s="204"/>
      <c r="L16" s="202">
        <f t="shared" si="21"/>
        <v>18000</v>
      </c>
      <c r="M16" s="203"/>
      <c r="N16" s="203"/>
      <c r="O16" s="204"/>
      <c r="P16" s="92" t="s">
        <v>151</v>
      </c>
      <c r="Q16" s="99" t="s">
        <v>28</v>
      </c>
      <c r="R16" s="47" t="s">
        <v>231</v>
      </c>
    </row>
    <row r="17" spans="1:18" ht="24" thickBot="1" x14ac:dyDescent="0.5">
      <c r="A17" s="220" t="s">
        <v>356</v>
      </c>
      <c r="B17" s="216" t="s">
        <v>613</v>
      </c>
      <c r="C17" s="91" t="s">
        <v>283</v>
      </c>
      <c r="D17" s="93">
        <v>5000</v>
      </c>
      <c r="E17" s="94">
        <f t="shared" ref="E17" si="32">D17-(D17*10/100)</f>
        <v>4500</v>
      </c>
      <c r="F17" s="94">
        <f t="shared" ref="F17" si="33">D17-(D17*20/100)</f>
        <v>4000</v>
      </c>
      <c r="G17" s="94">
        <f t="shared" ref="G17" si="34">D17-(D17*30/100)</f>
        <v>3500</v>
      </c>
      <c r="H17" s="94">
        <f>D17-(D17*10/100)</f>
        <v>4500</v>
      </c>
      <c r="I17" s="94">
        <f t="shared" ref="I17" si="35">H17-(H17*10/100)</f>
        <v>4050</v>
      </c>
      <c r="J17" s="94">
        <f t="shared" ref="J17" si="36">H17-(H17*20/100)</f>
        <v>3600</v>
      </c>
      <c r="K17" s="94">
        <f t="shared" ref="K17" si="37">H17-(H17*30/100)</f>
        <v>3150</v>
      </c>
      <c r="L17" s="94">
        <f>D17-(D17*20/100)</f>
        <v>4000</v>
      </c>
      <c r="M17" s="94">
        <f t="shared" ref="M17" si="38">L17-(L17*10/100)</f>
        <v>3600</v>
      </c>
      <c r="N17" s="94">
        <f t="shared" ref="N17" si="39">L17-(L17*20/100)</f>
        <v>3200</v>
      </c>
      <c r="O17" s="94">
        <f t="shared" ref="O17" si="40">L17-(L17*30/100)</f>
        <v>2800</v>
      </c>
      <c r="P17" s="218" t="s">
        <v>135</v>
      </c>
      <c r="Q17" s="216" t="s">
        <v>25</v>
      </c>
      <c r="R17" s="104" t="s">
        <v>231</v>
      </c>
    </row>
    <row r="18" spans="1:18" ht="24" thickBot="1" x14ac:dyDescent="0.5">
      <c r="A18" s="221"/>
      <c r="B18" s="217"/>
      <c r="C18" s="91" t="s">
        <v>284</v>
      </c>
      <c r="D18" s="94">
        <f t="shared" ref="D18:O18" si="41">D17*50/100</f>
        <v>2500</v>
      </c>
      <c r="E18" s="94">
        <f t="shared" si="41"/>
        <v>2250</v>
      </c>
      <c r="F18" s="94">
        <f t="shared" si="41"/>
        <v>2000</v>
      </c>
      <c r="G18" s="94">
        <f t="shared" si="41"/>
        <v>1750</v>
      </c>
      <c r="H18" s="94">
        <f t="shared" si="41"/>
        <v>2250</v>
      </c>
      <c r="I18" s="94">
        <f t="shared" si="41"/>
        <v>2025</v>
      </c>
      <c r="J18" s="94">
        <f t="shared" si="41"/>
        <v>1800</v>
      </c>
      <c r="K18" s="94">
        <f t="shared" si="41"/>
        <v>1575</v>
      </c>
      <c r="L18" s="94">
        <f t="shared" si="41"/>
        <v>2000</v>
      </c>
      <c r="M18" s="94">
        <f t="shared" si="41"/>
        <v>1800</v>
      </c>
      <c r="N18" s="94">
        <f t="shared" si="41"/>
        <v>1600</v>
      </c>
      <c r="O18" s="94">
        <f t="shared" si="41"/>
        <v>1400</v>
      </c>
      <c r="P18" s="219"/>
      <c r="Q18" s="217"/>
      <c r="R18" s="105"/>
    </row>
    <row r="19" spans="1:18" ht="59.25" customHeight="1" thickBot="1" x14ac:dyDescent="0.5">
      <c r="A19" s="55" t="s">
        <v>357</v>
      </c>
      <c r="B19" s="56" t="s">
        <v>152</v>
      </c>
      <c r="C19" s="79" t="s">
        <v>267</v>
      </c>
      <c r="D19" s="106">
        <v>20000</v>
      </c>
      <c r="E19" s="106"/>
      <c r="F19" s="106"/>
      <c r="G19" s="106"/>
      <c r="H19" s="106">
        <f t="shared" si="20"/>
        <v>16000</v>
      </c>
      <c r="I19" s="106"/>
      <c r="J19" s="106"/>
      <c r="K19" s="106"/>
      <c r="L19" s="106">
        <f t="shared" si="21"/>
        <v>12000</v>
      </c>
      <c r="M19" s="106"/>
      <c r="N19" s="106"/>
      <c r="O19" s="106"/>
      <c r="P19" s="58" t="s">
        <v>153</v>
      </c>
      <c r="Q19" s="41" t="s">
        <v>10</v>
      </c>
      <c r="R19" s="47" t="s">
        <v>232</v>
      </c>
    </row>
    <row r="20" spans="1:18" ht="57" customHeight="1" thickBot="1" x14ac:dyDescent="0.5">
      <c r="A20" s="55" t="s">
        <v>358</v>
      </c>
      <c r="B20" s="56" t="s">
        <v>102</v>
      </c>
      <c r="C20" s="79" t="s">
        <v>267</v>
      </c>
      <c r="D20" s="106">
        <v>20000</v>
      </c>
      <c r="E20" s="106"/>
      <c r="F20" s="106"/>
      <c r="G20" s="106"/>
      <c r="H20" s="106">
        <f t="shared" si="20"/>
        <v>16000</v>
      </c>
      <c r="I20" s="106"/>
      <c r="J20" s="106"/>
      <c r="K20" s="106"/>
      <c r="L20" s="106">
        <f t="shared" si="21"/>
        <v>12000</v>
      </c>
      <c r="M20" s="106"/>
      <c r="N20" s="106"/>
      <c r="O20" s="106"/>
      <c r="P20" s="58" t="s">
        <v>153</v>
      </c>
      <c r="Q20" s="41" t="s">
        <v>10</v>
      </c>
      <c r="R20" s="47" t="s">
        <v>232</v>
      </c>
    </row>
    <row r="21" spans="1:18" ht="29.25" customHeight="1" thickBot="1" x14ac:dyDescent="0.5">
      <c r="A21" s="191" t="s">
        <v>359</v>
      </c>
      <c r="B21" s="213" t="s">
        <v>103</v>
      </c>
      <c r="C21" s="45" t="s">
        <v>283</v>
      </c>
      <c r="D21" s="4">
        <v>5000</v>
      </c>
      <c r="E21" s="57">
        <f t="shared" ref="E21" si="42">D21-(D21*10/100)</f>
        <v>4500</v>
      </c>
      <c r="F21" s="57">
        <f t="shared" ref="F21" si="43">D21-(D21*20/100)</f>
        <v>4000</v>
      </c>
      <c r="G21" s="57">
        <f t="shared" ref="G21" si="44">D21-(D21*30/100)</f>
        <v>3500</v>
      </c>
      <c r="H21" s="57">
        <f>D21-(D21*10/100)</f>
        <v>4500</v>
      </c>
      <c r="I21" s="57">
        <f t="shared" ref="I21" si="45">H21-(H21*10/100)</f>
        <v>4050</v>
      </c>
      <c r="J21" s="57">
        <f t="shared" ref="J21" si="46">H21-(H21*20/100)</f>
        <v>3600</v>
      </c>
      <c r="K21" s="57">
        <f t="shared" ref="K21" si="47">H21-(H21*30/100)</f>
        <v>3150</v>
      </c>
      <c r="L21" s="57">
        <f>D21-(D21*20/100)</f>
        <v>4000</v>
      </c>
      <c r="M21" s="57">
        <f t="shared" ref="M21" si="48">L21-(L21*10/100)</f>
        <v>3600</v>
      </c>
      <c r="N21" s="57">
        <f t="shared" ref="N21" si="49">L21-(L21*20/100)</f>
        <v>3200</v>
      </c>
      <c r="O21" s="57">
        <f t="shared" ref="O21" si="50">L21-(L21*30/100)</f>
        <v>2800</v>
      </c>
      <c r="P21" s="100" t="s">
        <v>135</v>
      </c>
      <c r="Q21" s="207" t="s">
        <v>25</v>
      </c>
      <c r="R21" s="175" t="s">
        <v>233</v>
      </c>
    </row>
    <row r="22" spans="1:18" ht="29.25" customHeight="1" thickBot="1" x14ac:dyDescent="0.5">
      <c r="A22" s="191"/>
      <c r="B22" s="213"/>
      <c r="C22" s="45" t="s">
        <v>284</v>
      </c>
      <c r="D22" s="57">
        <f t="shared" ref="D22:O22" si="51">D21*50/100</f>
        <v>2500</v>
      </c>
      <c r="E22" s="57">
        <f t="shared" si="51"/>
        <v>2250</v>
      </c>
      <c r="F22" s="57">
        <f t="shared" si="51"/>
        <v>2000</v>
      </c>
      <c r="G22" s="57">
        <f t="shared" si="51"/>
        <v>1750</v>
      </c>
      <c r="H22" s="57">
        <f t="shared" si="51"/>
        <v>2250</v>
      </c>
      <c r="I22" s="57">
        <f t="shared" si="51"/>
        <v>2025</v>
      </c>
      <c r="J22" s="57">
        <f t="shared" si="51"/>
        <v>1800</v>
      </c>
      <c r="K22" s="57">
        <f t="shared" si="51"/>
        <v>1575</v>
      </c>
      <c r="L22" s="57">
        <f t="shared" si="51"/>
        <v>2000</v>
      </c>
      <c r="M22" s="57">
        <f t="shared" si="51"/>
        <v>1800</v>
      </c>
      <c r="N22" s="57">
        <f t="shared" si="51"/>
        <v>1600</v>
      </c>
      <c r="O22" s="57">
        <f t="shared" si="51"/>
        <v>1400</v>
      </c>
      <c r="P22" s="101"/>
      <c r="Q22" s="207"/>
      <c r="R22" s="175"/>
    </row>
    <row r="23" spans="1:18" ht="52.5" customHeight="1" thickBot="1" x14ac:dyDescent="0.5">
      <c r="A23" s="16" t="s">
        <v>360</v>
      </c>
      <c r="B23" s="11" t="s">
        <v>16</v>
      </c>
      <c r="C23" s="11" t="s">
        <v>267</v>
      </c>
      <c r="D23" s="106">
        <v>20000</v>
      </c>
      <c r="E23" s="106"/>
      <c r="F23" s="106"/>
      <c r="G23" s="106"/>
      <c r="H23" s="106">
        <f>D23-(D23*20/100)</f>
        <v>16000</v>
      </c>
      <c r="I23" s="106"/>
      <c r="J23" s="106"/>
      <c r="K23" s="106"/>
      <c r="L23" s="106">
        <f>D23-(D23*40/100)</f>
        <v>12000</v>
      </c>
      <c r="M23" s="106"/>
      <c r="N23" s="106"/>
      <c r="O23" s="106"/>
      <c r="P23" s="7" t="s">
        <v>131</v>
      </c>
      <c r="Q23" s="42" t="s">
        <v>10</v>
      </c>
      <c r="R23" s="47" t="s">
        <v>233</v>
      </c>
    </row>
    <row r="24" spans="1:18" ht="63.75" customHeight="1" thickBot="1" x14ac:dyDescent="0.5">
      <c r="A24" s="55" t="s">
        <v>361</v>
      </c>
      <c r="B24" s="44" t="s">
        <v>71</v>
      </c>
      <c r="C24" s="11" t="s">
        <v>267</v>
      </c>
      <c r="D24" s="106">
        <v>15000</v>
      </c>
      <c r="E24" s="106"/>
      <c r="F24" s="106"/>
      <c r="G24" s="106"/>
      <c r="H24" s="106">
        <f>D24-(D24*20/100)</f>
        <v>12000</v>
      </c>
      <c r="I24" s="106"/>
      <c r="J24" s="106"/>
      <c r="K24" s="106"/>
      <c r="L24" s="106">
        <f>D24-(D24*40/100)</f>
        <v>9000</v>
      </c>
      <c r="M24" s="106"/>
      <c r="N24" s="106"/>
      <c r="O24" s="106"/>
      <c r="P24" s="7" t="s">
        <v>131</v>
      </c>
      <c r="Q24" s="68" t="s">
        <v>10</v>
      </c>
      <c r="R24" s="47" t="s">
        <v>234</v>
      </c>
    </row>
    <row r="25" spans="1:18" ht="42" customHeight="1" thickBot="1" x14ac:dyDescent="0.5">
      <c r="A25" s="55" t="s">
        <v>362</v>
      </c>
      <c r="B25" s="44" t="s">
        <v>64</v>
      </c>
      <c r="C25" s="11" t="s">
        <v>267</v>
      </c>
      <c r="D25" s="106">
        <v>50000</v>
      </c>
      <c r="E25" s="106"/>
      <c r="F25" s="106"/>
      <c r="G25" s="106"/>
      <c r="H25" s="106">
        <f>D25-(D25*20/100)</f>
        <v>40000</v>
      </c>
      <c r="I25" s="106"/>
      <c r="J25" s="106"/>
      <c r="K25" s="106"/>
      <c r="L25" s="106">
        <f>D25-(D25*40/100)</f>
        <v>30000</v>
      </c>
      <c r="M25" s="106"/>
      <c r="N25" s="106"/>
      <c r="O25" s="106"/>
      <c r="P25" s="46" t="s">
        <v>135</v>
      </c>
      <c r="Q25" s="68" t="s">
        <v>10</v>
      </c>
      <c r="R25" s="47" t="s">
        <v>235</v>
      </c>
    </row>
    <row r="26" spans="1:18" ht="60" customHeight="1" thickBot="1" x14ac:dyDescent="0.5">
      <c r="A26" s="55" t="s">
        <v>363</v>
      </c>
      <c r="B26" s="78" t="s">
        <v>104</v>
      </c>
      <c r="C26" s="11" t="s">
        <v>267</v>
      </c>
      <c r="D26" s="106">
        <v>30000</v>
      </c>
      <c r="E26" s="106"/>
      <c r="F26" s="106"/>
      <c r="G26" s="106"/>
      <c r="H26" s="106">
        <f>D26-(D26*20/100)</f>
        <v>24000</v>
      </c>
      <c r="I26" s="106"/>
      <c r="J26" s="106"/>
      <c r="K26" s="106"/>
      <c r="L26" s="106">
        <f>D26-(D26*40/100)</f>
        <v>18000</v>
      </c>
      <c r="M26" s="106"/>
      <c r="N26" s="106"/>
      <c r="O26" s="106"/>
      <c r="P26" s="46" t="s">
        <v>135</v>
      </c>
      <c r="Q26" s="41" t="s">
        <v>10</v>
      </c>
      <c r="R26" s="47" t="s">
        <v>236</v>
      </c>
    </row>
    <row r="27" spans="1:18" ht="32.25" customHeight="1" thickBot="1" x14ac:dyDescent="0.5">
      <c r="A27" s="176" t="s">
        <v>364</v>
      </c>
      <c r="B27" s="166" t="s">
        <v>365</v>
      </c>
      <c r="C27" s="4" t="s">
        <v>283</v>
      </c>
      <c r="D27" s="4">
        <v>1000</v>
      </c>
      <c r="E27" s="57">
        <f t="shared" ref="E27" si="52">D27-(D27*10/100)</f>
        <v>900</v>
      </c>
      <c r="F27" s="57">
        <f t="shared" ref="F27" si="53">D27-(D27*20/100)</f>
        <v>800</v>
      </c>
      <c r="G27" s="57">
        <f t="shared" ref="G27" si="54">D27-(D27*30/100)</f>
        <v>700</v>
      </c>
      <c r="H27" s="57">
        <f>D27-(D27*10/100)</f>
        <v>900</v>
      </c>
      <c r="I27" s="57">
        <f t="shared" ref="I27" si="55">H27-(H27*10/100)</f>
        <v>810</v>
      </c>
      <c r="J27" s="57">
        <f t="shared" ref="J27" si="56">H27-(H27*20/100)</f>
        <v>720</v>
      </c>
      <c r="K27" s="57">
        <f t="shared" ref="K27" si="57">H27-(H27*30/100)</f>
        <v>630</v>
      </c>
      <c r="L27" s="57">
        <f>D27-(D27*20/100)</f>
        <v>800</v>
      </c>
      <c r="M27" s="57">
        <f t="shared" ref="M27" si="58">L27-(L27*10/100)</f>
        <v>720</v>
      </c>
      <c r="N27" s="57">
        <f t="shared" ref="N27" si="59">L27-(L27*20/100)</f>
        <v>640</v>
      </c>
      <c r="O27" s="57">
        <f t="shared" ref="O27" si="60">L27-(L27*30/100)</f>
        <v>560</v>
      </c>
      <c r="P27" s="102" t="s">
        <v>131</v>
      </c>
      <c r="Q27" s="178" t="s">
        <v>25</v>
      </c>
      <c r="R27" s="104" t="s">
        <v>187</v>
      </c>
    </row>
    <row r="28" spans="1:18" ht="30.75" customHeight="1" thickBot="1" x14ac:dyDescent="0.5">
      <c r="A28" s="177"/>
      <c r="B28" s="167"/>
      <c r="C28" s="57" t="s">
        <v>284</v>
      </c>
      <c r="D28" s="57">
        <f t="shared" ref="D28:O28" si="61">D27*50/100</f>
        <v>500</v>
      </c>
      <c r="E28" s="57">
        <f t="shared" si="61"/>
        <v>450</v>
      </c>
      <c r="F28" s="57">
        <f t="shared" si="61"/>
        <v>400</v>
      </c>
      <c r="G28" s="57">
        <f t="shared" si="61"/>
        <v>350</v>
      </c>
      <c r="H28" s="57">
        <f t="shared" si="61"/>
        <v>450</v>
      </c>
      <c r="I28" s="57">
        <f t="shared" si="61"/>
        <v>405</v>
      </c>
      <c r="J28" s="57">
        <f t="shared" si="61"/>
        <v>360</v>
      </c>
      <c r="K28" s="57">
        <f t="shared" si="61"/>
        <v>315</v>
      </c>
      <c r="L28" s="57">
        <f t="shared" si="61"/>
        <v>400</v>
      </c>
      <c r="M28" s="57">
        <f t="shared" si="61"/>
        <v>360</v>
      </c>
      <c r="N28" s="57">
        <f t="shared" si="61"/>
        <v>320</v>
      </c>
      <c r="O28" s="57">
        <f t="shared" si="61"/>
        <v>280</v>
      </c>
      <c r="P28" s="103"/>
      <c r="Q28" s="179"/>
      <c r="R28" s="105"/>
    </row>
    <row r="29" spans="1:18" ht="27.75" customHeight="1" thickBot="1" x14ac:dyDescent="0.5">
      <c r="A29" s="211" t="s">
        <v>288</v>
      </c>
      <c r="B29" s="212"/>
      <c r="C29" s="212"/>
      <c r="D29" s="212"/>
      <c r="E29" s="212"/>
      <c r="F29" s="212"/>
      <c r="G29" s="212"/>
      <c r="H29" s="212"/>
      <c r="I29" s="212"/>
      <c r="J29" s="212"/>
      <c r="K29" s="212"/>
      <c r="L29" s="212"/>
      <c r="M29" s="212"/>
      <c r="N29" s="212"/>
      <c r="O29" s="212"/>
      <c r="P29" s="212"/>
      <c r="Q29" s="212"/>
      <c r="R29" s="212"/>
    </row>
    <row r="30" spans="1:18" ht="28.5" customHeight="1" thickBot="1" x14ac:dyDescent="0.5">
      <c r="A30" s="191" t="s">
        <v>366</v>
      </c>
      <c r="B30" s="160" t="s">
        <v>105</v>
      </c>
      <c r="C30" s="11" t="s">
        <v>283</v>
      </c>
      <c r="D30" s="4">
        <v>5000</v>
      </c>
      <c r="E30" s="57">
        <f t="shared" ref="E30" si="62">D30-(D30*10/100)</f>
        <v>4500</v>
      </c>
      <c r="F30" s="57">
        <f t="shared" ref="F30" si="63">D30-(D30*20/100)</f>
        <v>4000</v>
      </c>
      <c r="G30" s="57">
        <f t="shared" ref="G30" si="64">D30-(D30*30/100)</f>
        <v>3500</v>
      </c>
      <c r="H30" s="57">
        <f>D30-(D30*10/100)</f>
        <v>4500</v>
      </c>
      <c r="I30" s="57">
        <f t="shared" ref="I30" si="65">H30-(H30*10/100)</f>
        <v>4050</v>
      </c>
      <c r="J30" s="57">
        <f t="shared" ref="J30" si="66">H30-(H30*20/100)</f>
        <v>3600</v>
      </c>
      <c r="K30" s="57">
        <f t="shared" ref="K30" si="67">H30-(H30*30/100)</f>
        <v>3150</v>
      </c>
      <c r="L30" s="57">
        <f>D30-(D30*20/100)</f>
        <v>4000</v>
      </c>
      <c r="M30" s="57">
        <f t="shared" ref="M30" si="68">L30-(L30*10/100)</f>
        <v>3600</v>
      </c>
      <c r="N30" s="57">
        <f t="shared" ref="N30" si="69">L30-(L30*20/100)</f>
        <v>3200</v>
      </c>
      <c r="O30" s="57">
        <f t="shared" ref="O30" si="70">L30-(L30*30/100)</f>
        <v>2800</v>
      </c>
      <c r="P30" s="156" t="s">
        <v>131</v>
      </c>
      <c r="Q30" s="160" t="s">
        <v>25</v>
      </c>
      <c r="R30" s="171" t="s">
        <v>188</v>
      </c>
    </row>
    <row r="31" spans="1:18" ht="36" customHeight="1" thickBot="1" x14ac:dyDescent="0.5">
      <c r="A31" s="191"/>
      <c r="B31" s="160"/>
      <c r="C31" s="11" t="s">
        <v>284</v>
      </c>
      <c r="D31" s="57">
        <f t="shared" ref="D31:O31" si="71">D30*50/100</f>
        <v>2500</v>
      </c>
      <c r="E31" s="57">
        <f t="shared" si="71"/>
        <v>2250</v>
      </c>
      <c r="F31" s="57">
        <f t="shared" si="71"/>
        <v>2000</v>
      </c>
      <c r="G31" s="57">
        <f t="shared" si="71"/>
        <v>1750</v>
      </c>
      <c r="H31" s="57">
        <f t="shared" si="71"/>
        <v>2250</v>
      </c>
      <c r="I31" s="57">
        <f t="shared" si="71"/>
        <v>2025</v>
      </c>
      <c r="J31" s="57">
        <f t="shared" si="71"/>
        <v>1800</v>
      </c>
      <c r="K31" s="57">
        <f t="shared" si="71"/>
        <v>1575</v>
      </c>
      <c r="L31" s="57">
        <f t="shared" si="71"/>
        <v>2000</v>
      </c>
      <c r="M31" s="57">
        <f t="shared" si="71"/>
        <v>1800</v>
      </c>
      <c r="N31" s="57">
        <f t="shared" si="71"/>
        <v>1600</v>
      </c>
      <c r="O31" s="57">
        <f t="shared" si="71"/>
        <v>1400</v>
      </c>
      <c r="P31" s="156"/>
      <c r="Q31" s="160"/>
      <c r="R31" s="172"/>
    </row>
    <row r="32" spans="1:18" ht="25.5" customHeight="1" thickBot="1" x14ac:dyDescent="0.5">
      <c r="A32" s="191" t="s">
        <v>367</v>
      </c>
      <c r="B32" s="160" t="s">
        <v>19</v>
      </c>
      <c r="C32" s="11" t="s">
        <v>283</v>
      </c>
      <c r="D32" s="4">
        <v>2000</v>
      </c>
      <c r="E32" s="57">
        <f t="shared" ref="E32" si="72">D32-(D32*10/100)</f>
        <v>1800</v>
      </c>
      <c r="F32" s="57">
        <f t="shared" ref="F32" si="73">D32-(D32*20/100)</f>
        <v>1600</v>
      </c>
      <c r="G32" s="57">
        <f t="shared" ref="G32" si="74">D32-(D32*30/100)</f>
        <v>1400</v>
      </c>
      <c r="H32" s="57">
        <f>D32-(D32*10/100)</f>
        <v>1800</v>
      </c>
      <c r="I32" s="57">
        <f t="shared" ref="I32" si="75">H32-(H32*10/100)</f>
        <v>1620</v>
      </c>
      <c r="J32" s="57">
        <f t="shared" ref="J32" si="76">H32-(H32*20/100)</f>
        <v>1440</v>
      </c>
      <c r="K32" s="57">
        <f t="shared" ref="K32" si="77">H32-(H32*30/100)</f>
        <v>1260</v>
      </c>
      <c r="L32" s="57">
        <f>D32-(D32*20/100)</f>
        <v>1600</v>
      </c>
      <c r="M32" s="57">
        <f t="shared" ref="M32" si="78">L32-(L32*10/100)</f>
        <v>1440</v>
      </c>
      <c r="N32" s="57">
        <f t="shared" ref="N32" si="79">L32-(L32*20/100)</f>
        <v>1280</v>
      </c>
      <c r="O32" s="57">
        <f t="shared" ref="O32" si="80">L32-(L32*30/100)</f>
        <v>1120</v>
      </c>
      <c r="P32" s="156" t="s">
        <v>135</v>
      </c>
      <c r="Q32" s="160" t="s">
        <v>25</v>
      </c>
      <c r="R32" s="171" t="s">
        <v>200</v>
      </c>
    </row>
    <row r="33" spans="1:18" ht="27.75" customHeight="1" thickBot="1" x14ac:dyDescent="0.5">
      <c r="A33" s="191"/>
      <c r="B33" s="160"/>
      <c r="C33" s="11" t="s">
        <v>284</v>
      </c>
      <c r="D33" s="57">
        <f t="shared" ref="D33:O33" si="81">D32*50/100</f>
        <v>1000</v>
      </c>
      <c r="E33" s="57">
        <f t="shared" si="81"/>
        <v>900</v>
      </c>
      <c r="F33" s="57">
        <f t="shared" si="81"/>
        <v>800</v>
      </c>
      <c r="G33" s="57">
        <f t="shared" si="81"/>
        <v>700</v>
      </c>
      <c r="H33" s="57">
        <f t="shared" si="81"/>
        <v>900</v>
      </c>
      <c r="I33" s="57">
        <f t="shared" si="81"/>
        <v>810</v>
      </c>
      <c r="J33" s="57">
        <f t="shared" si="81"/>
        <v>720</v>
      </c>
      <c r="K33" s="57">
        <f t="shared" si="81"/>
        <v>630</v>
      </c>
      <c r="L33" s="57">
        <f t="shared" si="81"/>
        <v>800</v>
      </c>
      <c r="M33" s="57">
        <f t="shared" si="81"/>
        <v>720</v>
      </c>
      <c r="N33" s="57">
        <f t="shared" si="81"/>
        <v>640</v>
      </c>
      <c r="O33" s="57">
        <f t="shared" si="81"/>
        <v>560</v>
      </c>
      <c r="P33" s="156"/>
      <c r="Q33" s="160"/>
      <c r="R33" s="210"/>
    </row>
    <row r="34" spans="1:18" ht="27" customHeight="1" thickBot="1" x14ac:dyDescent="0.5">
      <c r="A34" s="191" t="s">
        <v>368</v>
      </c>
      <c r="B34" s="160" t="s">
        <v>24</v>
      </c>
      <c r="C34" s="11" t="s">
        <v>283</v>
      </c>
      <c r="D34" s="4">
        <v>5000</v>
      </c>
      <c r="E34" s="57">
        <f t="shared" ref="E34" si="82">D34-(D34*10/100)</f>
        <v>4500</v>
      </c>
      <c r="F34" s="57">
        <f t="shared" ref="F34" si="83">D34-(D34*20/100)</f>
        <v>4000</v>
      </c>
      <c r="G34" s="57">
        <f t="shared" ref="G34" si="84">D34-(D34*30/100)</f>
        <v>3500</v>
      </c>
      <c r="H34" s="57">
        <f>D34-(D34*10/100)</f>
        <v>4500</v>
      </c>
      <c r="I34" s="57">
        <f t="shared" ref="I34" si="85">H34-(H34*10/100)</f>
        <v>4050</v>
      </c>
      <c r="J34" s="57">
        <f t="shared" ref="J34" si="86">H34-(H34*20/100)</f>
        <v>3600</v>
      </c>
      <c r="K34" s="57">
        <f t="shared" ref="K34" si="87">H34-(H34*30/100)</f>
        <v>3150</v>
      </c>
      <c r="L34" s="57">
        <f>D34-(D34*20/100)</f>
        <v>4000</v>
      </c>
      <c r="M34" s="57">
        <f t="shared" ref="M34" si="88">L34-(L34*10/100)</f>
        <v>3600</v>
      </c>
      <c r="N34" s="57">
        <f t="shared" ref="N34" si="89">L34-(L34*20/100)</f>
        <v>3200</v>
      </c>
      <c r="O34" s="57">
        <f t="shared" ref="O34" si="90">L34-(L34*30/100)</f>
        <v>2800</v>
      </c>
      <c r="P34" s="156" t="s">
        <v>135</v>
      </c>
      <c r="Q34" s="160" t="s">
        <v>25</v>
      </c>
      <c r="R34" s="171" t="s">
        <v>237</v>
      </c>
    </row>
    <row r="35" spans="1:18" ht="29.25" customHeight="1" thickBot="1" x14ac:dyDescent="0.5">
      <c r="A35" s="191"/>
      <c r="B35" s="160"/>
      <c r="C35" s="11" t="s">
        <v>284</v>
      </c>
      <c r="D35" s="57">
        <f t="shared" ref="D35:O35" si="91">D34*50/100</f>
        <v>2500</v>
      </c>
      <c r="E35" s="57">
        <f t="shared" si="91"/>
        <v>2250</v>
      </c>
      <c r="F35" s="57">
        <f t="shared" si="91"/>
        <v>2000</v>
      </c>
      <c r="G35" s="57">
        <f t="shared" si="91"/>
        <v>1750</v>
      </c>
      <c r="H35" s="57">
        <f t="shared" si="91"/>
        <v>2250</v>
      </c>
      <c r="I35" s="57">
        <f t="shared" si="91"/>
        <v>2025</v>
      </c>
      <c r="J35" s="57">
        <f t="shared" si="91"/>
        <v>1800</v>
      </c>
      <c r="K35" s="57">
        <f t="shared" si="91"/>
        <v>1575</v>
      </c>
      <c r="L35" s="57">
        <f t="shared" si="91"/>
        <v>2000</v>
      </c>
      <c r="M35" s="57">
        <f t="shared" si="91"/>
        <v>1800</v>
      </c>
      <c r="N35" s="57">
        <f t="shared" si="91"/>
        <v>1600</v>
      </c>
      <c r="O35" s="57">
        <f t="shared" si="91"/>
        <v>1400</v>
      </c>
      <c r="P35" s="156"/>
      <c r="Q35" s="160"/>
      <c r="R35" s="172"/>
    </row>
    <row r="36" spans="1:18" ht="35.25" customHeight="1" thickBot="1" x14ac:dyDescent="0.5">
      <c r="A36" s="55" t="s">
        <v>369</v>
      </c>
      <c r="B36" s="45" t="s">
        <v>106</v>
      </c>
      <c r="C36" s="11" t="s">
        <v>267</v>
      </c>
      <c r="D36" s="106">
        <v>15000</v>
      </c>
      <c r="E36" s="106"/>
      <c r="F36" s="106"/>
      <c r="G36" s="106"/>
      <c r="H36" s="106">
        <f>D36-(D36*20/100)</f>
        <v>12000</v>
      </c>
      <c r="I36" s="106"/>
      <c r="J36" s="106"/>
      <c r="K36" s="106"/>
      <c r="L36" s="106">
        <f>D36-(D36*40/100)</f>
        <v>9000</v>
      </c>
      <c r="M36" s="106"/>
      <c r="N36" s="106"/>
      <c r="O36" s="106"/>
      <c r="P36" s="46" t="s">
        <v>135</v>
      </c>
      <c r="Q36" s="45" t="s">
        <v>10</v>
      </c>
      <c r="R36" s="53" t="s">
        <v>238</v>
      </c>
    </row>
    <row r="37" spans="1:18" ht="38.25" customHeight="1" thickBot="1" x14ac:dyDescent="0.5">
      <c r="A37" s="55" t="s">
        <v>370</v>
      </c>
      <c r="B37" s="2" t="s">
        <v>29</v>
      </c>
      <c r="C37" s="11" t="s">
        <v>267</v>
      </c>
      <c r="D37" s="106">
        <v>15000</v>
      </c>
      <c r="E37" s="106"/>
      <c r="F37" s="106"/>
      <c r="G37" s="106"/>
      <c r="H37" s="106">
        <f>D37-(D37*20/100)</f>
        <v>12000</v>
      </c>
      <c r="I37" s="106"/>
      <c r="J37" s="106"/>
      <c r="K37" s="106"/>
      <c r="L37" s="106">
        <f>D37-(D37*40/100)</f>
        <v>9000</v>
      </c>
      <c r="M37" s="106"/>
      <c r="N37" s="106"/>
      <c r="O37" s="106"/>
      <c r="P37" s="46" t="s">
        <v>135</v>
      </c>
      <c r="Q37" s="2" t="s">
        <v>10</v>
      </c>
      <c r="R37" s="53" t="s">
        <v>238</v>
      </c>
    </row>
    <row r="38" spans="1:18" ht="32.25" customHeight="1" thickBot="1" x14ac:dyDescent="0.5">
      <c r="A38" s="191" t="s">
        <v>371</v>
      </c>
      <c r="B38" s="160" t="s">
        <v>20</v>
      </c>
      <c r="C38" s="11" t="s">
        <v>283</v>
      </c>
      <c r="D38" s="4">
        <v>5000</v>
      </c>
      <c r="E38" s="57">
        <f t="shared" ref="E38" si="92">D38-(D38*10/100)</f>
        <v>4500</v>
      </c>
      <c r="F38" s="57">
        <f t="shared" ref="F38" si="93">D38-(D38*20/100)</f>
        <v>4000</v>
      </c>
      <c r="G38" s="57">
        <f t="shared" ref="G38" si="94">D38-(D38*30/100)</f>
        <v>3500</v>
      </c>
      <c r="H38" s="57">
        <f>D38-(D38*10/100)</f>
        <v>4500</v>
      </c>
      <c r="I38" s="57">
        <f t="shared" ref="I38" si="95">H38-(H38*10/100)</f>
        <v>4050</v>
      </c>
      <c r="J38" s="57">
        <f t="shared" ref="J38" si="96">H38-(H38*20/100)</f>
        <v>3600</v>
      </c>
      <c r="K38" s="57">
        <f t="shared" ref="K38" si="97">H38-(H38*30/100)</f>
        <v>3150</v>
      </c>
      <c r="L38" s="57">
        <f>D38-(D38*20/100)</f>
        <v>4000</v>
      </c>
      <c r="M38" s="57">
        <f t="shared" ref="M38" si="98">L38-(L38*10/100)</f>
        <v>3600</v>
      </c>
      <c r="N38" s="57">
        <f t="shared" ref="N38" si="99">L38-(L38*20/100)</f>
        <v>3200</v>
      </c>
      <c r="O38" s="57">
        <f t="shared" ref="O38" si="100">L38-(L38*30/100)</f>
        <v>2800</v>
      </c>
      <c r="P38" s="156" t="s">
        <v>135</v>
      </c>
      <c r="Q38" s="160" t="s">
        <v>25</v>
      </c>
      <c r="R38" s="171" t="s">
        <v>238</v>
      </c>
    </row>
    <row r="39" spans="1:18" ht="37.5" customHeight="1" thickBot="1" x14ac:dyDescent="0.5">
      <c r="A39" s="191"/>
      <c r="B39" s="160"/>
      <c r="C39" s="11" t="s">
        <v>284</v>
      </c>
      <c r="D39" s="57">
        <f t="shared" ref="D39:O39" si="101">D38*50/100</f>
        <v>2500</v>
      </c>
      <c r="E39" s="57">
        <f t="shared" si="101"/>
        <v>2250</v>
      </c>
      <c r="F39" s="57">
        <f t="shared" si="101"/>
        <v>2000</v>
      </c>
      <c r="G39" s="57">
        <f t="shared" si="101"/>
        <v>1750</v>
      </c>
      <c r="H39" s="57">
        <f t="shared" si="101"/>
        <v>2250</v>
      </c>
      <c r="I39" s="57">
        <f t="shared" si="101"/>
        <v>2025</v>
      </c>
      <c r="J39" s="57">
        <f t="shared" si="101"/>
        <v>1800</v>
      </c>
      <c r="K39" s="57">
        <f t="shared" si="101"/>
        <v>1575</v>
      </c>
      <c r="L39" s="57">
        <f t="shared" si="101"/>
        <v>2000</v>
      </c>
      <c r="M39" s="57">
        <f t="shared" si="101"/>
        <v>1800</v>
      </c>
      <c r="N39" s="57">
        <f t="shared" si="101"/>
        <v>1600</v>
      </c>
      <c r="O39" s="57">
        <f t="shared" si="101"/>
        <v>1400</v>
      </c>
      <c r="P39" s="156"/>
      <c r="Q39" s="160"/>
      <c r="R39" s="172"/>
    </row>
    <row r="40" spans="1:18" ht="41.25" customHeight="1" thickBot="1" x14ac:dyDescent="0.5">
      <c r="A40" s="55" t="s">
        <v>372</v>
      </c>
      <c r="B40" s="45" t="s">
        <v>107</v>
      </c>
      <c r="C40" s="11" t="s">
        <v>267</v>
      </c>
      <c r="D40" s="106">
        <v>15000</v>
      </c>
      <c r="E40" s="106"/>
      <c r="F40" s="106"/>
      <c r="G40" s="106"/>
      <c r="H40" s="106">
        <f>D40-(D40*20/100)</f>
        <v>12000</v>
      </c>
      <c r="I40" s="106"/>
      <c r="J40" s="106"/>
      <c r="K40" s="106"/>
      <c r="L40" s="106">
        <f>D40-(D40*40/100)</f>
        <v>9000</v>
      </c>
      <c r="M40" s="106"/>
      <c r="N40" s="106"/>
      <c r="O40" s="106"/>
      <c r="P40" s="46" t="s">
        <v>135</v>
      </c>
      <c r="Q40" s="45" t="s">
        <v>10</v>
      </c>
      <c r="R40" s="53" t="s">
        <v>239</v>
      </c>
    </row>
    <row r="41" spans="1:18" ht="58.5" customHeight="1" thickBot="1" x14ac:dyDescent="0.5">
      <c r="A41" s="67" t="s">
        <v>373</v>
      </c>
      <c r="B41" s="50" t="s">
        <v>108</v>
      </c>
      <c r="C41" s="11" t="s">
        <v>267</v>
      </c>
      <c r="D41" s="106">
        <v>20000</v>
      </c>
      <c r="E41" s="106"/>
      <c r="F41" s="106"/>
      <c r="G41" s="106"/>
      <c r="H41" s="106">
        <f>D41-(D41*20/100)</f>
        <v>16000</v>
      </c>
      <c r="I41" s="106"/>
      <c r="J41" s="106"/>
      <c r="K41" s="106"/>
      <c r="L41" s="106">
        <f>D41-(D41*40/100)</f>
        <v>12000</v>
      </c>
      <c r="M41" s="106"/>
      <c r="N41" s="106"/>
      <c r="O41" s="106"/>
      <c r="P41" s="46" t="s">
        <v>135</v>
      </c>
      <c r="Q41" s="50" t="s">
        <v>10</v>
      </c>
      <c r="R41" s="53" t="s">
        <v>239</v>
      </c>
    </row>
    <row r="42" spans="1:18" ht="60" customHeight="1" thickBot="1" x14ac:dyDescent="0.5">
      <c r="A42" s="55" t="s">
        <v>374</v>
      </c>
      <c r="B42" s="45" t="s">
        <v>21</v>
      </c>
      <c r="C42" s="11" t="s">
        <v>267</v>
      </c>
      <c r="D42" s="106">
        <v>15000</v>
      </c>
      <c r="E42" s="106"/>
      <c r="F42" s="106"/>
      <c r="G42" s="106"/>
      <c r="H42" s="106">
        <f>D42-(D42*20/100)</f>
        <v>12000</v>
      </c>
      <c r="I42" s="106"/>
      <c r="J42" s="106"/>
      <c r="K42" s="106"/>
      <c r="L42" s="106">
        <f>D42-(D42*40/100)</f>
        <v>9000</v>
      </c>
      <c r="M42" s="106"/>
      <c r="N42" s="106"/>
      <c r="O42" s="106"/>
      <c r="P42" s="46" t="s">
        <v>135</v>
      </c>
      <c r="Q42" s="45" t="s">
        <v>10</v>
      </c>
      <c r="R42" s="53" t="s">
        <v>206</v>
      </c>
    </row>
    <row r="43" spans="1:18" ht="25.5" customHeight="1" thickBot="1" x14ac:dyDescent="0.5">
      <c r="A43" s="191" t="s">
        <v>375</v>
      </c>
      <c r="B43" s="160" t="s">
        <v>22</v>
      </c>
      <c r="C43" s="11" t="s">
        <v>283</v>
      </c>
      <c r="D43" s="4">
        <v>1000</v>
      </c>
      <c r="E43" s="57">
        <f t="shared" ref="E43" si="102">D43-(D43*10/100)</f>
        <v>900</v>
      </c>
      <c r="F43" s="57">
        <f t="shared" ref="F43" si="103">D43-(D43*20/100)</f>
        <v>800</v>
      </c>
      <c r="G43" s="57">
        <f t="shared" ref="G43" si="104">D43-(D43*30/100)</f>
        <v>700</v>
      </c>
      <c r="H43" s="57">
        <f>D43-(D43*10/100)</f>
        <v>900</v>
      </c>
      <c r="I43" s="57">
        <f t="shared" ref="I43" si="105">H43-(H43*10/100)</f>
        <v>810</v>
      </c>
      <c r="J43" s="57">
        <f t="shared" ref="J43" si="106">H43-(H43*20/100)</f>
        <v>720</v>
      </c>
      <c r="K43" s="57">
        <f t="shared" ref="K43" si="107">H43-(H43*30/100)</f>
        <v>630</v>
      </c>
      <c r="L43" s="57">
        <f>D43-(D43*20/100)</f>
        <v>800</v>
      </c>
      <c r="M43" s="57">
        <f t="shared" ref="M43" si="108">L43-(L43*10/100)</f>
        <v>720</v>
      </c>
      <c r="N43" s="57">
        <f t="shared" ref="N43" si="109">L43-(L43*20/100)</f>
        <v>640</v>
      </c>
      <c r="O43" s="57">
        <f t="shared" ref="O43" si="110">L43-(L43*30/100)</f>
        <v>560</v>
      </c>
      <c r="P43" s="102" t="s">
        <v>135</v>
      </c>
      <c r="Q43" s="160" t="s">
        <v>25</v>
      </c>
      <c r="R43" s="174" t="s">
        <v>206</v>
      </c>
    </row>
    <row r="44" spans="1:18" ht="28.5" customHeight="1" thickBot="1" x14ac:dyDescent="0.5">
      <c r="A44" s="191"/>
      <c r="B44" s="160"/>
      <c r="C44" s="11" t="s">
        <v>284</v>
      </c>
      <c r="D44" s="57">
        <f t="shared" ref="D44:O44" si="111">D43*50/100</f>
        <v>500</v>
      </c>
      <c r="E44" s="57">
        <f t="shared" si="111"/>
        <v>450</v>
      </c>
      <c r="F44" s="57">
        <f t="shared" si="111"/>
        <v>400</v>
      </c>
      <c r="G44" s="57">
        <f t="shared" si="111"/>
        <v>350</v>
      </c>
      <c r="H44" s="57">
        <f t="shared" si="111"/>
        <v>450</v>
      </c>
      <c r="I44" s="57">
        <f t="shared" si="111"/>
        <v>405</v>
      </c>
      <c r="J44" s="57">
        <f t="shared" si="111"/>
        <v>360</v>
      </c>
      <c r="K44" s="57">
        <f t="shared" si="111"/>
        <v>315</v>
      </c>
      <c r="L44" s="57">
        <f t="shared" si="111"/>
        <v>400</v>
      </c>
      <c r="M44" s="57">
        <f t="shared" si="111"/>
        <v>360</v>
      </c>
      <c r="N44" s="57">
        <f t="shared" si="111"/>
        <v>320</v>
      </c>
      <c r="O44" s="57">
        <f t="shared" si="111"/>
        <v>280</v>
      </c>
      <c r="P44" s="103"/>
      <c r="Q44" s="160"/>
      <c r="R44" s="174"/>
    </row>
    <row r="45" spans="1:18" ht="24.75" customHeight="1" thickBot="1" x14ac:dyDescent="0.5">
      <c r="A45" s="191" t="s">
        <v>376</v>
      </c>
      <c r="B45" s="160" t="s">
        <v>23</v>
      </c>
      <c r="C45" s="11" t="s">
        <v>283</v>
      </c>
      <c r="D45" s="4">
        <v>2000</v>
      </c>
      <c r="E45" s="57">
        <f t="shared" ref="E45" si="112">D45-(D45*10/100)</f>
        <v>1800</v>
      </c>
      <c r="F45" s="57">
        <f t="shared" ref="F45" si="113">D45-(D45*20/100)</f>
        <v>1600</v>
      </c>
      <c r="G45" s="57">
        <f t="shared" ref="G45" si="114">D45-(D45*30/100)</f>
        <v>1400</v>
      </c>
      <c r="H45" s="57">
        <f>D45-(D45*10/100)</f>
        <v>1800</v>
      </c>
      <c r="I45" s="57">
        <f t="shared" ref="I45" si="115">H45-(H45*10/100)</f>
        <v>1620</v>
      </c>
      <c r="J45" s="57">
        <f t="shared" ref="J45" si="116">H45-(H45*20/100)</f>
        <v>1440</v>
      </c>
      <c r="K45" s="57">
        <f t="shared" ref="K45" si="117">H45-(H45*30/100)</f>
        <v>1260</v>
      </c>
      <c r="L45" s="57">
        <f>D45-(D45*20/100)</f>
        <v>1600</v>
      </c>
      <c r="M45" s="57">
        <f t="shared" ref="M45" si="118">L45-(L45*10/100)</f>
        <v>1440</v>
      </c>
      <c r="N45" s="57">
        <f t="shared" ref="N45" si="119">L45-(L45*20/100)</f>
        <v>1280</v>
      </c>
      <c r="O45" s="57">
        <f t="shared" ref="O45" si="120">L45-(L45*30/100)</f>
        <v>1120</v>
      </c>
      <c r="P45" s="102" t="s">
        <v>135</v>
      </c>
      <c r="Q45" s="160" t="s">
        <v>25</v>
      </c>
      <c r="R45" s="174" t="s">
        <v>206</v>
      </c>
    </row>
    <row r="46" spans="1:18" ht="27.75" customHeight="1" thickBot="1" x14ac:dyDescent="0.5">
      <c r="A46" s="191"/>
      <c r="B46" s="160"/>
      <c r="C46" s="11" t="s">
        <v>284</v>
      </c>
      <c r="D46" s="57">
        <f t="shared" ref="D46:O46" si="121">D45*50/100</f>
        <v>1000</v>
      </c>
      <c r="E46" s="57">
        <f t="shared" si="121"/>
        <v>900</v>
      </c>
      <c r="F46" s="57">
        <f t="shared" si="121"/>
        <v>800</v>
      </c>
      <c r="G46" s="57">
        <f t="shared" si="121"/>
        <v>700</v>
      </c>
      <c r="H46" s="57">
        <f t="shared" si="121"/>
        <v>900</v>
      </c>
      <c r="I46" s="57">
        <f t="shared" si="121"/>
        <v>810</v>
      </c>
      <c r="J46" s="57">
        <f t="shared" si="121"/>
        <v>720</v>
      </c>
      <c r="K46" s="57">
        <f t="shared" si="121"/>
        <v>630</v>
      </c>
      <c r="L46" s="57">
        <f t="shared" si="121"/>
        <v>800</v>
      </c>
      <c r="M46" s="57">
        <f t="shared" si="121"/>
        <v>720</v>
      </c>
      <c r="N46" s="57">
        <f t="shared" si="121"/>
        <v>640</v>
      </c>
      <c r="O46" s="57">
        <f t="shared" si="121"/>
        <v>560</v>
      </c>
      <c r="P46" s="103"/>
      <c r="Q46" s="160"/>
      <c r="R46" s="174"/>
    </row>
    <row r="47" spans="1:18" ht="47.25" thickBot="1" x14ac:dyDescent="0.5">
      <c r="A47" s="55" t="s">
        <v>379</v>
      </c>
      <c r="B47" s="45" t="s">
        <v>377</v>
      </c>
      <c r="C47" s="11" t="s">
        <v>267</v>
      </c>
      <c r="D47" s="106">
        <v>20000</v>
      </c>
      <c r="E47" s="106"/>
      <c r="F47" s="106"/>
      <c r="G47" s="106"/>
      <c r="H47" s="106">
        <f>D47-(D47*20/100)</f>
        <v>16000</v>
      </c>
      <c r="I47" s="106"/>
      <c r="J47" s="106"/>
      <c r="K47" s="106"/>
      <c r="L47" s="106">
        <f>D47-(D47*40/100)</f>
        <v>12000</v>
      </c>
      <c r="M47" s="106"/>
      <c r="N47" s="106"/>
      <c r="O47" s="106"/>
      <c r="P47" s="46" t="s">
        <v>135</v>
      </c>
      <c r="Q47" s="45" t="s">
        <v>10</v>
      </c>
      <c r="R47" s="53" t="s">
        <v>208</v>
      </c>
    </row>
    <row r="48" spans="1:18" ht="68.25" customHeight="1" thickBot="1" x14ac:dyDescent="0.5">
      <c r="A48" s="5" t="s">
        <v>380</v>
      </c>
      <c r="B48" s="2" t="s">
        <v>33</v>
      </c>
      <c r="C48" s="11" t="s">
        <v>267</v>
      </c>
      <c r="D48" s="106">
        <v>5000</v>
      </c>
      <c r="E48" s="106"/>
      <c r="F48" s="106"/>
      <c r="G48" s="106"/>
      <c r="H48" s="106">
        <f>D48-(D48*20/100)</f>
        <v>4000</v>
      </c>
      <c r="I48" s="106"/>
      <c r="J48" s="106"/>
      <c r="K48" s="106"/>
      <c r="L48" s="106">
        <f>D48-(D48*40/100)</f>
        <v>3000</v>
      </c>
      <c r="M48" s="106"/>
      <c r="N48" s="106"/>
      <c r="O48" s="106"/>
      <c r="P48" s="8" t="s">
        <v>131</v>
      </c>
      <c r="Q48" s="2" t="s">
        <v>10</v>
      </c>
      <c r="R48" s="53" t="s">
        <v>208</v>
      </c>
    </row>
    <row r="49" spans="1:18" ht="57" customHeight="1" thickBot="1" x14ac:dyDescent="0.5">
      <c r="A49" s="67" t="s">
        <v>381</v>
      </c>
      <c r="B49" s="50" t="s">
        <v>109</v>
      </c>
      <c r="C49" s="11" t="s">
        <v>267</v>
      </c>
      <c r="D49" s="106">
        <v>30000</v>
      </c>
      <c r="E49" s="106"/>
      <c r="F49" s="106"/>
      <c r="G49" s="106"/>
      <c r="H49" s="106">
        <f>D49-(D49*20/100)</f>
        <v>24000</v>
      </c>
      <c r="I49" s="106"/>
      <c r="J49" s="106"/>
      <c r="K49" s="106"/>
      <c r="L49" s="106">
        <f>D49-(D49*40/100)</f>
        <v>18000</v>
      </c>
      <c r="M49" s="106"/>
      <c r="N49" s="106"/>
      <c r="O49" s="106"/>
      <c r="P49" s="52" t="s">
        <v>135</v>
      </c>
      <c r="Q49" s="50" t="s">
        <v>27</v>
      </c>
      <c r="R49" s="53" t="s">
        <v>210</v>
      </c>
    </row>
    <row r="50" spans="1:18" ht="33.75" customHeight="1" thickBot="1" x14ac:dyDescent="0.5">
      <c r="A50" s="201" t="s">
        <v>382</v>
      </c>
      <c r="B50" s="155" t="s">
        <v>110</v>
      </c>
      <c r="C50" s="11" t="s">
        <v>283</v>
      </c>
      <c r="D50" s="1">
        <v>1000</v>
      </c>
      <c r="E50" s="17">
        <f t="shared" ref="E50" si="122">D50-(D50*10/100)</f>
        <v>900</v>
      </c>
      <c r="F50" s="17">
        <f t="shared" ref="F50" si="123">D50-(D50*20/100)</f>
        <v>800</v>
      </c>
      <c r="G50" s="17">
        <f t="shared" ref="G50" si="124">D50-(D50*30/100)</f>
        <v>700</v>
      </c>
      <c r="H50" s="17">
        <f>D50-(D50*10/100)</f>
        <v>900</v>
      </c>
      <c r="I50" s="17">
        <f t="shared" ref="I50" si="125">H50-(H50*10/100)</f>
        <v>810</v>
      </c>
      <c r="J50" s="17">
        <f t="shared" ref="J50" si="126">H50-(H50*20/100)</f>
        <v>720</v>
      </c>
      <c r="K50" s="17">
        <f t="shared" ref="K50" si="127">H50-(H50*30/100)</f>
        <v>630</v>
      </c>
      <c r="L50" s="17">
        <f>D50-(D50*20/100)</f>
        <v>800</v>
      </c>
      <c r="M50" s="17">
        <f t="shared" ref="M50" si="128">L50-(L50*10/100)</f>
        <v>720</v>
      </c>
      <c r="N50" s="17">
        <f t="shared" ref="N50" si="129">L50-(L50*20/100)</f>
        <v>640</v>
      </c>
      <c r="O50" s="17">
        <f t="shared" ref="O50" si="130">L50-(L50*30/100)</f>
        <v>560</v>
      </c>
      <c r="P50" s="189" t="s">
        <v>131</v>
      </c>
      <c r="Q50" s="155" t="s">
        <v>25</v>
      </c>
      <c r="R50" s="171" t="s">
        <v>210</v>
      </c>
    </row>
    <row r="51" spans="1:18" ht="24" thickBot="1" x14ac:dyDescent="0.5">
      <c r="A51" s="201"/>
      <c r="B51" s="155"/>
      <c r="C51" s="11" t="s">
        <v>284</v>
      </c>
      <c r="D51" s="17">
        <f t="shared" ref="D51:O51" si="131">D50*50/100</f>
        <v>500</v>
      </c>
      <c r="E51" s="17">
        <f t="shared" si="131"/>
        <v>450</v>
      </c>
      <c r="F51" s="17">
        <f t="shared" si="131"/>
        <v>400</v>
      </c>
      <c r="G51" s="17">
        <f t="shared" si="131"/>
        <v>350</v>
      </c>
      <c r="H51" s="17">
        <f t="shared" si="131"/>
        <v>450</v>
      </c>
      <c r="I51" s="17">
        <f t="shared" si="131"/>
        <v>405</v>
      </c>
      <c r="J51" s="17">
        <f t="shared" si="131"/>
        <v>360</v>
      </c>
      <c r="K51" s="17">
        <f t="shared" si="131"/>
        <v>315</v>
      </c>
      <c r="L51" s="17">
        <f t="shared" si="131"/>
        <v>400</v>
      </c>
      <c r="M51" s="17">
        <f t="shared" si="131"/>
        <v>360</v>
      </c>
      <c r="N51" s="17">
        <f t="shared" si="131"/>
        <v>320</v>
      </c>
      <c r="O51" s="17">
        <f t="shared" si="131"/>
        <v>280</v>
      </c>
      <c r="P51" s="190"/>
      <c r="Q51" s="155"/>
      <c r="R51" s="172"/>
    </row>
    <row r="52" spans="1:18" ht="57" customHeight="1" thickBot="1" x14ac:dyDescent="0.5">
      <c r="A52" s="191" t="s">
        <v>383</v>
      </c>
      <c r="B52" s="160" t="s">
        <v>111</v>
      </c>
      <c r="C52" s="192" t="s">
        <v>267</v>
      </c>
      <c r="D52" s="194">
        <v>1000</v>
      </c>
      <c r="E52" s="195"/>
      <c r="F52" s="195"/>
      <c r="G52" s="196"/>
      <c r="H52" s="194">
        <f t="shared" ref="H52" si="132">D52-(D52*20/100)</f>
        <v>800</v>
      </c>
      <c r="I52" s="195"/>
      <c r="J52" s="195"/>
      <c r="K52" s="196"/>
      <c r="L52" s="194">
        <f t="shared" ref="L52" si="133">D52-(D52*40/100)</f>
        <v>600</v>
      </c>
      <c r="M52" s="195"/>
      <c r="N52" s="195"/>
      <c r="O52" s="196"/>
      <c r="P52" s="101" t="s">
        <v>155</v>
      </c>
      <c r="Q52" s="179" t="s">
        <v>156</v>
      </c>
      <c r="R52" s="171" t="s">
        <v>188</v>
      </c>
    </row>
    <row r="53" spans="1:18" ht="18.75" customHeight="1" thickBot="1" x14ac:dyDescent="0.5">
      <c r="A53" s="191"/>
      <c r="B53" s="160"/>
      <c r="C53" s="193"/>
      <c r="D53" s="197"/>
      <c r="E53" s="198"/>
      <c r="F53" s="198"/>
      <c r="G53" s="199"/>
      <c r="H53" s="197"/>
      <c r="I53" s="198"/>
      <c r="J53" s="198"/>
      <c r="K53" s="199"/>
      <c r="L53" s="197"/>
      <c r="M53" s="198"/>
      <c r="N53" s="198"/>
      <c r="O53" s="199"/>
      <c r="P53" s="156"/>
      <c r="Q53" s="160"/>
      <c r="R53" s="172"/>
    </row>
    <row r="54" spans="1:18" ht="47.25" customHeight="1" thickBot="1" x14ac:dyDescent="0.5">
      <c r="A54" s="55" t="s">
        <v>384</v>
      </c>
      <c r="B54" s="45" t="s">
        <v>378</v>
      </c>
      <c r="C54" s="11" t="s">
        <v>267</v>
      </c>
      <c r="D54" s="106">
        <v>10000</v>
      </c>
      <c r="E54" s="106"/>
      <c r="F54" s="106"/>
      <c r="G54" s="106"/>
      <c r="H54" s="106">
        <f t="shared" ref="H54:H59" si="134">D54-(D54*20/100)</f>
        <v>8000</v>
      </c>
      <c r="I54" s="106"/>
      <c r="J54" s="106"/>
      <c r="K54" s="106"/>
      <c r="L54" s="106">
        <f t="shared" ref="L54:L59" si="135">D54-(D54*40/100)</f>
        <v>6000</v>
      </c>
      <c r="M54" s="106"/>
      <c r="N54" s="106"/>
      <c r="O54" s="106"/>
      <c r="P54" s="46" t="s">
        <v>131</v>
      </c>
      <c r="Q54" s="45" t="s">
        <v>10</v>
      </c>
      <c r="R54" s="69" t="s">
        <v>211</v>
      </c>
    </row>
    <row r="55" spans="1:18" ht="44.25" thickBot="1" x14ac:dyDescent="0.5">
      <c r="A55" s="67" t="s">
        <v>385</v>
      </c>
      <c r="B55" s="50" t="s">
        <v>112</v>
      </c>
      <c r="C55" s="11" t="s">
        <v>267</v>
      </c>
      <c r="D55" s="106">
        <v>15000</v>
      </c>
      <c r="E55" s="106"/>
      <c r="F55" s="106"/>
      <c r="G55" s="106"/>
      <c r="H55" s="106">
        <f t="shared" si="134"/>
        <v>12000</v>
      </c>
      <c r="I55" s="106"/>
      <c r="J55" s="106"/>
      <c r="K55" s="106"/>
      <c r="L55" s="106">
        <f t="shared" si="135"/>
        <v>9000</v>
      </c>
      <c r="M55" s="106"/>
      <c r="N55" s="106"/>
      <c r="O55" s="106"/>
      <c r="P55" s="52" t="s">
        <v>153</v>
      </c>
      <c r="Q55" s="50" t="s">
        <v>10</v>
      </c>
      <c r="R55" s="47" t="s">
        <v>222</v>
      </c>
    </row>
    <row r="56" spans="1:18" ht="79.5" customHeight="1" thickBot="1" x14ac:dyDescent="0.5">
      <c r="A56" s="49" t="s">
        <v>386</v>
      </c>
      <c r="B56" s="50" t="s">
        <v>113</v>
      </c>
      <c r="C56" s="11" t="s">
        <v>267</v>
      </c>
      <c r="D56" s="106">
        <v>1000</v>
      </c>
      <c r="E56" s="106"/>
      <c r="F56" s="106"/>
      <c r="G56" s="106"/>
      <c r="H56" s="106">
        <f t="shared" si="134"/>
        <v>800</v>
      </c>
      <c r="I56" s="106"/>
      <c r="J56" s="106"/>
      <c r="K56" s="106"/>
      <c r="L56" s="106">
        <f t="shared" si="135"/>
        <v>600</v>
      </c>
      <c r="M56" s="106"/>
      <c r="N56" s="106"/>
      <c r="O56" s="106"/>
      <c r="P56" s="52" t="s">
        <v>155</v>
      </c>
      <c r="Q56" s="50" t="s">
        <v>10</v>
      </c>
      <c r="R56" s="47" t="s">
        <v>222</v>
      </c>
    </row>
    <row r="57" spans="1:18" ht="71.25" customHeight="1" thickBot="1" x14ac:dyDescent="0.5">
      <c r="A57" s="49" t="s">
        <v>387</v>
      </c>
      <c r="B57" s="50" t="s">
        <v>114</v>
      </c>
      <c r="C57" s="11" t="s">
        <v>267</v>
      </c>
      <c r="D57" s="106">
        <v>500</v>
      </c>
      <c r="E57" s="106"/>
      <c r="F57" s="106"/>
      <c r="G57" s="106"/>
      <c r="H57" s="106">
        <f t="shared" si="134"/>
        <v>400</v>
      </c>
      <c r="I57" s="106"/>
      <c r="J57" s="106"/>
      <c r="K57" s="106"/>
      <c r="L57" s="106">
        <f t="shared" si="135"/>
        <v>300</v>
      </c>
      <c r="M57" s="106"/>
      <c r="N57" s="106"/>
      <c r="O57" s="106"/>
      <c r="P57" s="52" t="s">
        <v>155</v>
      </c>
      <c r="Q57" s="50" t="s">
        <v>10</v>
      </c>
      <c r="R57" s="47" t="s">
        <v>222</v>
      </c>
    </row>
    <row r="58" spans="1:18" ht="77.25" customHeight="1" thickBot="1" x14ac:dyDescent="0.5">
      <c r="A58" s="18" t="s">
        <v>388</v>
      </c>
      <c r="B58" s="50" t="s">
        <v>157</v>
      </c>
      <c r="C58" s="11" t="s">
        <v>267</v>
      </c>
      <c r="D58" s="106">
        <v>500</v>
      </c>
      <c r="E58" s="106"/>
      <c r="F58" s="106"/>
      <c r="G58" s="106"/>
      <c r="H58" s="106">
        <f t="shared" si="134"/>
        <v>400</v>
      </c>
      <c r="I58" s="106"/>
      <c r="J58" s="106"/>
      <c r="K58" s="106"/>
      <c r="L58" s="106">
        <f t="shared" si="135"/>
        <v>300</v>
      </c>
      <c r="M58" s="106"/>
      <c r="N58" s="106"/>
      <c r="O58" s="106"/>
      <c r="P58" s="52" t="s">
        <v>155</v>
      </c>
      <c r="Q58" s="50" t="s">
        <v>10</v>
      </c>
      <c r="R58" s="47" t="s">
        <v>222</v>
      </c>
    </row>
    <row r="59" spans="1:18" ht="66" thickBot="1" x14ac:dyDescent="0.5">
      <c r="A59" s="67" t="s">
        <v>389</v>
      </c>
      <c r="B59" s="50" t="s">
        <v>115</v>
      </c>
      <c r="C59" s="11" t="s">
        <v>267</v>
      </c>
      <c r="D59" s="106">
        <v>500</v>
      </c>
      <c r="E59" s="106"/>
      <c r="F59" s="106"/>
      <c r="G59" s="106"/>
      <c r="H59" s="106">
        <f t="shared" si="134"/>
        <v>400</v>
      </c>
      <c r="I59" s="106"/>
      <c r="J59" s="106"/>
      <c r="K59" s="106"/>
      <c r="L59" s="106">
        <f t="shared" si="135"/>
        <v>300</v>
      </c>
      <c r="M59" s="106"/>
      <c r="N59" s="106"/>
      <c r="O59" s="106"/>
      <c r="P59" s="52" t="s">
        <v>158</v>
      </c>
      <c r="Q59" s="50" t="s">
        <v>10</v>
      </c>
      <c r="R59" s="47" t="s">
        <v>213</v>
      </c>
    </row>
    <row r="60" spans="1:18" ht="29.25" customHeight="1" thickBot="1" x14ac:dyDescent="0.5">
      <c r="A60" s="191" t="s">
        <v>390</v>
      </c>
      <c r="B60" s="160" t="s">
        <v>84</v>
      </c>
      <c r="C60" s="11" t="s">
        <v>283</v>
      </c>
      <c r="D60" s="4">
        <v>2000</v>
      </c>
      <c r="E60" s="57">
        <f t="shared" ref="E60" si="136">D60-(D60*10/100)</f>
        <v>1800</v>
      </c>
      <c r="F60" s="57">
        <f t="shared" ref="F60" si="137">D60-(D60*20/100)</f>
        <v>1600</v>
      </c>
      <c r="G60" s="57">
        <f t="shared" ref="G60" si="138">D60-(D60*30/100)</f>
        <v>1400</v>
      </c>
      <c r="H60" s="57">
        <f>D60-(D60*10/100)</f>
        <v>1800</v>
      </c>
      <c r="I60" s="57">
        <f t="shared" ref="I60" si="139">H60-(H60*10/100)</f>
        <v>1620</v>
      </c>
      <c r="J60" s="57">
        <f t="shared" ref="J60" si="140">H60-(H60*20/100)</f>
        <v>1440</v>
      </c>
      <c r="K60" s="57">
        <f t="shared" ref="K60" si="141">H60-(H60*30/100)</f>
        <v>1260</v>
      </c>
      <c r="L60" s="57">
        <f>D60-(D60*20/100)</f>
        <v>1600</v>
      </c>
      <c r="M60" s="57">
        <f t="shared" ref="M60" si="142">L60-(L60*10/100)</f>
        <v>1440</v>
      </c>
      <c r="N60" s="57">
        <f t="shared" ref="N60" si="143">L60-(L60*20/100)</f>
        <v>1280</v>
      </c>
      <c r="O60" s="57">
        <f t="shared" ref="O60" si="144">L60-(L60*30/100)</f>
        <v>1120</v>
      </c>
      <c r="P60" s="156" t="s">
        <v>134</v>
      </c>
      <c r="Q60" s="160" t="s">
        <v>25</v>
      </c>
      <c r="R60" s="104" t="s">
        <v>240</v>
      </c>
    </row>
    <row r="61" spans="1:18" ht="33" customHeight="1" thickBot="1" x14ac:dyDescent="0.5">
      <c r="A61" s="191"/>
      <c r="B61" s="160"/>
      <c r="C61" s="11" t="s">
        <v>284</v>
      </c>
      <c r="D61" s="57">
        <f t="shared" ref="D61:O61" si="145">D60*50/100</f>
        <v>1000</v>
      </c>
      <c r="E61" s="57">
        <f t="shared" si="145"/>
        <v>900</v>
      </c>
      <c r="F61" s="57">
        <f t="shared" si="145"/>
        <v>800</v>
      </c>
      <c r="G61" s="57">
        <f t="shared" si="145"/>
        <v>700</v>
      </c>
      <c r="H61" s="57">
        <f t="shared" si="145"/>
        <v>900</v>
      </c>
      <c r="I61" s="57">
        <f t="shared" si="145"/>
        <v>810</v>
      </c>
      <c r="J61" s="57">
        <f t="shared" si="145"/>
        <v>720</v>
      </c>
      <c r="K61" s="57">
        <f t="shared" si="145"/>
        <v>630</v>
      </c>
      <c r="L61" s="57">
        <f t="shared" si="145"/>
        <v>800</v>
      </c>
      <c r="M61" s="57">
        <f t="shared" si="145"/>
        <v>720</v>
      </c>
      <c r="N61" s="57">
        <f t="shared" si="145"/>
        <v>640</v>
      </c>
      <c r="O61" s="57">
        <f t="shared" si="145"/>
        <v>560</v>
      </c>
      <c r="P61" s="156"/>
      <c r="Q61" s="160"/>
      <c r="R61" s="105"/>
    </row>
    <row r="62" spans="1:18" ht="33" customHeight="1" thickBot="1" x14ac:dyDescent="0.5">
      <c r="A62" s="55" t="s">
        <v>391</v>
      </c>
      <c r="B62" s="45" t="s">
        <v>116</v>
      </c>
      <c r="C62" s="11" t="s">
        <v>267</v>
      </c>
      <c r="D62" s="106">
        <v>20000</v>
      </c>
      <c r="E62" s="106"/>
      <c r="F62" s="106"/>
      <c r="G62" s="106"/>
      <c r="H62" s="106">
        <f t="shared" ref="H62" si="146">D62-(D62*20/100)</f>
        <v>16000</v>
      </c>
      <c r="I62" s="106"/>
      <c r="J62" s="106"/>
      <c r="K62" s="106"/>
      <c r="L62" s="106">
        <f t="shared" ref="L62" si="147">D62-(D62*40/100)</f>
        <v>12000</v>
      </c>
      <c r="M62" s="106"/>
      <c r="N62" s="106"/>
      <c r="O62" s="106"/>
      <c r="P62" s="46" t="s">
        <v>134</v>
      </c>
      <c r="Q62" s="45" t="s">
        <v>10</v>
      </c>
      <c r="R62" s="53" t="s">
        <v>185</v>
      </c>
    </row>
    <row r="63" spans="1:18" ht="47.25" customHeight="1" thickBot="1" x14ac:dyDescent="0.5">
      <c r="A63" s="55" t="s">
        <v>392</v>
      </c>
      <c r="B63" s="45" t="s">
        <v>86</v>
      </c>
      <c r="C63" s="11" t="s">
        <v>267</v>
      </c>
      <c r="D63" s="106">
        <v>50000</v>
      </c>
      <c r="E63" s="106"/>
      <c r="F63" s="106"/>
      <c r="G63" s="106"/>
      <c r="H63" s="106">
        <f t="shared" ref="H63:H74" si="148">D63-(D63*20/100)</f>
        <v>40000</v>
      </c>
      <c r="I63" s="106"/>
      <c r="J63" s="106"/>
      <c r="K63" s="106"/>
      <c r="L63" s="106">
        <f t="shared" ref="L63:L74" si="149">D63-(D63*40/100)</f>
        <v>30000</v>
      </c>
      <c r="M63" s="106"/>
      <c r="N63" s="106"/>
      <c r="O63" s="106"/>
      <c r="P63" s="46" t="s">
        <v>134</v>
      </c>
      <c r="Q63" s="45" t="s">
        <v>10</v>
      </c>
      <c r="R63" s="75" t="s">
        <v>186</v>
      </c>
    </row>
    <row r="64" spans="1:18" ht="36" customHeight="1" thickBot="1" x14ac:dyDescent="0.5">
      <c r="A64" s="55" t="s">
        <v>393</v>
      </c>
      <c r="B64" s="45" t="s">
        <v>117</v>
      </c>
      <c r="C64" s="11" t="s">
        <v>267</v>
      </c>
      <c r="D64" s="106">
        <v>50000</v>
      </c>
      <c r="E64" s="106"/>
      <c r="F64" s="106"/>
      <c r="G64" s="106"/>
      <c r="H64" s="106">
        <f t="shared" ref="H64:H66" si="150">D64-(D64*20/100)</f>
        <v>40000</v>
      </c>
      <c r="I64" s="106"/>
      <c r="J64" s="106"/>
      <c r="K64" s="106"/>
      <c r="L64" s="106">
        <f t="shared" ref="L64:L66" si="151">D64-(D64*40/100)</f>
        <v>30000</v>
      </c>
      <c r="M64" s="106"/>
      <c r="N64" s="106"/>
      <c r="O64" s="106"/>
      <c r="P64" s="46" t="s">
        <v>134</v>
      </c>
      <c r="Q64" s="45" t="s">
        <v>10</v>
      </c>
      <c r="R64" s="75" t="s">
        <v>186</v>
      </c>
    </row>
    <row r="65" spans="1:18" ht="47.25" customHeight="1" thickBot="1" x14ac:dyDescent="0.5">
      <c r="A65" s="55" t="s">
        <v>394</v>
      </c>
      <c r="B65" s="45" t="s">
        <v>88</v>
      </c>
      <c r="C65" s="11" t="s">
        <v>267</v>
      </c>
      <c r="D65" s="106">
        <v>30000</v>
      </c>
      <c r="E65" s="106"/>
      <c r="F65" s="106"/>
      <c r="G65" s="106"/>
      <c r="H65" s="106">
        <f t="shared" si="150"/>
        <v>24000</v>
      </c>
      <c r="I65" s="106"/>
      <c r="J65" s="106"/>
      <c r="K65" s="106"/>
      <c r="L65" s="106">
        <f t="shared" si="151"/>
        <v>18000</v>
      </c>
      <c r="M65" s="106"/>
      <c r="N65" s="106"/>
      <c r="O65" s="106"/>
      <c r="P65" s="46" t="s">
        <v>134</v>
      </c>
      <c r="Q65" s="45" t="s">
        <v>10</v>
      </c>
      <c r="R65" s="53" t="s">
        <v>187</v>
      </c>
    </row>
    <row r="66" spans="1:18" ht="36" customHeight="1" thickBot="1" x14ac:dyDescent="0.5">
      <c r="A66" s="43" t="s">
        <v>395</v>
      </c>
      <c r="B66" s="45" t="s">
        <v>39</v>
      </c>
      <c r="C66" s="45" t="s">
        <v>267</v>
      </c>
      <c r="D66" s="106">
        <v>20000</v>
      </c>
      <c r="E66" s="106"/>
      <c r="F66" s="106"/>
      <c r="G66" s="106"/>
      <c r="H66" s="106">
        <f t="shared" si="150"/>
        <v>16000</v>
      </c>
      <c r="I66" s="106"/>
      <c r="J66" s="106"/>
      <c r="K66" s="106"/>
      <c r="L66" s="106">
        <f t="shared" si="151"/>
        <v>12000</v>
      </c>
      <c r="M66" s="106"/>
      <c r="N66" s="106"/>
      <c r="O66" s="106"/>
      <c r="P66" s="46" t="s">
        <v>134</v>
      </c>
      <c r="Q66" s="45" t="s">
        <v>10</v>
      </c>
      <c r="R66" s="75" t="s">
        <v>186</v>
      </c>
    </row>
    <row r="67" spans="1:18" ht="44.25" thickBot="1" x14ac:dyDescent="0.5">
      <c r="A67" s="55" t="s">
        <v>396</v>
      </c>
      <c r="B67" s="45" t="s">
        <v>40</v>
      </c>
      <c r="C67" s="11" t="s">
        <v>267</v>
      </c>
      <c r="D67" s="106">
        <v>15000</v>
      </c>
      <c r="E67" s="106"/>
      <c r="F67" s="106"/>
      <c r="G67" s="106"/>
      <c r="H67" s="106">
        <f t="shared" si="148"/>
        <v>12000</v>
      </c>
      <c r="I67" s="106"/>
      <c r="J67" s="106"/>
      <c r="K67" s="106"/>
      <c r="L67" s="106">
        <f t="shared" si="149"/>
        <v>9000</v>
      </c>
      <c r="M67" s="106"/>
      <c r="N67" s="106"/>
      <c r="O67" s="106"/>
      <c r="P67" s="46" t="s">
        <v>134</v>
      </c>
      <c r="Q67" s="45" t="s">
        <v>10</v>
      </c>
      <c r="R67" s="75" t="s">
        <v>186</v>
      </c>
    </row>
    <row r="68" spans="1:18" ht="40.5" customHeight="1" thickBot="1" x14ac:dyDescent="0.5">
      <c r="A68" s="43" t="s">
        <v>397</v>
      </c>
      <c r="B68" s="11" t="s">
        <v>59</v>
      </c>
      <c r="C68" s="11" t="s">
        <v>267</v>
      </c>
      <c r="D68" s="106">
        <v>5000</v>
      </c>
      <c r="E68" s="106"/>
      <c r="F68" s="106"/>
      <c r="G68" s="106"/>
      <c r="H68" s="106">
        <f t="shared" si="148"/>
        <v>4000</v>
      </c>
      <c r="I68" s="106"/>
      <c r="J68" s="106"/>
      <c r="K68" s="106"/>
      <c r="L68" s="106">
        <f t="shared" si="149"/>
        <v>3000</v>
      </c>
      <c r="M68" s="106"/>
      <c r="N68" s="106"/>
      <c r="O68" s="106"/>
      <c r="P68" s="46" t="s">
        <v>134</v>
      </c>
      <c r="Q68" s="45" t="s">
        <v>10</v>
      </c>
      <c r="R68" s="53" t="s">
        <v>188</v>
      </c>
    </row>
    <row r="69" spans="1:18" ht="44.25" thickBot="1" x14ac:dyDescent="0.5">
      <c r="A69" s="55" t="s">
        <v>398</v>
      </c>
      <c r="B69" s="78" t="s">
        <v>159</v>
      </c>
      <c r="C69" s="11" t="s">
        <v>267</v>
      </c>
      <c r="D69" s="106">
        <v>30000</v>
      </c>
      <c r="E69" s="106"/>
      <c r="F69" s="106"/>
      <c r="G69" s="106"/>
      <c r="H69" s="106">
        <f t="shared" si="148"/>
        <v>24000</v>
      </c>
      <c r="I69" s="106"/>
      <c r="J69" s="106"/>
      <c r="K69" s="106"/>
      <c r="L69" s="106">
        <f t="shared" si="149"/>
        <v>18000</v>
      </c>
      <c r="M69" s="106"/>
      <c r="N69" s="106"/>
      <c r="O69" s="106"/>
      <c r="P69" s="46" t="s">
        <v>139</v>
      </c>
      <c r="Q69" s="45" t="s">
        <v>10</v>
      </c>
      <c r="R69" s="53" t="s">
        <v>188</v>
      </c>
    </row>
    <row r="70" spans="1:18" ht="37.5" customHeight="1" thickBot="1" x14ac:dyDescent="0.5">
      <c r="A70" s="67" t="s">
        <v>399</v>
      </c>
      <c r="B70" s="50" t="s">
        <v>118</v>
      </c>
      <c r="C70" s="11" t="s">
        <v>267</v>
      </c>
      <c r="D70" s="106">
        <v>15000</v>
      </c>
      <c r="E70" s="106"/>
      <c r="F70" s="106"/>
      <c r="G70" s="106"/>
      <c r="H70" s="106">
        <f t="shared" si="148"/>
        <v>12000</v>
      </c>
      <c r="I70" s="106"/>
      <c r="J70" s="106"/>
      <c r="K70" s="106"/>
      <c r="L70" s="106">
        <f t="shared" si="149"/>
        <v>9000</v>
      </c>
      <c r="M70" s="106"/>
      <c r="N70" s="106"/>
      <c r="O70" s="106"/>
      <c r="P70" s="52" t="s">
        <v>160</v>
      </c>
      <c r="Q70" s="50" t="s">
        <v>10</v>
      </c>
      <c r="R70" s="75" t="s">
        <v>189</v>
      </c>
    </row>
    <row r="71" spans="1:18" ht="44.25" thickBot="1" x14ac:dyDescent="0.5">
      <c r="A71" s="67" t="s">
        <v>400</v>
      </c>
      <c r="B71" s="50" t="s">
        <v>41</v>
      </c>
      <c r="C71" s="11" t="s">
        <v>267</v>
      </c>
      <c r="D71" s="106">
        <v>30000</v>
      </c>
      <c r="E71" s="106"/>
      <c r="F71" s="106"/>
      <c r="G71" s="106"/>
      <c r="H71" s="106">
        <f t="shared" si="148"/>
        <v>24000</v>
      </c>
      <c r="I71" s="106"/>
      <c r="J71" s="106"/>
      <c r="K71" s="106"/>
      <c r="L71" s="106">
        <f t="shared" si="149"/>
        <v>18000</v>
      </c>
      <c r="M71" s="106"/>
      <c r="N71" s="106"/>
      <c r="O71" s="106"/>
      <c r="P71" s="52" t="s">
        <v>160</v>
      </c>
      <c r="Q71" s="50" t="s">
        <v>10</v>
      </c>
      <c r="R71" s="75" t="s">
        <v>189</v>
      </c>
    </row>
    <row r="72" spans="1:18" ht="44.25" thickBot="1" x14ac:dyDescent="0.5">
      <c r="A72" s="67" t="s">
        <v>401</v>
      </c>
      <c r="B72" s="45" t="s">
        <v>63</v>
      </c>
      <c r="C72" s="11" t="s">
        <v>267</v>
      </c>
      <c r="D72" s="106">
        <v>5000</v>
      </c>
      <c r="E72" s="106"/>
      <c r="F72" s="106"/>
      <c r="G72" s="106"/>
      <c r="H72" s="106">
        <f t="shared" si="148"/>
        <v>4000</v>
      </c>
      <c r="I72" s="106"/>
      <c r="J72" s="106"/>
      <c r="K72" s="106"/>
      <c r="L72" s="106">
        <f t="shared" si="149"/>
        <v>3000</v>
      </c>
      <c r="M72" s="106"/>
      <c r="N72" s="106"/>
      <c r="O72" s="106"/>
      <c r="P72" s="46" t="s">
        <v>131</v>
      </c>
      <c r="Q72" s="45" t="s">
        <v>10</v>
      </c>
      <c r="R72" s="53" t="s">
        <v>225</v>
      </c>
    </row>
    <row r="73" spans="1:18" ht="47.25" thickBot="1" x14ac:dyDescent="0.5">
      <c r="A73" s="67" t="s">
        <v>402</v>
      </c>
      <c r="B73" s="44" t="s">
        <v>17</v>
      </c>
      <c r="C73" s="11" t="s">
        <v>267</v>
      </c>
      <c r="D73" s="106">
        <v>15000</v>
      </c>
      <c r="E73" s="106"/>
      <c r="F73" s="106"/>
      <c r="G73" s="106"/>
      <c r="H73" s="106">
        <f t="shared" si="148"/>
        <v>12000</v>
      </c>
      <c r="I73" s="106"/>
      <c r="J73" s="106"/>
      <c r="K73" s="106"/>
      <c r="L73" s="106">
        <f t="shared" si="149"/>
        <v>9000</v>
      </c>
      <c r="M73" s="106"/>
      <c r="N73" s="106"/>
      <c r="O73" s="106"/>
      <c r="P73" s="46" t="s">
        <v>160</v>
      </c>
      <c r="Q73" s="45" t="s">
        <v>10</v>
      </c>
      <c r="R73" s="53" t="s">
        <v>189</v>
      </c>
    </row>
    <row r="74" spans="1:18" ht="39" customHeight="1" thickBot="1" x14ac:dyDescent="0.5">
      <c r="A74" s="55" t="s">
        <v>403</v>
      </c>
      <c r="B74" s="44" t="s">
        <v>18</v>
      </c>
      <c r="C74" s="11" t="s">
        <v>267</v>
      </c>
      <c r="D74" s="106">
        <v>10000</v>
      </c>
      <c r="E74" s="106"/>
      <c r="F74" s="106"/>
      <c r="G74" s="106"/>
      <c r="H74" s="106">
        <f t="shared" si="148"/>
        <v>8000</v>
      </c>
      <c r="I74" s="106"/>
      <c r="J74" s="106"/>
      <c r="K74" s="106"/>
      <c r="L74" s="106">
        <f t="shared" si="149"/>
        <v>6000</v>
      </c>
      <c r="M74" s="106"/>
      <c r="N74" s="106"/>
      <c r="O74" s="106"/>
      <c r="P74" s="46" t="s">
        <v>160</v>
      </c>
      <c r="Q74" s="45" t="s">
        <v>10</v>
      </c>
      <c r="R74" s="53" t="s">
        <v>189</v>
      </c>
    </row>
    <row r="75" spans="1:18" ht="38.25" customHeight="1" thickBot="1" x14ac:dyDescent="0.5">
      <c r="A75" s="180" t="s">
        <v>405</v>
      </c>
      <c r="B75" s="159" t="s">
        <v>65</v>
      </c>
      <c r="C75" s="11" t="s">
        <v>283</v>
      </c>
      <c r="D75" s="45">
        <v>2000</v>
      </c>
      <c r="E75" s="19">
        <f t="shared" ref="E75" si="152">D75-(D75*10/100)</f>
        <v>1800</v>
      </c>
      <c r="F75" s="19">
        <f t="shared" ref="F75" si="153">D75-(D75*20/100)</f>
        <v>1600</v>
      </c>
      <c r="G75" s="19">
        <f t="shared" ref="G75" si="154">D75-(D75*30/100)</f>
        <v>1400</v>
      </c>
      <c r="H75" s="57">
        <f>D75-(D75*10/100)</f>
        <v>1800</v>
      </c>
      <c r="I75" s="57">
        <f t="shared" ref="I75" si="155">H75-(H75*10/100)</f>
        <v>1620</v>
      </c>
      <c r="J75" s="57">
        <f t="shared" ref="J75" si="156">H75-(H75*20/100)</f>
        <v>1440</v>
      </c>
      <c r="K75" s="57">
        <f t="shared" ref="K75" si="157">H75-(H75*30/100)</f>
        <v>1260</v>
      </c>
      <c r="L75" s="57">
        <f>D75-(D75*20/100)</f>
        <v>1600</v>
      </c>
      <c r="M75" s="57">
        <f t="shared" ref="M75" si="158">L75-(L75*10/100)</f>
        <v>1440</v>
      </c>
      <c r="N75" s="57">
        <f t="shared" ref="N75" si="159">L75-(L75*20/100)</f>
        <v>1280</v>
      </c>
      <c r="O75" s="57">
        <f t="shared" ref="O75" si="160">L75-(L75*30/100)</f>
        <v>1120</v>
      </c>
      <c r="P75" s="102" t="s">
        <v>160</v>
      </c>
      <c r="Q75" s="160" t="s">
        <v>25</v>
      </c>
      <c r="R75" s="174" t="s">
        <v>189</v>
      </c>
    </row>
    <row r="76" spans="1:18" ht="29.25" customHeight="1" thickBot="1" x14ac:dyDescent="0.5">
      <c r="A76" s="181"/>
      <c r="B76" s="159"/>
      <c r="C76" s="11" t="s">
        <v>284</v>
      </c>
      <c r="D76" s="57">
        <f t="shared" ref="D76:O76" si="161">D75*50/100</f>
        <v>1000</v>
      </c>
      <c r="E76" s="57">
        <f t="shared" si="161"/>
        <v>900</v>
      </c>
      <c r="F76" s="57">
        <f t="shared" si="161"/>
        <v>800</v>
      </c>
      <c r="G76" s="57">
        <f t="shared" si="161"/>
        <v>700</v>
      </c>
      <c r="H76" s="57">
        <f t="shared" si="161"/>
        <v>900</v>
      </c>
      <c r="I76" s="57">
        <f t="shared" si="161"/>
        <v>810</v>
      </c>
      <c r="J76" s="57">
        <f t="shared" si="161"/>
        <v>720</v>
      </c>
      <c r="K76" s="57">
        <f t="shared" si="161"/>
        <v>630</v>
      </c>
      <c r="L76" s="57">
        <f t="shared" si="161"/>
        <v>800</v>
      </c>
      <c r="M76" s="57">
        <f t="shared" si="161"/>
        <v>720</v>
      </c>
      <c r="N76" s="57">
        <f t="shared" si="161"/>
        <v>640</v>
      </c>
      <c r="O76" s="57">
        <f t="shared" si="161"/>
        <v>560</v>
      </c>
      <c r="P76" s="103"/>
      <c r="Q76" s="160"/>
      <c r="R76" s="174"/>
    </row>
    <row r="77" spans="1:18" ht="35.25" customHeight="1" thickBot="1" x14ac:dyDescent="0.5">
      <c r="A77" s="191" t="s">
        <v>406</v>
      </c>
      <c r="B77" s="159" t="s">
        <v>129</v>
      </c>
      <c r="C77" s="11" t="s">
        <v>283</v>
      </c>
      <c r="D77" s="4">
        <v>1000</v>
      </c>
      <c r="E77" s="57">
        <f t="shared" ref="E77" si="162">D77-(D77*10/100)</f>
        <v>900</v>
      </c>
      <c r="F77" s="57">
        <f t="shared" ref="F77" si="163">D77-(D77*20/100)</f>
        <v>800</v>
      </c>
      <c r="G77" s="57">
        <f t="shared" ref="G77" si="164">D77-(D77*30/100)</f>
        <v>700</v>
      </c>
      <c r="H77" s="57">
        <f>D77-(D77*10/100)</f>
        <v>900</v>
      </c>
      <c r="I77" s="57">
        <f t="shared" ref="I77" si="165">H77-(H77*10/100)</f>
        <v>810</v>
      </c>
      <c r="J77" s="57">
        <f t="shared" ref="J77" si="166">H77-(H77*20/100)</f>
        <v>720</v>
      </c>
      <c r="K77" s="57">
        <f t="shared" ref="K77" si="167">H77-(H77*30/100)</f>
        <v>630</v>
      </c>
      <c r="L77" s="57">
        <f>D77-(D77*20/100)</f>
        <v>800</v>
      </c>
      <c r="M77" s="57">
        <f t="shared" ref="M77" si="168">L77-(L77*10/100)</f>
        <v>720</v>
      </c>
      <c r="N77" s="57">
        <f t="shared" ref="N77" si="169">L77-(L77*20/100)</f>
        <v>640</v>
      </c>
      <c r="O77" s="57">
        <f t="shared" ref="O77" si="170">L77-(L77*30/100)</f>
        <v>560</v>
      </c>
      <c r="P77" s="156" t="s">
        <v>161</v>
      </c>
      <c r="Q77" s="160" t="s">
        <v>25</v>
      </c>
      <c r="R77" s="174" t="s">
        <v>189</v>
      </c>
    </row>
    <row r="78" spans="1:18" ht="24" thickBot="1" x14ac:dyDescent="0.5">
      <c r="A78" s="191"/>
      <c r="B78" s="159"/>
      <c r="C78" s="11" t="s">
        <v>284</v>
      </c>
      <c r="D78" s="57">
        <f t="shared" ref="D78:O78" si="171">D77*50/100</f>
        <v>500</v>
      </c>
      <c r="E78" s="57">
        <f t="shared" si="171"/>
        <v>450</v>
      </c>
      <c r="F78" s="57">
        <f t="shared" si="171"/>
        <v>400</v>
      </c>
      <c r="G78" s="57">
        <f t="shared" si="171"/>
        <v>350</v>
      </c>
      <c r="H78" s="57">
        <f t="shared" si="171"/>
        <v>450</v>
      </c>
      <c r="I78" s="57">
        <f t="shared" si="171"/>
        <v>405</v>
      </c>
      <c r="J78" s="57">
        <f t="shared" si="171"/>
        <v>360</v>
      </c>
      <c r="K78" s="57">
        <f t="shared" si="171"/>
        <v>315</v>
      </c>
      <c r="L78" s="57">
        <f t="shared" si="171"/>
        <v>400</v>
      </c>
      <c r="M78" s="57">
        <f t="shared" si="171"/>
        <v>360</v>
      </c>
      <c r="N78" s="57">
        <f t="shared" si="171"/>
        <v>320</v>
      </c>
      <c r="O78" s="57">
        <f t="shared" si="171"/>
        <v>280</v>
      </c>
      <c r="P78" s="156"/>
      <c r="Q78" s="160"/>
      <c r="R78" s="174"/>
    </row>
    <row r="79" spans="1:18" ht="44.25" thickBot="1" x14ac:dyDescent="0.5">
      <c r="A79" s="55" t="s">
        <v>407</v>
      </c>
      <c r="B79" s="44" t="s">
        <v>404</v>
      </c>
      <c r="C79" s="11" t="s">
        <v>267</v>
      </c>
      <c r="D79" s="106">
        <v>15000</v>
      </c>
      <c r="E79" s="106"/>
      <c r="F79" s="106"/>
      <c r="G79" s="106"/>
      <c r="H79" s="106">
        <f t="shared" ref="H79:H89" si="172">D79-(D79*20/100)</f>
        <v>12000</v>
      </c>
      <c r="I79" s="106"/>
      <c r="J79" s="106"/>
      <c r="K79" s="106"/>
      <c r="L79" s="106">
        <f t="shared" ref="L79:L89" si="173">D79-(D79*40/100)</f>
        <v>9000</v>
      </c>
      <c r="M79" s="106"/>
      <c r="N79" s="106"/>
      <c r="O79" s="106"/>
      <c r="P79" s="46" t="s">
        <v>160</v>
      </c>
      <c r="Q79" s="45" t="s">
        <v>10</v>
      </c>
      <c r="R79" s="53" t="s">
        <v>189</v>
      </c>
    </row>
    <row r="80" spans="1:18" ht="61.5" customHeight="1" thickBot="1" x14ac:dyDescent="0.5">
      <c r="A80" s="55" t="s">
        <v>408</v>
      </c>
      <c r="B80" s="44" t="s">
        <v>89</v>
      </c>
      <c r="C80" s="11" t="s">
        <v>267</v>
      </c>
      <c r="D80" s="106">
        <v>50000</v>
      </c>
      <c r="E80" s="106"/>
      <c r="F80" s="106"/>
      <c r="G80" s="106"/>
      <c r="H80" s="106">
        <f t="shared" si="172"/>
        <v>40000</v>
      </c>
      <c r="I80" s="106"/>
      <c r="J80" s="106"/>
      <c r="K80" s="106"/>
      <c r="L80" s="106">
        <f t="shared" si="173"/>
        <v>30000</v>
      </c>
      <c r="M80" s="106"/>
      <c r="N80" s="106"/>
      <c r="O80" s="106"/>
      <c r="P80" s="46" t="s">
        <v>161</v>
      </c>
      <c r="Q80" s="45" t="s">
        <v>10</v>
      </c>
      <c r="R80" s="53" t="s">
        <v>241</v>
      </c>
    </row>
    <row r="81" spans="1:18" ht="44.25" thickBot="1" x14ac:dyDescent="0.5">
      <c r="A81" s="55" t="s">
        <v>409</v>
      </c>
      <c r="B81" s="78" t="s">
        <v>66</v>
      </c>
      <c r="C81" s="11" t="s">
        <v>267</v>
      </c>
      <c r="D81" s="106">
        <v>30000</v>
      </c>
      <c r="E81" s="106"/>
      <c r="F81" s="106"/>
      <c r="G81" s="106"/>
      <c r="H81" s="106">
        <f t="shared" si="172"/>
        <v>24000</v>
      </c>
      <c r="I81" s="106"/>
      <c r="J81" s="106"/>
      <c r="K81" s="106"/>
      <c r="L81" s="106">
        <f t="shared" si="173"/>
        <v>18000</v>
      </c>
      <c r="M81" s="106"/>
      <c r="N81" s="106"/>
      <c r="O81" s="106"/>
      <c r="P81" s="58" t="s">
        <v>135</v>
      </c>
      <c r="Q81" s="56" t="s">
        <v>10</v>
      </c>
      <c r="R81" s="53" t="s">
        <v>242</v>
      </c>
    </row>
    <row r="82" spans="1:18" ht="70.5" thickBot="1" x14ac:dyDescent="0.5">
      <c r="A82" s="55" t="s">
        <v>410</v>
      </c>
      <c r="B82" s="44" t="s">
        <v>145</v>
      </c>
      <c r="C82" s="11" t="s">
        <v>267</v>
      </c>
      <c r="D82" s="106">
        <v>15000</v>
      </c>
      <c r="E82" s="106"/>
      <c r="F82" s="106"/>
      <c r="G82" s="106"/>
      <c r="H82" s="106">
        <f t="shared" si="172"/>
        <v>12000</v>
      </c>
      <c r="I82" s="106"/>
      <c r="J82" s="106"/>
      <c r="K82" s="106"/>
      <c r="L82" s="106">
        <f t="shared" si="173"/>
        <v>9000</v>
      </c>
      <c r="M82" s="106"/>
      <c r="N82" s="106"/>
      <c r="O82" s="106"/>
      <c r="P82" s="46" t="s">
        <v>161</v>
      </c>
      <c r="Q82" s="45" t="s">
        <v>10</v>
      </c>
      <c r="R82" s="53" t="s">
        <v>242</v>
      </c>
    </row>
    <row r="83" spans="1:18" ht="44.25" thickBot="1" x14ac:dyDescent="0.5">
      <c r="A83" s="55" t="s">
        <v>412</v>
      </c>
      <c r="B83" s="44" t="s">
        <v>67</v>
      </c>
      <c r="C83" s="11" t="s">
        <v>267</v>
      </c>
      <c r="D83" s="106">
        <v>30000</v>
      </c>
      <c r="E83" s="106"/>
      <c r="F83" s="106"/>
      <c r="G83" s="106"/>
      <c r="H83" s="106">
        <f t="shared" si="172"/>
        <v>24000</v>
      </c>
      <c r="I83" s="106"/>
      <c r="J83" s="106"/>
      <c r="K83" s="106"/>
      <c r="L83" s="106">
        <f t="shared" si="173"/>
        <v>18000</v>
      </c>
      <c r="M83" s="106"/>
      <c r="N83" s="106"/>
      <c r="O83" s="106"/>
      <c r="P83" s="46" t="s">
        <v>161</v>
      </c>
      <c r="Q83" s="45" t="s">
        <v>10</v>
      </c>
      <c r="R83" s="53" t="s">
        <v>243</v>
      </c>
    </row>
    <row r="84" spans="1:18" ht="47.25" thickBot="1" x14ac:dyDescent="0.5">
      <c r="A84" s="55" t="s">
        <v>413</v>
      </c>
      <c r="B84" s="44" t="s">
        <v>68</v>
      </c>
      <c r="C84" s="11" t="s">
        <v>267</v>
      </c>
      <c r="D84" s="106">
        <v>30000</v>
      </c>
      <c r="E84" s="106"/>
      <c r="F84" s="106"/>
      <c r="G84" s="106"/>
      <c r="H84" s="106">
        <f t="shared" si="172"/>
        <v>24000</v>
      </c>
      <c r="I84" s="106"/>
      <c r="J84" s="106"/>
      <c r="K84" s="106"/>
      <c r="L84" s="106">
        <f t="shared" si="173"/>
        <v>18000</v>
      </c>
      <c r="M84" s="106"/>
      <c r="N84" s="106"/>
      <c r="O84" s="106"/>
      <c r="P84" s="46" t="s">
        <v>161</v>
      </c>
      <c r="Q84" s="45" t="s">
        <v>10</v>
      </c>
      <c r="R84" s="53" t="s">
        <v>244</v>
      </c>
    </row>
    <row r="85" spans="1:18" ht="44.25" thickBot="1" x14ac:dyDescent="0.5">
      <c r="A85" s="55" t="s">
        <v>414</v>
      </c>
      <c r="B85" s="44" t="s">
        <v>90</v>
      </c>
      <c r="C85" s="11" t="s">
        <v>267</v>
      </c>
      <c r="D85" s="106">
        <v>20000</v>
      </c>
      <c r="E85" s="106"/>
      <c r="F85" s="106"/>
      <c r="G85" s="106"/>
      <c r="H85" s="106">
        <f t="shared" si="172"/>
        <v>16000</v>
      </c>
      <c r="I85" s="106"/>
      <c r="J85" s="106"/>
      <c r="K85" s="106"/>
      <c r="L85" s="106">
        <f t="shared" si="173"/>
        <v>12000</v>
      </c>
      <c r="M85" s="106"/>
      <c r="N85" s="106"/>
      <c r="O85" s="106"/>
      <c r="P85" s="46" t="s">
        <v>134</v>
      </c>
      <c r="Q85" s="45" t="s">
        <v>10</v>
      </c>
      <c r="R85" s="53" t="s">
        <v>245</v>
      </c>
    </row>
    <row r="86" spans="1:18" ht="53.25" customHeight="1" thickBot="1" x14ac:dyDescent="0.5">
      <c r="A86" s="55" t="s">
        <v>415</v>
      </c>
      <c r="B86" s="44" t="s">
        <v>69</v>
      </c>
      <c r="C86" s="11" t="s">
        <v>267</v>
      </c>
      <c r="D86" s="106">
        <v>15000</v>
      </c>
      <c r="E86" s="106"/>
      <c r="F86" s="106"/>
      <c r="G86" s="106"/>
      <c r="H86" s="106">
        <f t="shared" si="172"/>
        <v>12000</v>
      </c>
      <c r="I86" s="106"/>
      <c r="J86" s="106"/>
      <c r="K86" s="106"/>
      <c r="L86" s="106">
        <f t="shared" si="173"/>
        <v>9000</v>
      </c>
      <c r="M86" s="106"/>
      <c r="N86" s="106"/>
      <c r="O86" s="106"/>
      <c r="P86" s="46" t="s">
        <v>161</v>
      </c>
      <c r="Q86" s="45" t="s">
        <v>10</v>
      </c>
      <c r="R86" s="53" t="s">
        <v>246</v>
      </c>
    </row>
    <row r="87" spans="1:18" ht="47.25" thickBot="1" x14ac:dyDescent="0.5">
      <c r="A87" s="49" t="s">
        <v>416</v>
      </c>
      <c r="B87" s="76" t="s">
        <v>91</v>
      </c>
      <c r="C87" s="76" t="s">
        <v>267</v>
      </c>
      <c r="D87" s="143">
        <v>5000</v>
      </c>
      <c r="E87" s="144"/>
      <c r="F87" s="144"/>
      <c r="G87" s="145"/>
      <c r="H87" s="143">
        <f t="shared" si="172"/>
        <v>4000</v>
      </c>
      <c r="I87" s="144"/>
      <c r="J87" s="144"/>
      <c r="K87" s="145"/>
      <c r="L87" s="143">
        <f t="shared" si="173"/>
        <v>3000</v>
      </c>
      <c r="M87" s="144"/>
      <c r="N87" s="144"/>
      <c r="O87" s="145"/>
      <c r="P87" s="50" t="s">
        <v>134</v>
      </c>
      <c r="Q87" s="50" t="s">
        <v>10</v>
      </c>
      <c r="R87" s="53" t="s">
        <v>217</v>
      </c>
    </row>
    <row r="88" spans="1:18" ht="70.5" thickBot="1" x14ac:dyDescent="0.5">
      <c r="A88" s="49" t="s">
        <v>417</v>
      </c>
      <c r="B88" s="76" t="s">
        <v>92</v>
      </c>
      <c r="C88" s="76" t="s">
        <v>267</v>
      </c>
      <c r="D88" s="106">
        <v>1000</v>
      </c>
      <c r="E88" s="106"/>
      <c r="F88" s="106"/>
      <c r="G88" s="106"/>
      <c r="H88" s="106">
        <f t="shared" si="172"/>
        <v>800</v>
      </c>
      <c r="I88" s="106"/>
      <c r="J88" s="106"/>
      <c r="K88" s="106"/>
      <c r="L88" s="106">
        <f t="shared" si="173"/>
        <v>600</v>
      </c>
      <c r="M88" s="106"/>
      <c r="N88" s="106"/>
      <c r="O88" s="106"/>
      <c r="P88" s="50" t="s">
        <v>155</v>
      </c>
      <c r="Q88" s="50" t="s">
        <v>10</v>
      </c>
      <c r="R88" s="53" t="s">
        <v>188</v>
      </c>
    </row>
    <row r="89" spans="1:18" ht="62.25" customHeight="1" thickBot="1" x14ac:dyDescent="0.5">
      <c r="A89" s="49" t="s">
        <v>418</v>
      </c>
      <c r="B89" s="76" t="s">
        <v>93</v>
      </c>
      <c r="C89" s="76" t="s">
        <v>267</v>
      </c>
      <c r="D89" s="106">
        <v>1000</v>
      </c>
      <c r="E89" s="106"/>
      <c r="F89" s="106"/>
      <c r="G89" s="106"/>
      <c r="H89" s="106">
        <f t="shared" si="172"/>
        <v>800</v>
      </c>
      <c r="I89" s="106"/>
      <c r="J89" s="106"/>
      <c r="K89" s="106"/>
      <c r="L89" s="106">
        <f t="shared" si="173"/>
        <v>600</v>
      </c>
      <c r="M89" s="106"/>
      <c r="N89" s="106"/>
      <c r="O89" s="106"/>
      <c r="P89" s="50" t="s">
        <v>155</v>
      </c>
      <c r="Q89" s="50" t="s">
        <v>10</v>
      </c>
      <c r="R89" s="53" t="s">
        <v>188</v>
      </c>
    </row>
    <row r="90" spans="1:18" ht="62.25" customHeight="1" thickBot="1" x14ac:dyDescent="0.5">
      <c r="A90" s="49" t="s">
        <v>419</v>
      </c>
      <c r="B90" s="76" t="s">
        <v>162</v>
      </c>
      <c r="C90" s="76" t="s">
        <v>267</v>
      </c>
      <c r="D90" s="106">
        <v>5000</v>
      </c>
      <c r="E90" s="106"/>
      <c r="F90" s="106"/>
      <c r="G90" s="106"/>
      <c r="H90" s="106">
        <f t="shared" ref="H90" si="174">D90-(D90*20/100)</f>
        <v>4000</v>
      </c>
      <c r="I90" s="106"/>
      <c r="J90" s="106"/>
      <c r="K90" s="106"/>
      <c r="L90" s="106">
        <f t="shared" ref="L90" si="175">D90-(D90*40/100)</f>
        <v>3000</v>
      </c>
      <c r="M90" s="106"/>
      <c r="N90" s="106"/>
      <c r="O90" s="106"/>
      <c r="P90" s="50" t="s">
        <v>155</v>
      </c>
      <c r="Q90" s="50" t="s">
        <v>10</v>
      </c>
      <c r="R90" s="53" t="s">
        <v>188</v>
      </c>
    </row>
    <row r="91" spans="1:18" ht="32.25" customHeight="1" thickBot="1" x14ac:dyDescent="0.5">
      <c r="A91" s="153" t="s">
        <v>420</v>
      </c>
      <c r="B91" s="154" t="s">
        <v>411</v>
      </c>
      <c r="C91" s="11" t="s">
        <v>283</v>
      </c>
      <c r="D91" s="1">
        <v>1000</v>
      </c>
      <c r="E91" s="1">
        <f t="shared" ref="E91" si="176">D91-(D91*10/100)</f>
        <v>900</v>
      </c>
      <c r="F91" s="1">
        <f t="shared" ref="F91" si="177">D91-(D91*20/100)</f>
        <v>800</v>
      </c>
      <c r="G91" s="1">
        <f t="shared" ref="G91" si="178">D91-(D91*30/100)</f>
        <v>700</v>
      </c>
      <c r="H91" s="1">
        <f>D91-(D91*10/100)</f>
        <v>900</v>
      </c>
      <c r="I91" s="1">
        <f t="shared" ref="I91" si="179">H91-(H91*10/100)</f>
        <v>810</v>
      </c>
      <c r="J91" s="1">
        <f t="shared" ref="J91" si="180">H91-(H91*20/100)</f>
        <v>720</v>
      </c>
      <c r="K91" s="1">
        <f t="shared" ref="K91" si="181">H91-(H91*30/100)</f>
        <v>630</v>
      </c>
      <c r="L91" s="1">
        <f>D91-(D91*20/100)</f>
        <v>800</v>
      </c>
      <c r="M91" s="1">
        <f t="shared" ref="M91" si="182">L91-(L91*10/100)</f>
        <v>720</v>
      </c>
      <c r="N91" s="1">
        <f t="shared" ref="N91" si="183">L91-(L91*20/100)</f>
        <v>640</v>
      </c>
      <c r="O91" s="1">
        <f t="shared" ref="O91" si="184">L91-(L91*30/100)</f>
        <v>560</v>
      </c>
      <c r="P91" s="157" t="s">
        <v>134</v>
      </c>
      <c r="Q91" s="155" t="s">
        <v>26</v>
      </c>
      <c r="R91" s="171" t="s">
        <v>188</v>
      </c>
    </row>
    <row r="92" spans="1:18" ht="31.5" customHeight="1" thickBot="1" x14ac:dyDescent="0.5">
      <c r="A92" s="153"/>
      <c r="B92" s="154"/>
      <c r="C92" s="11" t="s">
        <v>284</v>
      </c>
      <c r="D92" s="1">
        <f t="shared" ref="D92:O92" si="185">D91*50/100</f>
        <v>500</v>
      </c>
      <c r="E92" s="1">
        <f t="shared" si="185"/>
        <v>450</v>
      </c>
      <c r="F92" s="1">
        <f t="shared" si="185"/>
        <v>400</v>
      </c>
      <c r="G92" s="1">
        <f t="shared" si="185"/>
        <v>350</v>
      </c>
      <c r="H92" s="1">
        <f t="shared" si="185"/>
        <v>450</v>
      </c>
      <c r="I92" s="1">
        <f t="shared" si="185"/>
        <v>405</v>
      </c>
      <c r="J92" s="1">
        <f t="shared" si="185"/>
        <v>360</v>
      </c>
      <c r="K92" s="1">
        <f t="shared" si="185"/>
        <v>315</v>
      </c>
      <c r="L92" s="1">
        <f t="shared" si="185"/>
        <v>400</v>
      </c>
      <c r="M92" s="1">
        <f t="shared" si="185"/>
        <v>360</v>
      </c>
      <c r="N92" s="1">
        <f t="shared" si="185"/>
        <v>320</v>
      </c>
      <c r="O92" s="1">
        <f t="shared" si="185"/>
        <v>280</v>
      </c>
      <c r="P92" s="157"/>
      <c r="Q92" s="155"/>
      <c r="R92" s="172"/>
    </row>
    <row r="93" spans="1:18" ht="24" thickBot="1" x14ac:dyDescent="0.5">
      <c r="A93" s="191" t="s">
        <v>422</v>
      </c>
      <c r="B93" s="154" t="s">
        <v>34</v>
      </c>
      <c r="C93" s="11" t="s">
        <v>283</v>
      </c>
      <c r="D93" s="4">
        <v>1000</v>
      </c>
      <c r="E93" s="57">
        <f t="shared" ref="E93" si="186">D93-(D93*10/100)</f>
        <v>900</v>
      </c>
      <c r="F93" s="57">
        <f t="shared" ref="F93" si="187">D93-(D93*20/100)</f>
        <v>800</v>
      </c>
      <c r="G93" s="57">
        <f t="shared" ref="G93" si="188">D93-(D93*30/100)</f>
        <v>700</v>
      </c>
      <c r="H93" s="57">
        <f>D93-(D93*10/100)</f>
        <v>900</v>
      </c>
      <c r="I93" s="57">
        <f t="shared" ref="I93" si="189">H93-(H93*10/100)</f>
        <v>810</v>
      </c>
      <c r="J93" s="57">
        <f t="shared" ref="J93" si="190">H93-(H93*20/100)</f>
        <v>720</v>
      </c>
      <c r="K93" s="57">
        <f t="shared" ref="K93" si="191">H93-(H93*30/100)</f>
        <v>630</v>
      </c>
      <c r="L93" s="57">
        <f>D93-(D93*20/100)</f>
        <v>800</v>
      </c>
      <c r="M93" s="57">
        <f t="shared" ref="M93" si="192">L93-(L93*10/100)</f>
        <v>720</v>
      </c>
      <c r="N93" s="57">
        <f t="shared" ref="N93" si="193">L93-(L93*20/100)</f>
        <v>640</v>
      </c>
      <c r="O93" s="57">
        <f t="shared" ref="O93" si="194">L93-(L93*30/100)</f>
        <v>560</v>
      </c>
      <c r="P93" s="200" t="s">
        <v>135</v>
      </c>
      <c r="Q93" s="160" t="s">
        <v>25</v>
      </c>
      <c r="R93" s="171" t="s">
        <v>188</v>
      </c>
    </row>
    <row r="94" spans="1:18" ht="33" customHeight="1" thickBot="1" x14ac:dyDescent="0.5">
      <c r="A94" s="191"/>
      <c r="B94" s="154"/>
      <c r="C94" s="11" t="s">
        <v>284</v>
      </c>
      <c r="D94" s="57">
        <f t="shared" ref="D94:O94" si="195">D93*50/100</f>
        <v>500</v>
      </c>
      <c r="E94" s="57">
        <f t="shared" si="195"/>
        <v>450</v>
      </c>
      <c r="F94" s="57">
        <f t="shared" si="195"/>
        <v>400</v>
      </c>
      <c r="G94" s="57">
        <f t="shared" si="195"/>
        <v>350</v>
      </c>
      <c r="H94" s="57">
        <f t="shared" si="195"/>
        <v>450</v>
      </c>
      <c r="I94" s="57">
        <f t="shared" si="195"/>
        <v>405</v>
      </c>
      <c r="J94" s="57">
        <f t="shared" si="195"/>
        <v>360</v>
      </c>
      <c r="K94" s="57">
        <f t="shared" si="195"/>
        <v>315</v>
      </c>
      <c r="L94" s="57">
        <f t="shared" si="195"/>
        <v>400</v>
      </c>
      <c r="M94" s="57">
        <f t="shared" si="195"/>
        <v>360</v>
      </c>
      <c r="N94" s="57">
        <f t="shared" si="195"/>
        <v>320</v>
      </c>
      <c r="O94" s="57">
        <f t="shared" si="195"/>
        <v>280</v>
      </c>
      <c r="P94" s="200"/>
      <c r="Q94" s="160"/>
      <c r="R94" s="172"/>
    </row>
    <row r="95" spans="1:18" s="22" customFormat="1" ht="60" customHeight="1" thickBot="1" x14ac:dyDescent="0.25">
      <c r="A95" s="55" t="s">
        <v>423</v>
      </c>
      <c r="B95" s="44" t="s">
        <v>44</v>
      </c>
      <c r="C95" s="11" t="s">
        <v>267</v>
      </c>
      <c r="D95" s="106">
        <v>40000</v>
      </c>
      <c r="E95" s="106"/>
      <c r="F95" s="106"/>
      <c r="G95" s="106"/>
      <c r="H95" s="106">
        <f>D95-(D95*20/100)</f>
        <v>32000</v>
      </c>
      <c r="I95" s="106"/>
      <c r="J95" s="106"/>
      <c r="K95" s="106"/>
      <c r="L95" s="106">
        <f>D95-(D95*40/100)</f>
        <v>24000</v>
      </c>
      <c r="M95" s="106"/>
      <c r="N95" s="106"/>
      <c r="O95" s="106"/>
      <c r="P95" s="46" t="s">
        <v>134</v>
      </c>
      <c r="Q95" s="45" t="s">
        <v>10</v>
      </c>
      <c r="R95" s="53" t="s">
        <v>192</v>
      </c>
    </row>
    <row r="96" spans="1:18" s="22" customFormat="1" ht="60" customHeight="1" thickBot="1" x14ac:dyDescent="0.25">
      <c r="A96" s="55" t="s">
        <v>424</v>
      </c>
      <c r="B96" s="78" t="s">
        <v>74</v>
      </c>
      <c r="C96" s="11" t="s">
        <v>267</v>
      </c>
      <c r="D96" s="106">
        <v>20000</v>
      </c>
      <c r="E96" s="106"/>
      <c r="F96" s="106"/>
      <c r="G96" s="106"/>
      <c r="H96" s="106">
        <f>D96-(D96*20/100)</f>
        <v>16000</v>
      </c>
      <c r="I96" s="106"/>
      <c r="J96" s="106"/>
      <c r="K96" s="106"/>
      <c r="L96" s="106">
        <f>D96-(D96*40/100)</f>
        <v>12000</v>
      </c>
      <c r="M96" s="106"/>
      <c r="N96" s="106"/>
      <c r="O96" s="106"/>
      <c r="P96" s="46" t="s">
        <v>134</v>
      </c>
      <c r="Q96" s="45" t="s">
        <v>10</v>
      </c>
      <c r="R96" s="53" t="s">
        <v>192</v>
      </c>
    </row>
    <row r="97" spans="1:18" s="22" customFormat="1" ht="60" customHeight="1" thickBot="1" x14ac:dyDescent="0.25">
      <c r="A97" s="77" t="s">
        <v>425</v>
      </c>
      <c r="B97" s="59" t="s">
        <v>94</v>
      </c>
      <c r="C97" s="60" t="s">
        <v>267</v>
      </c>
      <c r="D97" s="122">
        <v>10000</v>
      </c>
      <c r="E97" s="122"/>
      <c r="F97" s="122"/>
      <c r="G97" s="122"/>
      <c r="H97" s="122">
        <f>D97-(D97*20/100)</f>
        <v>8000</v>
      </c>
      <c r="I97" s="122"/>
      <c r="J97" s="122"/>
      <c r="K97" s="122"/>
      <c r="L97" s="122">
        <f>D97-(D97*40/100)</f>
        <v>6000</v>
      </c>
      <c r="M97" s="122"/>
      <c r="N97" s="122"/>
      <c r="O97" s="122"/>
      <c r="P97" s="46" t="s">
        <v>134</v>
      </c>
      <c r="Q97" s="62" t="s">
        <v>10</v>
      </c>
      <c r="R97" s="54" t="s">
        <v>247</v>
      </c>
    </row>
    <row r="98" spans="1:18" s="22" customFormat="1" ht="60" customHeight="1" thickBot="1" x14ac:dyDescent="0.25">
      <c r="A98" s="136" t="s">
        <v>426</v>
      </c>
      <c r="B98" s="138" t="s">
        <v>95</v>
      </c>
      <c r="C98" s="11" t="s">
        <v>283</v>
      </c>
      <c r="D98" s="66">
        <v>1000</v>
      </c>
      <c r="E98" s="66">
        <f t="shared" ref="E98" si="196">D98-(D98*10/100)</f>
        <v>900</v>
      </c>
      <c r="F98" s="66">
        <f t="shared" ref="F98" si="197">D98-(D98*20/100)</f>
        <v>800</v>
      </c>
      <c r="G98" s="66">
        <f t="shared" ref="G98" si="198">D98-(D98*30/100)</f>
        <v>700</v>
      </c>
      <c r="H98" s="66">
        <f>D98-(D98*10/100)</f>
        <v>900</v>
      </c>
      <c r="I98" s="66">
        <f t="shared" ref="I98" si="199">H98-(H98*10/100)</f>
        <v>810</v>
      </c>
      <c r="J98" s="66">
        <f t="shared" ref="J98" si="200">H98-(H98*20/100)</f>
        <v>720</v>
      </c>
      <c r="K98" s="66">
        <f t="shared" ref="K98" si="201">H98-(H98*30/100)</f>
        <v>630</v>
      </c>
      <c r="L98" s="66">
        <f>D98-(D98*20/100)</f>
        <v>800</v>
      </c>
      <c r="M98" s="66">
        <f t="shared" ref="M98" si="202">L98-(L98*10/100)</f>
        <v>720</v>
      </c>
      <c r="N98" s="66">
        <f t="shared" ref="N98" si="203">L98-(L98*20/100)</f>
        <v>640</v>
      </c>
      <c r="O98" s="66">
        <f t="shared" ref="O98" si="204">L98-(L98*30/100)</f>
        <v>560</v>
      </c>
      <c r="P98" s="134" t="s">
        <v>131</v>
      </c>
      <c r="Q98" s="140" t="s">
        <v>25</v>
      </c>
      <c r="R98" s="123" t="s">
        <v>192</v>
      </c>
    </row>
    <row r="99" spans="1:18" s="22" customFormat="1" ht="60" customHeight="1" thickBot="1" x14ac:dyDescent="0.25">
      <c r="A99" s="137"/>
      <c r="B99" s="139"/>
      <c r="C99" s="11" t="s">
        <v>284</v>
      </c>
      <c r="D99" s="64">
        <f t="shared" ref="D99:O99" si="205">D98*50/100</f>
        <v>500</v>
      </c>
      <c r="E99" s="64">
        <f t="shared" si="205"/>
        <v>450</v>
      </c>
      <c r="F99" s="64">
        <f t="shared" si="205"/>
        <v>400</v>
      </c>
      <c r="G99" s="64">
        <f t="shared" si="205"/>
        <v>350</v>
      </c>
      <c r="H99" s="64">
        <f t="shared" si="205"/>
        <v>450</v>
      </c>
      <c r="I99" s="64">
        <f t="shared" si="205"/>
        <v>405</v>
      </c>
      <c r="J99" s="64">
        <f t="shared" si="205"/>
        <v>360</v>
      </c>
      <c r="K99" s="64">
        <f t="shared" si="205"/>
        <v>315</v>
      </c>
      <c r="L99" s="64">
        <f t="shared" si="205"/>
        <v>400</v>
      </c>
      <c r="M99" s="64">
        <f t="shared" si="205"/>
        <v>360</v>
      </c>
      <c r="N99" s="64">
        <f t="shared" si="205"/>
        <v>320</v>
      </c>
      <c r="O99" s="64">
        <f t="shared" si="205"/>
        <v>280</v>
      </c>
      <c r="P99" s="135"/>
      <c r="Q99" s="131"/>
      <c r="R99" s="124"/>
    </row>
    <row r="100" spans="1:18" s="22" customFormat="1" ht="60" customHeight="1" thickBot="1" x14ac:dyDescent="0.25">
      <c r="A100" s="73" t="s">
        <v>427</v>
      </c>
      <c r="B100" s="74" t="s">
        <v>119</v>
      </c>
      <c r="C100" s="63" t="s">
        <v>267</v>
      </c>
      <c r="D100" s="106">
        <v>5000</v>
      </c>
      <c r="E100" s="106"/>
      <c r="F100" s="106"/>
      <c r="G100" s="106"/>
      <c r="H100" s="106">
        <f>D100-(D100*20/100)</f>
        <v>4000</v>
      </c>
      <c r="I100" s="106"/>
      <c r="J100" s="106"/>
      <c r="K100" s="106"/>
      <c r="L100" s="106">
        <f>D100-(D100*40/100)</f>
        <v>3000</v>
      </c>
      <c r="M100" s="106"/>
      <c r="N100" s="106"/>
      <c r="O100" s="106"/>
      <c r="P100" s="72" t="s">
        <v>135</v>
      </c>
      <c r="Q100" s="71" t="s">
        <v>10</v>
      </c>
      <c r="R100" s="70" t="s">
        <v>187</v>
      </c>
    </row>
    <row r="101" spans="1:18" s="22" customFormat="1" ht="60" customHeight="1" x14ac:dyDescent="0.2">
      <c r="A101" s="127" t="s">
        <v>428</v>
      </c>
      <c r="B101" s="129" t="s">
        <v>421</v>
      </c>
      <c r="C101" s="129" t="s">
        <v>267</v>
      </c>
      <c r="D101" s="141">
        <v>15000</v>
      </c>
      <c r="E101" s="141"/>
      <c r="F101" s="141"/>
      <c r="G101" s="141"/>
      <c r="H101" s="141">
        <f t="shared" ref="H101" si="206">D101-(D101*20/100)</f>
        <v>12000</v>
      </c>
      <c r="I101" s="141"/>
      <c r="J101" s="141"/>
      <c r="K101" s="141"/>
      <c r="L101" s="141">
        <f t="shared" ref="L101" si="207">D101-(D101*40/100)</f>
        <v>9000</v>
      </c>
      <c r="M101" s="141"/>
      <c r="N101" s="141"/>
      <c r="O101" s="141"/>
      <c r="P101" s="214" t="s">
        <v>131</v>
      </c>
      <c r="Q101" s="131" t="s">
        <v>10</v>
      </c>
      <c r="R101" s="124" t="s">
        <v>187</v>
      </c>
    </row>
    <row r="102" spans="1:18" s="22" customFormat="1" ht="60" customHeight="1" thickBot="1" x14ac:dyDescent="0.25">
      <c r="A102" s="128"/>
      <c r="B102" s="130"/>
      <c r="C102" s="130"/>
      <c r="D102" s="142"/>
      <c r="E102" s="142"/>
      <c r="F102" s="142"/>
      <c r="G102" s="142"/>
      <c r="H102" s="142"/>
      <c r="I102" s="142"/>
      <c r="J102" s="142"/>
      <c r="K102" s="142"/>
      <c r="L102" s="142"/>
      <c r="M102" s="142"/>
      <c r="N102" s="142"/>
      <c r="O102" s="142"/>
      <c r="P102" s="215"/>
      <c r="Q102" s="132"/>
      <c r="R102" s="133"/>
    </row>
    <row r="103" spans="1:18" s="22" customFormat="1" ht="60" customHeight="1" thickBot="1" x14ac:dyDescent="0.25">
      <c r="A103" s="211" t="s">
        <v>49</v>
      </c>
      <c r="B103" s="212"/>
      <c r="C103" s="212"/>
      <c r="D103" s="212"/>
      <c r="E103" s="212"/>
      <c r="F103" s="212"/>
      <c r="G103" s="212"/>
      <c r="H103" s="212"/>
      <c r="I103" s="212"/>
      <c r="J103" s="212"/>
      <c r="K103" s="212"/>
      <c r="L103" s="212"/>
      <c r="M103" s="212"/>
      <c r="N103" s="212"/>
      <c r="O103" s="212"/>
      <c r="P103" s="212"/>
      <c r="Q103" s="212"/>
      <c r="R103" s="212"/>
    </row>
    <row r="104" spans="1:18" s="22" customFormat="1" ht="60" customHeight="1" thickBot="1" x14ac:dyDescent="0.25">
      <c r="A104" s="55" t="s">
        <v>430</v>
      </c>
      <c r="B104" s="76" t="s">
        <v>35</v>
      </c>
      <c r="C104" s="76" t="s">
        <v>267</v>
      </c>
      <c r="D104" s="106">
        <v>1000</v>
      </c>
      <c r="E104" s="106"/>
      <c r="F104" s="106"/>
      <c r="G104" s="106"/>
      <c r="H104" s="106">
        <f t="shared" ref="H104:H115" si="208">D104-(D104*20/100)</f>
        <v>800</v>
      </c>
      <c r="I104" s="106"/>
      <c r="J104" s="106"/>
      <c r="K104" s="106"/>
      <c r="L104" s="106">
        <f t="shared" ref="L104:L115" si="209">D104-(D104*40/100)</f>
        <v>600</v>
      </c>
      <c r="M104" s="106"/>
      <c r="N104" s="106"/>
      <c r="O104" s="106"/>
      <c r="P104" s="46" t="s">
        <v>155</v>
      </c>
      <c r="Q104" s="45" t="s">
        <v>10</v>
      </c>
      <c r="R104" s="53" t="s">
        <v>192</v>
      </c>
    </row>
    <row r="105" spans="1:18" ht="47.25" thickBot="1" x14ac:dyDescent="0.5">
      <c r="A105" s="55" t="s">
        <v>431</v>
      </c>
      <c r="B105" s="3" t="s">
        <v>163</v>
      </c>
      <c r="C105" s="76" t="s">
        <v>267</v>
      </c>
      <c r="D105" s="106">
        <v>5000</v>
      </c>
      <c r="E105" s="106"/>
      <c r="F105" s="106"/>
      <c r="G105" s="106"/>
      <c r="H105" s="106">
        <f t="shared" si="208"/>
        <v>4000</v>
      </c>
      <c r="I105" s="106"/>
      <c r="J105" s="106"/>
      <c r="K105" s="106"/>
      <c r="L105" s="106">
        <f t="shared" si="209"/>
        <v>3000</v>
      </c>
      <c r="M105" s="106"/>
      <c r="N105" s="106"/>
      <c r="O105" s="106"/>
      <c r="P105" s="6" t="s">
        <v>135</v>
      </c>
      <c r="Q105" s="2" t="s">
        <v>10</v>
      </c>
      <c r="R105" s="53" t="s">
        <v>192</v>
      </c>
    </row>
    <row r="106" spans="1:18" s="22" customFormat="1" ht="51.75" customHeight="1" thickBot="1" x14ac:dyDescent="0.25">
      <c r="A106" s="55" t="s">
        <v>432</v>
      </c>
      <c r="B106" s="44" t="s">
        <v>120</v>
      </c>
      <c r="C106" s="76" t="s">
        <v>267</v>
      </c>
      <c r="D106" s="106">
        <v>100000</v>
      </c>
      <c r="E106" s="106"/>
      <c r="F106" s="106"/>
      <c r="G106" s="106"/>
      <c r="H106" s="106">
        <f t="shared" si="208"/>
        <v>80000</v>
      </c>
      <c r="I106" s="106"/>
      <c r="J106" s="106"/>
      <c r="K106" s="106"/>
      <c r="L106" s="106">
        <f t="shared" si="209"/>
        <v>60000</v>
      </c>
      <c r="M106" s="106"/>
      <c r="N106" s="106"/>
      <c r="O106" s="106"/>
      <c r="P106" s="6" t="s">
        <v>135</v>
      </c>
      <c r="Q106" s="45" t="s">
        <v>10</v>
      </c>
      <c r="R106" s="53" t="s">
        <v>192</v>
      </c>
    </row>
    <row r="107" spans="1:18" ht="35.25" customHeight="1" thickBot="1" x14ac:dyDescent="0.5">
      <c r="A107" s="55" t="s">
        <v>433</v>
      </c>
      <c r="B107" s="20" t="s">
        <v>70</v>
      </c>
      <c r="C107" s="76" t="s">
        <v>267</v>
      </c>
      <c r="D107" s="113">
        <v>5000</v>
      </c>
      <c r="E107" s="114"/>
      <c r="F107" s="114"/>
      <c r="G107" s="115"/>
      <c r="H107" s="113">
        <f t="shared" si="208"/>
        <v>4000</v>
      </c>
      <c r="I107" s="114"/>
      <c r="J107" s="114"/>
      <c r="K107" s="115"/>
      <c r="L107" s="113">
        <f t="shared" si="209"/>
        <v>3000</v>
      </c>
      <c r="M107" s="114"/>
      <c r="N107" s="114"/>
      <c r="O107" s="115"/>
      <c r="P107" s="58" t="s">
        <v>131</v>
      </c>
      <c r="Q107" s="56" t="s">
        <v>10</v>
      </c>
      <c r="R107" s="53" t="s">
        <v>192</v>
      </c>
    </row>
    <row r="108" spans="1:18" ht="40.5" customHeight="1" thickBot="1" x14ac:dyDescent="0.5">
      <c r="A108" s="55" t="s">
        <v>434</v>
      </c>
      <c r="B108" s="20" t="s">
        <v>55</v>
      </c>
      <c r="C108" s="76" t="s">
        <v>267</v>
      </c>
      <c r="D108" s="116">
        <v>50000</v>
      </c>
      <c r="E108" s="117"/>
      <c r="F108" s="117"/>
      <c r="G108" s="118"/>
      <c r="H108" s="114">
        <f t="shared" si="208"/>
        <v>40000</v>
      </c>
      <c r="I108" s="114"/>
      <c r="J108" s="114"/>
      <c r="K108" s="115"/>
      <c r="L108" s="113">
        <f t="shared" si="209"/>
        <v>30000</v>
      </c>
      <c r="M108" s="114"/>
      <c r="N108" s="114"/>
      <c r="O108" s="115"/>
      <c r="P108" s="58" t="s">
        <v>149</v>
      </c>
      <c r="Q108" s="56" t="s">
        <v>10</v>
      </c>
      <c r="R108" s="53" t="s">
        <v>192</v>
      </c>
    </row>
    <row r="109" spans="1:18" ht="44.25" thickBot="1" x14ac:dyDescent="0.5">
      <c r="A109" s="55" t="s">
        <v>435</v>
      </c>
      <c r="B109" s="20" t="s">
        <v>56</v>
      </c>
      <c r="C109" s="76" t="s">
        <v>267</v>
      </c>
      <c r="D109" s="119">
        <v>15000</v>
      </c>
      <c r="E109" s="120"/>
      <c r="F109" s="120"/>
      <c r="G109" s="121"/>
      <c r="H109" s="114">
        <f t="shared" si="208"/>
        <v>12000</v>
      </c>
      <c r="I109" s="114"/>
      <c r="J109" s="114"/>
      <c r="K109" s="115"/>
      <c r="L109" s="113">
        <f t="shared" si="209"/>
        <v>9000</v>
      </c>
      <c r="M109" s="114"/>
      <c r="N109" s="114"/>
      <c r="O109" s="115"/>
      <c r="P109" s="58" t="s">
        <v>134</v>
      </c>
      <c r="Q109" s="56" t="s">
        <v>10</v>
      </c>
      <c r="R109" s="53" t="s">
        <v>192</v>
      </c>
    </row>
    <row r="110" spans="1:18" ht="47.25" thickBot="1" x14ac:dyDescent="0.5">
      <c r="A110" s="55" t="s">
        <v>436</v>
      </c>
      <c r="B110" s="20" t="s">
        <v>168</v>
      </c>
      <c r="C110" s="76" t="s">
        <v>267</v>
      </c>
      <c r="D110" s="113">
        <v>5000</v>
      </c>
      <c r="E110" s="114"/>
      <c r="F110" s="114"/>
      <c r="G110" s="115"/>
      <c r="H110" s="114">
        <f t="shared" si="208"/>
        <v>4000</v>
      </c>
      <c r="I110" s="114"/>
      <c r="J110" s="114"/>
      <c r="K110" s="115"/>
      <c r="L110" s="113">
        <f t="shared" si="209"/>
        <v>3000</v>
      </c>
      <c r="M110" s="114"/>
      <c r="N110" s="114"/>
      <c r="O110" s="115"/>
      <c r="P110" s="58" t="s">
        <v>131</v>
      </c>
      <c r="Q110" s="56" t="s">
        <v>10</v>
      </c>
      <c r="R110" s="53" t="s">
        <v>192</v>
      </c>
    </row>
    <row r="111" spans="1:18" ht="44.25" thickBot="1" x14ac:dyDescent="0.5">
      <c r="A111" s="43" t="s">
        <v>437</v>
      </c>
      <c r="B111" s="20" t="s">
        <v>98</v>
      </c>
      <c r="C111" s="76" t="s">
        <v>267</v>
      </c>
      <c r="D111" s="113">
        <v>10000</v>
      </c>
      <c r="E111" s="114"/>
      <c r="F111" s="114"/>
      <c r="G111" s="115"/>
      <c r="H111" s="114">
        <f t="shared" si="208"/>
        <v>8000</v>
      </c>
      <c r="I111" s="114"/>
      <c r="J111" s="114"/>
      <c r="K111" s="115"/>
      <c r="L111" s="113">
        <f t="shared" si="209"/>
        <v>6000</v>
      </c>
      <c r="M111" s="114"/>
      <c r="N111" s="114"/>
      <c r="O111" s="115"/>
      <c r="P111" s="58" t="s">
        <v>131</v>
      </c>
      <c r="Q111" s="56" t="s">
        <v>10</v>
      </c>
      <c r="R111" s="53" t="s">
        <v>192</v>
      </c>
    </row>
    <row r="112" spans="1:18" ht="44.25" thickBot="1" x14ac:dyDescent="0.5">
      <c r="A112" s="43" t="s">
        <v>438</v>
      </c>
      <c r="B112" s="20" t="s">
        <v>99</v>
      </c>
      <c r="C112" s="76" t="s">
        <v>267</v>
      </c>
      <c r="D112" s="113">
        <v>5000</v>
      </c>
      <c r="E112" s="114"/>
      <c r="F112" s="114"/>
      <c r="G112" s="115"/>
      <c r="H112" s="114">
        <f t="shared" si="208"/>
        <v>4000</v>
      </c>
      <c r="I112" s="114"/>
      <c r="J112" s="114"/>
      <c r="K112" s="115"/>
      <c r="L112" s="113">
        <f t="shared" si="209"/>
        <v>3000</v>
      </c>
      <c r="M112" s="114"/>
      <c r="N112" s="114"/>
      <c r="O112" s="115"/>
      <c r="P112" s="58" t="s">
        <v>131</v>
      </c>
      <c r="Q112" s="56" t="s">
        <v>10</v>
      </c>
      <c r="R112" s="53" t="s">
        <v>193</v>
      </c>
    </row>
    <row r="113" spans="1:18" ht="44.25" thickBot="1" x14ac:dyDescent="0.5">
      <c r="A113" s="43" t="s">
        <v>439</v>
      </c>
      <c r="B113" s="44" t="s">
        <v>429</v>
      </c>
      <c r="C113" s="76" t="s">
        <v>267</v>
      </c>
      <c r="D113" s="106">
        <v>5000</v>
      </c>
      <c r="E113" s="106"/>
      <c r="F113" s="106"/>
      <c r="G113" s="106"/>
      <c r="H113" s="106">
        <f t="shared" si="208"/>
        <v>4000</v>
      </c>
      <c r="I113" s="106"/>
      <c r="J113" s="106"/>
      <c r="K113" s="106"/>
      <c r="L113" s="106">
        <f t="shared" si="209"/>
        <v>3000</v>
      </c>
      <c r="M113" s="106"/>
      <c r="N113" s="106"/>
      <c r="O113" s="106"/>
      <c r="P113" s="58" t="s">
        <v>131</v>
      </c>
      <c r="Q113" s="45" t="s">
        <v>10</v>
      </c>
      <c r="R113" s="53" t="s">
        <v>193</v>
      </c>
    </row>
    <row r="114" spans="1:18" ht="44.25" thickBot="1" x14ac:dyDescent="0.5">
      <c r="A114" s="43" t="s">
        <v>440</v>
      </c>
      <c r="B114" s="44" t="s">
        <v>170</v>
      </c>
      <c r="C114" s="76" t="s">
        <v>267</v>
      </c>
      <c r="D114" s="106">
        <v>20000</v>
      </c>
      <c r="E114" s="106"/>
      <c r="F114" s="106"/>
      <c r="G114" s="106"/>
      <c r="H114" s="106">
        <f t="shared" si="208"/>
        <v>16000</v>
      </c>
      <c r="I114" s="106"/>
      <c r="J114" s="106"/>
      <c r="K114" s="106"/>
      <c r="L114" s="106">
        <f t="shared" si="209"/>
        <v>12000</v>
      </c>
      <c r="M114" s="106"/>
      <c r="N114" s="106"/>
      <c r="O114" s="106"/>
      <c r="P114" s="46" t="s">
        <v>135</v>
      </c>
      <c r="Q114" s="45" t="s">
        <v>10</v>
      </c>
      <c r="R114" s="47" t="s">
        <v>195</v>
      </c>
    </row>
    <row r="115" spans="1:18" ht="44.25" thickBot="1" x14ac:dyDescent="0.5">
      <c r="A115" s="43" t="s">
        <v>441</v>
      </c>
      <c r="B115" s="44" t="s">
        <v>53</v>
      </c>
      <c r="C115" s="76" t="s">
        <v>267</v>
      </c>
      <c r="D115" s="106">
        <v>30000</v>
      </c>
      <c r="E115" s="106"/>
      <c r="F115" s="106"/>
      <c r="G115" s="106"/>
      <c r="H115" s="106">
        <f t="shared" si="208"/>
        <v>24000</v>
      </c>
      <c r="I115" s="106"/>
      <c r="J115" s="106"/>
      <c r="K115" s="106"/>
      <c r="L115" s="106">
        <f t="shared" si="209"/>
        <v>18000</v>
      </c>
      <c r="M115" s="106"/>
      <c r="N115" s="106"/>
      <c r="O115" s="106"/>
      <c r="P115" s="52" t="s">
        <v>135</v>
      </c>
      <c r="Q115" s="45" t="s">
        <v>10</v>
      </c>
      <c r="R115" s="47" t="s">
        <v>195</v>
      </c>
    </row>
  </sheetData>
  <mergeCells count="325">
    <mergeCell ref="Q14:Q15"/>
    <mergeCell ref="P14:P15"/>
    <mergeCell ref="B14:B15"/>
    <mergeCell ref="A14:A15"/>
    <mergeCell ref="A17:A18"/>
    <mergeCell ref="B17:B18"/>
    <mergeCell ref="R17:R18"/>
    <mergeCell ref="Q17:Q18"/>
    <mergeCell ref="P17:P18"/>
    <mergeCell ref="B98:B99"/>
    <mergeCell ref="P98:P99"/>
    <mergeCell ref="Q98:Q99"/>
    <mergeCell ref="D104:G104"/>
    <mergeCell ref="H104:K104"/>
    <mergeCell ref="L104:O104"/>
    <mergeCell ref="D105:G105"/>
    <mergeCell ref="H105:K105"/>
    <mergeCell ref="L105:O105"/>
    <mergeCell ref="D100:G100"/>
    <mergeCell ref="H100:K100"/>
    <mergeCell ref="L100:O100"/>
    <mergeCell ref="D114:G114"/>
    <mergeCell ref="H114:K114"/>
    <mergeCell ref="L114:O114"/>
    <mergeCell ref="D115:G115"/>
    <mergeCell ref="H115:K115"/>
    <mergeCell ref="L115:O115"/>
    <mergeCell ref="L109:O109"/>
    <mergeCell ref="D106:G106"/>
    <mergeCell ref="H106:K106"/>
    <mergeCell ref="L106:O106"/>
    <mergeCell ref="D113:G113"/>
    <mergeCell ref="H113:K113"/>
    <mergeCell ref="L113:O113"/>
    <mergeCell ref="H109:K109"/>
    <mergeCell ref="A101:A102"/>
    <mergeCell ref="B101:B102"/>
    <mergeCell ref="C101:C102"/>
    <mergeCell ref="D101:G102"/>
    <mergeCell ref="H101:K102"/>
    <mergeCell ref="L101:O102"/>
    <mergeCell ref="P101:P102"/>
    <mergeCell ref="Q101:Q102"/>
    <mergeCell ref="R101:R102"/>
    <mergeCell ref="R4:R5"/>
    <mergeCell ref="D90:G90"/>
    <mergeCell ref="H90:K90"/>
    <mergeCell ref="L90:O90"/>
    <mergeCell ref="A103:R103"/>
    <mergeCell ref="A98:A99"/>
    <mergeCell ref="D89:G89"/>
    <mergeCell ref="H89:K89"/>
    <mergeCell ref="L89:O89"/>
    <mergeCell ref="A91:A92"/>
    <mergeCell ref="B91:B92"/>
    <mergeCell ref="P91:P92"/>
    <mergeCell ref="Q91:Q92"/>
    <mergeCell ref="R91:R92"/>
    <mergeCell ref="R93:R94"/>
    <mergeCell ref="A93:A94"/>
    <mergeCell ref="B93:B94"/>
    <mergeCell ref="Q93:Q94"/>
    <mergeCell ref="D97:G97"/>
    <mergeCell ref="H97:K97"/>
    <mergeCell ref="L97:O97"/>
    <mergeCell ref="D96:G96"/>
    <mergeCell ref="H96:K96"/>
    <mergeCell ref="R98:R99"/>
    <mergeCell ref="R77:R78"/>
    <mergeCell ref="R75:R76"/>
    <mergeCell ref="R52:R53"/>
    <mergeCell ref="R50:R51"/>
    <mergeCell ref="A3:R3"/>
    <mergeCell ref="A2:R2"/>
    <mergeCell ref="A1:R1"/>
    <mergeCell ref="A29:R29"/>
    <mergeCell ref="D26:G26"/>
    <mergeCell ref="H26:K26"/>
    <mergeCell ref="L26:O26"/>
    <mergeCell ref="A27:A28"/>
    <mergeCell ref="B27:B28"/>
    <mergeCell ref="Q27:Q28"/>
    <mergeCell ref="R27:R28"/>
    <mergeCell ref="R21:R22"/>
    <mergeCell ref="P21:P22"/>
    <mergeCell ref="A7:A8"/>
    <mergeCell ref="B7:B8"/>
    <mergeCell ref="Q7:Q8"/>
    <mergeCell ref="A21:A22"/>
    <mergeCell ref="B21:B22"/>
    <mergeCell ref="Q21:Q22"/>
    <mergeCell ref="D12:G12"/>
    <mergeCell ref="R7:R8"/>
    <mergeCell ref="R9:R10"/>
    <mergeCell ref="R38:R39"/>
    <mergeCell ref="R45:R46"/>
    <mergeCell ref="R43:R44"/>
    <mergeCell ref="R30:R31"/>
    <mergeCell ref="R32:R33"/>
    <mergeCell ref="R34:R35"/>
    <mergeCell ref="R60:R61"/>
    <mergeCell ref="R14:R15"/>
    <mergeCell ref="P30:P31"/>
    <mergeCell ref="Q30:Q31"/>
    <mergeCell ref="A43:A44"/>
    <mergeCell ref="B43:B44"/>
    <mergeCell ref="A4:A5"/>
    <mergeCell ref="B4:B5"/>
    <mergeCell ref="D4:G4"/>
    <mergeCell ref="H4:K4"/>
    <mergeCell ref="A9:A10"/>
    <mergeCell ref="B9:B10"/>
    <mergeCell ref="Q9:Q10"/>
    <mergeCell ref="P7:P8"/>
    <mergeCell ref="P9:P10"/>
    <mergeCell ref="D6:G6"/>
    <mergeCell ref="H6:K6"/>
    <mergeCell ref="L6:O6"/>
    <mergeCell ref="L4:O4"/>
    <mergeCell ref="Q4:Q5"/>
    <mergeCell ref="A30:A31"/>
    <mergeCell ref="P4:P5"/>
    <mergeCell ref="D23:G23"/>
    <mergeCell ref="H23:K23"/>
    <mergeCell ref="L23:O23"/>
    <mergeCell ref="D20:G20"/>
    <mergeCell ref="H20:K20"/>
    <mergeCell ref="L20:O20"/>
    <mergeCell ref="D11:G11"/>
    <mergeCell ref="H11:K11"/>
    <mergeCell ref="L11:O11"/>
    <mergeCell ref="Q38:Q39"/>
    <mergeCell ref="H36:K36"/>
    <mergeCell ref="L36:O36"/>
    <mergeCell ref="D37:G37"/>
    <mergeCell ref="H37:K37"/>
    <mergeCell ref="L37:O37"/>
    <mergeCell ref="P27:P28"/>
    <mergeCell ref="H12:K12"/>
    <mergeCell ref="L12:O12"/>
    <mergeCell ref="D16:G16"/>
    <mergeCell ref="H16:K16"/>
    <mergeCell ref="L16:O16"/>
    <mergeCell ref="D13:G13"/>
    <mergeCell ref="H13:K13"/>
    <mergeCell ref="L13:O13"/>
    <mergeCell ref="D19:G19"/>
    <mergeCell ref="H19:K19"/>
    <mergeCell ref="L19:O19"/>
    <mergeCell ref="D24:G24"/>
    <mergeCell ref="Q52:Q53"/>
    <mergeCell ref="A50:A51"/>
    <mergeCell ref="P60:P61"/>
    <mergeCell ref="P34:P35"/>
    <mergeCell ref="P32:P33"/>
    <mergeCell ref="P43:P44"/>
    <mergeCell ref="P38:P39"/>
    <mergeCell ref="P45:P46"/>
    <mergeCell ref="Q60:Q61"/>
    <mergeCell ref="Q50:Q51"/>
    <mergeCell ref="Q43:Q44"/>
    <mergeCell ref="Q32:Q33"/>
    <mergeCell ref="D57:G57"/>
    <mergeCell ref="H57:K57"/>
    <mergeCell ref="L57:O57"/>
    <mergeCell ref="D58:G58"/>
    <mergeCell ref="D55:G55"/>
    <mergeCell ref="H55:K55"/>
    <mergeCell ref="L55:O55"/>
    <mergeCell ref="D56:G56"/>
    <mergeCell ref="H56:K56"/>
    <mergeCell ref="Q34:Q35"/>
    <mergeCell ref="Q45:Q46"/>
    <mergeCell ref="A38:A39"/>
    <mergeCell ref="B38:B39"/>
    <mergeCell ref="L82:O82"/>
    <mergeCell ref="B30:B31"/>
    <mergeCell ref="A75:A76"/>
    <mergeCell ref="B75:B76"/>
    <mergeCell ref="P75:P76"/>
    <mergeCell ref="Q75:Q76"/>
    <mergeCell ref="D41:G41"/>
    <mergeCell ref="H41:K41"/>
    <mergeCell ref="L41:O41"/>
    <mergeCell ref="D42:G42"/>
    <mergeCell ref="H42:K42"/>
    <mergeCell ref="L42:O42"/>
    <mergeCell ref="D47:G47"/>
    <mergeCell ref="D49:G49"/>
    <mergeCell ref="H49:K49"/>
    <mergeCell ref="L49:O49"/>
    <mergeCell ref="D54:G54"/>
    <mergeCell ref="A60:A61"/>
    <mergeCell ref="B60:B61"/>
    <mergeCell ref="D36:G36"/>
    <mergeCell ref="A45:A46"/>
    <mergeCell ref="A52:A53"/>
    <mergeCell ref="B52:B53"/>
    <mergeCell ref="P52:P53"/>
    <mergeCell ref="P77:P78"/>
    <mergeCell ref="P93:P94"/>
    <mergeCell ref="Q77:Q78"/>
    <mergeCell ref="H79:K79"/>
    <mergeCell ref="L79:O79"/>
    <mergeCell ref="D80:G80"/>
    <mergeCell ref="H80:K80"/>
    <mergeCell ref="L80:O80"/>
    <mergeCell ref="D81:G81"/>
    <mergeCell ref="H81:K81"/>
    <mergeCell ref="D83:G83"/>
    <mergeCell ref="H83:K83"/>
    <mergeCell ref="L83:O83"/>
    <mergeCell ref="H84:K84"/>
    <mergeCell ref="L84:O84"/>
    <mergeCell ref="D84:G84"/>
    <mergeCell ref="D85:G85"/>
    <mergeCell ref="H85:K85"/>
    <mergeCell ref="L85:O85"/>
    <mergeCell ref="D86:G86"/>
    <mergeCell ref="H86:K86"/>
    <mergeCell ref="L67:O67"/>
    <mergeCell ref="D66:G66"/>
    <mergeCell ref="H24:K24"/>
    <mergeCell ref="L24:O24"/>
    <mergeCell ref="D25:G25"/>
    <mergeCell ref="H25:K25"/>
    <mergeCell ref="L25:O25"/>
    <mergeCell ref="D79:G79"/>
    <mergeCell ref="L62:O62"/>
    <mergeCell ref="L64:O64"/>
    <mergeCell ref="L65:O65"/>
    <mergeCell ref="L58:O58"/>
    <mergeCell ref="L59:O59"/>
    <mergeCell ref="L63:O63"/>
    <mergeCell ref="L47:O47"/>
    <mergeCell ref="L48:O48"/>
    <mergeCell ref="H54:K54"/>
    <mergeCell ref="L54:O54"/>
    <mergeCell ref="H52:K53"/>
    <mergeCell ref="L52:O53"/>
    <mergeCell ref="L56:O56"/>
    <mergeCell ref="D67:G67"/>
    <mergeCell ref="D40:G40"/>
    <mergeCell ref="H40:K40"/>
    <mergeCell ref="L40:O40"/>
    <mergeCell ref="H67:K67"/>
    <mergeCell ref="A77:A78"/>
    <mergeCell ref="B77:B78"/>
    <mergeCell ref="B45:B46"/>
    <mergeCell ref="B50:B51"/>
    <mergeCell ref="B34:B35"/>
    <mergeCell ref="A32:A33"/>
    <mergeCell ref="C52:C53"/>
    <mergeCell ref="D62:G62"/>
    <mergeCell ref="H62:K62"/>
    <mergeCell ref="D64:G64"/>
    <mergeCell ref="H64:K64"/>
    <mergeCell ref="D65:G65"/>
    <mergeCell ref="H65:K65"/>
    <mergeCell ref="D52:G53"/>
    <mergeCell ref="B32:B33"/>
    <mergeCell ref="A34:A35"/>
    <mergeCell ref="H58:K58"/>
    <mergeCell ref="D59:G59"/>
    <mergeCell ref="H59:K59"/>
    <mergeCell ref="D63:G63"/>
    <mergeCell ref="H63:K63"/>
    <mergeCell ref="H47:K47"/>
    <mergeCell ref="D48:G48"/>
    <mergeCell ref="H48:K48"/>
    <mergeCell ref="H66:K66"/>
    <mergeCell ref="L66:O66"/>
    <mergeCell ref="D68:G68"/>
    <mergeCell ref="H68:K68"/>
    <mergeCell ref="L68:O68"/>
    <mergeCell ref="D69:G69"/>
    <mergeCell ref="H69:K69"/>
    <mergeCell ref="L69:O69"/>
    <mergeCell ref="D70:G70"/>
    <mergeCell ref="H70:K70"/>
    <mergeCell ref="L70:O70"/>
    <mergeCell ref="D71:G71"/>
    <mergeCell ref="H71:K71"/>
    <mergeCell ref="L71:O71"/>
    <mergeCell ref="D72:G72"/>
    <mergeCell ref="H72:K72"/>
    <mergeCell ref="L72:O72"/>
    <mergeCell ref="D73:G73"/>
    <mergeCell ref="H73:K73"/>
    <mergeCell ref="L73:O73"/>
    <mergeCell ref="L74:O74"/>
    <mergeCell ref="H87:K87"/>
    <mergeCell ref="L87:O87"/>
    <mergeCell ref="D88:G88"/>
    <mergeCell ref="H88:K88"/>
    <mergeCell ref="L88:O88"/>
    <mergeCell ref="L86:O86"/>
    <mergeCell ref="D87:G87"/>
    <mergeCell ref="L81:O81"/>
    <mergeCell ref="D82:G82"/>
    <mergeCell ref="H82:K82"/>
    <mergeCell ref="L96:O96"/>
    <mergeCell ref="D95:G95"/>
    <mergeCell ref="H95:K95"/>
    <mergeCell ref="L95:O95"/>
    <mergeCell ref="P50:P51"/>
    <mergeCell ref="C4:C5"/>
    <mergeCell ref="D112:G112"/>
    <mergeCell ref="H112:K112"/>
    <mergeCell ref="L112:O112"/>
    <mergeCell ref="D111:G111"/>
    <mergeCell ref="H111:K111"/>
    <mergeCell ref="L111:O111"/>
    <mergeCell ref="D110:G110"/>
    <mergeCell ref="H110:K110"/>
    <mergeCell ref="L110:O110"/>
    <mergeCell ref="D107:G107"/>
    <mergeCell ref="H107:K107"/>
    <mergeCell ref="L107:O107"/>
    <mergeCell ref="D108:G108"/>
    <mergeCell ref="H108:K108"/>
    <mergeCell ref="L108:O108"/>
    <mergeCell ref="D109:G109"/>
    <mergeCell ref="D74:G74"/>
    <mergeCell ref="H74:K74"/>
  </mergeCells>
  <pageMargins left="0.7" right="0.7" top="0.75" bottom="0.75" header="0.3" footer="0.3"/>
  <pageSetup paperSize="9" scale="45" fitToHeight="0" orientation="portrait" horizontalDpi="300" verticalDpi="300" r:id="rId1"/>
  <ignoredErrors>
    <ignoredError sqref="E76:G76" formula="1"/>
    <ignoredError sqref="L36:L37 L56"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2"/>
  <sheetViews>
    <sheetView rightToLeft="1" topLeftCell="A35" zoomScale="68" zoomScaleNormal="68" workbookViewId="0">
      <selection activeCell="L32" sqref="L32:O32"/>
    </sheetView>
  </sheetViews>
  <sheetFormatPr defaultColWidth="9.125" defaultRowHeight="23.25" x14ac:dyDescent="0.5"/>
  <cols>
    <col min="1" max="1" width="14.875" style="37" customWidth="1"/>
    <col min="2" max="2" width="65.625" style="21" customWidth="1"/>
    <col min="3" max="3" width="11.375" style="21" customWidth="1"/>
    <col min="4" max="15" width="9.125" style="21"/>
    <col min="16" max="16" width="17" style="38" customWidth="1"/>
    <col min="17" max="17" width="9.125" style="21"/>
    <col min="18" max="18" width="30.75" style="23" customWidth="1"/>
    <col min="19" max="16384" width="9.125" style="21"/>
  </cols>
  <sheetData>
    <row r="1" spans="1:18" ht="41.25" customHeight="1" x14ac:dyDescent="0.5">
      <c r="A1" s="169" t="s">
        <v>12</v>
      </c>
      <c r="B1" s="170"/>
      <c r="C1" s="170"/>
      <c r="D1" s="170"/>
      <c r="E1" s="170"/>
      <c r="F1" s="170"/>
      <c r="G1" s="170"/>
      <c r="H1" s="170"/>
      <c r="I1" s="170"/>
      <c r="J1" s="170"/>
      <c r="K1" s="170"/>
      <c r="L1" s="170"/>
      <c r="M1" s="170"/>
      <c r="N1" s="170"/>
      <c r="O1" s="170"/>
      <c r="P1" s="170"/>
      <c r="Q1" s="170"/>
      <c r="R1" s="170"/>
    </row>
    <row r="2" spans="1:18" ht="24" customHeight="1" x14ac:dyDescent="0.5">
      <c r="A2" s="151" t="s">
        <v>13</v>
      </c>
      <c r="B2" s="152"/>
      <c r="C2" s="152"/>
      <c r="D2" s="152"/>
      <c r="E2" s="152"/>
      <c r="F2" s="152"/>
      <c r="G2" s="152"/>
      <c r="H2" s="152"/>
      <c r="I2" s="152"/>
      <c r="J2" s="152"/>
      <c r="K2" s="152"/>
      <c r="L2" s="152"/>
      <c r="M2" s="152"/>
      <c r="N2" s="152"/>
      <c r="O2" s="152"/>
      <c r="P2" s="152"/>
      <c r="Q2" s="152"/>
      <c r="R2" s="152"/>
    </row>
    <row r="3" spans="1:18" ht="24" customHeight="1" thickBot="1" x14ac:dyDescent="0.55000000000000004">
      <c r="A3" s="125" t="s">
        <v>609</v>
      </c>
      <c r="B3" s="126"/>
      <c r="C3" s="126"/>
      <c r="D3" s="126"/>
      <c r="E3" s="126"/>
      <c r="F3" s="126"/>
      <c r="G3" s="126"/>
      <c r="H3" s="126"/>
      <c r="I3" s="126"/>
      <c r="J3" s="126"/>
      <c r="K3" s="126"/>
      <c r="L3" s="126"/>
      <c r="M3" s="126"/>
      <c r="N3" s="126"/>
      <c r="O3" s="126"/>
      <c r="P3" s="126"/>
      <c r="Q3" s="126"/>
      <c r="R3" s="126"/>
    </row>
    <row r="4" spans="1:18" ht="24" thickBot="1" x14ac:dyDescent="0.55000000000000004">
      <c r="A4" s="205" t="s">
        <v>5</v>
      </c>
      <c r="B4" s="206" t="s">
        <v>4</v>
      </c>
      <c r="C4" s="161"/>
      <c r="D4" s="206" t="s">
        <v>3</v>
      </c>
      <c r="E4" s="206"/>
      <c r="F4" s="206"/>
      <c r="G4" s="206"/>
      <c r="H4" s="206" t="s">
        <v>2</v>
      </c>
      <c r="I4" s="206"/>
      <c r="J4" s="206"/>
      <c r="K4" s="206"/>
      <c r="L4" s="206" t="s">
        <v>1</v>
      </c>
      <c r="M4" s="206"/>
      <c r="N4" s="206"/>
      <c r="O4" s="206"/>
      <c r="P4" s="208" t="s">
        <v>47</v>
      </c>
      <c r="Q4" s="206" t="s">
        <v>0</v>
      </c>
      <c r="R4" s="173" t="s">
        <v>75</v>
      </c>
    </row>
    <row r="5" spans="1:18" ht="24" thickBot="1" x14ac:dyDescent="0.55000000000000004">
      <c r="A5" s="205"/>
      <c r="B5" s="206"/>
      <c r="C5" s="162"/>
      <c r="D5" s="13" t="s">
        <v>9</v>
      </c>
      <c r="E5" s="13" t="s">
        <v>8</v>
      </c>
      <c r="F5" s="13" t="s">
        <v>7</v>
      </c>
      <c r="G5" s="13" t="s">
        <v>6</v>
      </c>
      <c r="H5" s="13" t="s">
        <v>9</v>
      </c>
      <c r="I5" s="13" t="s">
        <v>8</v>
      </c>
      <c r="J5" s="13" t="s">
        <v>7</v>
      </c>
      <c r="K5" s="13" t="s">
        <v>6</v>
      </c>
      <c r="L5" s="13" t="s">
        <v>9</v>
      </c>
      <c r="M5" s="13" t="s">
        <v>8</v>
      </c>
      <c r="N5" s="13" t="s">
        <v>7</v>
      </c>
      <c r="O5" s="13" t="s">
        <v>6</v>
      </c>
      <c r="P5" s="209"/>
      <c r="Q5" s="206"/>
      <c r="R5" s="173"/>
    </row>
    <row r="6" spans="1:18" ht="36.75" customHeight="1" thickBot="1" x14ac:dyDescent="0.55000000000000004">
      <c r="A6" s="5" t="s">
        <v>442</v>
      </c>
      <c r="B6" s="2" t="s">
        <v>126</v>
      </c>
      <c r="C6" s="2" t="s">
        <v>267</v>
      </c>
      <c r="D6" s="106">
        <v>20000</v>
      </c>
      <c r="E6" s="106"/>
      <c r="F6" s="106"/>
      <c r="G6" s="106"/>
      <c r="H6" s="106">
        <f>D6-(D6*20/100)</f>
        <v>16000</v>
      </c>
      <c r="I6" s="106"/>
      <c r="J6" s="106"/>
      <c r="K6" s="106"/>
      <c r="L6" s="106">
        <f>D6-(D6*40/100)</f>
        <v>12000</v>
      </c>
      <c r="M6" s="106"/>
      <c r="N6" s="106"/>
      <c r="O6" s="106"/>
      <c r="P6" s="6" t="s">
        <v>134</v>
      </c>
      <c r="Q6" s="2" t="s">
        <v>10</v>
      </c>
      <c r="R6" s="53" t="s">
        <v>185</v>
      </c>
    </row>
    <row r="7" spans="1:18" ht="44.25" thickBot="1" x14ac:dyDescent="0.55000000000000004">
      <c r="A7" s="55" t="s">
        <v>443</v>
      </c>
      <c r="B7" s="56" t="s">
        <v>122</v>
      </c>
      <c r="C7" s="56" t="s">
        <v>267</v>
      </c>
      <c r="D7" s="106">
        <v>20000</v>
      </c>
      <c r="E7" s="106"/>
      <c r="F7" s="106"/>
      <c r="G7" s="106"/>
      <c r="H7" s="106">
        <f>D7-(D7*20/100)</f>
        <v>16000</v>
      </c>
      <c r="I7" s="106"/>
      <c r="J7" s="106"/>
      <c r="K7" s="106"/>
      <c r="L7" s="106">
        <f>D7-(D7*40/100)</f>
        <v>12000</v>
      </c>
      <c r="M7" s="106"/>
      <c r="N7" s="106"/>
      <c r="O7" s="106"/>
      <c r="P7" s="46" t="s">
        <v>134</v>
      </c>
      <c r="Q7" s="45" t="s">
        <v>10</v>
      </c>
      <c r="R7" s="53" t="s">
        <v>185</v>
      </c>
    </row>
    <row r="8" spans="1:18" ht="30" customHeight="1" thickBot="1" x14ac:dyDescent="0.55000000000000004">
      <c r="A8" s="191" t="s">
        <v>444</v>
      </c>
      <c r="B8" s="213" t="s">
        <v>123</v>
      </c>
      <c r="C8" s="35" t="s">
        <v>283</v>
      </c>
      <c r="D8" s="4">
        <v>1000</v>
      </c>
      <c r="E8" s="57">
        <f t="shared" ref="E8" si="0">D8-(D8*10/100)</f>
        <v>900</v>
      </c>
      <c r="F8" s="57">
        <f t="shared" ref="F8" si="1">D8-(D8*20/100)</f>
        <v>800</v>
      </c>
      <c r="G8" s="57">
        <f t="shared" ref="G8" si="2">D8-(D8*30/100)</f>
        <v>700</v>
      </c>
      <c r="H8" s="57">
        <f>D8-(D8*10/100)</f>
        <v>900</v>
      </c>
      <c r="I8" s="57">
        <f t="shared" ref="I8" si="3">H8-(H8*10/100)</f>
        <v>810</v>
      </c>
      <c r="J8" s="57">
        <f t="shared" ref="J8" si="4">H8-(H8*20/100)</f>
        <v>720</v>
      </c>
      <c r="K8" s="57">
        <f t="shared" ref="K8" si="5">H8-(H8*30/100)</f>
        <v>630</v>
      </c>
      <c r="L8" s="57">
        <f>D8-(D8*20/100)</f>
        <v>800</v>
      </c>
      <c r="M8" s="57">
        <f t="shared" ref="M8" si="6">L8-(L8*10/100)</f>
        <v>720</v>
      </c>
      <c r="N8" s="57">
        <f t="shared" ref="N8" si="7">L8-(L8*20/100)</f>
        <v>640</v>
      </c>
      <c r="O8" s="57">
        <f t="shared" ref="O8" si="8">L8-(L8*30/100)</f>
        <v>560</v>
      </c>
      <c r="P8" s="156" t="s">
        <v>131</v>
      </c>
      <c r="Q8" s="160" t="s">
        <v>25</v>
      </c>
      <c r="R8" s="171" t="s">
        <v>222</v>
      </c>
    </row>
    <row r="9" spans="1:18" ht="30" customHeight="1" thickBot="1" x14ac:dyDescent="0.55000000000000004">
      <c r="A9" s="191"/>
      <c r="B9" s="213"/>
      <c r="C9" s="36" t="s">
        <v>284</v>
      </c>
      <c r="D9" s="57">
        <f t="shared" ref="D9:O9" si="9">D8*50/100</f>
        <v>500</v>
      </c>
      <c r="E9" s="57">
        <f t="shared" si="9"/>
        <v>450</v>
      </c>
      <c r="F9" s="57">
        <f t="shared" si="9"/>
        <v>400</v>
      </c>
      <c r="G9" s="57">
        <f t="shared" si="9"/>
        <v>350</v>
      </c>
      <c r="H9" s="57">
        <f t="shared" si="9"/>
        <v>450</v>
      </c>
      <c r="I9" s="57">
        <f t="shared" si="9"/>
        <v>405</v>
      </c>
      <c r="J9" s="57">
        <f t="shared" si="9"/>
        <v>360</v>
      </c>
      <c r="K9" s="57">
        <f t="shared" si="9"/>
        <v>315</v>
      </c>
      <c r="L9" s="57">
        <f t="shared" si="9"/>
        <v>400</v>
      </c>
      <c r="M9" s="57">
        <f t="shared" si="9"/>
        <v>360</v>
      </c>
      <c r="N9" s="57">
        <f t="shared" si="9"/>
        <v>320</v>
      </c>
      <c r="O9" s="57">
        <f t="shared" si="9"/>
        <v>280</v>
      </c>
      <c r="P9" s="156"/>
      <c r="Q9" s="160"/>
      <c r="R9" s="210"/>
    </row>
    <row r="10" spans="1:18" ht="30" customHeight="1" thickBot="1" x14ac:dyDescent="0.55000000000000004">
      <c r="A10" s="191" t="s">
        <v>445</v>
      </c>
      <c r="B10" s="213" t="s">
        <v>124</v>
      </c>
      <c r="C10" s="35" t="s">
        <v>283</v>
      </c>
      <c r="D10" s="4">
        <v>1000</v>
      </c>
      <c r="E10" s="57">
        <f t="shared" ref="E10" si="10">D10-(D10*10/100)</f>
        <v>900</v>
      </c>
      <c r="F10" s="57">
        <f t="shared" ref="F10" si="11">D10-(D10*20/100)</f>
        <v>800</v>
      </c>
      <c r="G10" s="57">
        <f t="shared" ref="G10" si="12">D10-(D10*30/100)</f>
        <v>700</v>
      </c>
      <c r="H10" s="57">
        <f>D10-(D10*10/100)</f>
        <v>900</v>
      </c>
      <c r="I10" s="57">
        <f t="shared" ref="I10" si="13">H10-(H10*10/100)</f>
        <v>810</v>
      </c>
      <c r="J10" s="57">
        <f t="shared" ref="J10" si="14">H10-(H10*20/100)</f>
        <v>720</v>
      </c>
      <c r="K10" s="57">
        <f t="shared" ref="K10" si="15">H10-(H10*30/100)</f>
        <v>630</v>
      </c>
      <c r="L10" s="57">
        <f>D10-(D10*20/100)</f>
        <v>800</v>
      </c>
      <c r="M10" s="57">
        <f t="shared" ref="M10" si="16">L10-(L10*10/100)</f>
        <v>720</v>
      </c>
      <c r="N10" s="57">
        <f t="shared" ref="N10" si="17">L10-(L10*20/100)</f>
        <v>640</v>
      </c>
      <c r="O10" s="57">
        <f t="shared" ref="O10" si="18">L10-(L10*30/100)</f>
        <v>560</v>
      </c>
      <c r="P10" s="156" t="s">
        <v>131</v>
      </c>
      <c r="Q10" s="160" t="s">
        <v>25</v>
      </c>
      <c r="R10" s="171" t="s">
        <v>223</v>
      </c>
    </row>
    <row r="11" spans="1:18" ht="30" customHeight="1" thickBot="1" x14ac:dyDescent="0.55000000000000004">
      <c r="A11" s="191"/>
      <c r="B11" s="213"/>
      <c r="C11" s="36" t="s">
        <v>284</v>
      </c>
      <c r="D11" s="57">
        <f t="shared" ref="D11:O11" si="19">D10*50/100</f>
        <v>500</v>
      </c>
      <c r="E11" s="57">
        <f t="shared" si="19"/>
        <v>450</v>
      </c>
      <c r="F11" s="57">
        <f t="shared" si="19"/>
        <v>400</v>
      </c>
      <c r="G11" s="57">
        <f t="shared" si="19"/>
        <v>350</v>
      </c>
      <c r="H11" s="57">
        <f t="shared" si="19"/>
        <v>450</v>
      </c>
      <c r="I11" s="57">
        <f t="shared" si="19"/>
        <v>405</v>
      </c>
      <c r="J11" s="57">
        <f t="shared" si="19"/>
        <v>360</v>
      </c>
      <c r="K11" s="57">
        <f t="shared" si="19"/>
        <v>315</v>
      </c>
      <c r="L11" s="57">
        <f t="shared" si="19"/>
        <v>400</v>
      </c>
      <c r="M11" s="57">
        <f t="shared" si="19"/>
        <v>360</v>
      </c>
      <c r="N11" s="57">
        <f t="shared" si="19"/>
        <v>320</v>
      </c>
      <c r="O11" s="57">
        <f t="shared" si="19"/>
        <v>280</v>
      </c>
      <c r="P11" s="156"/>
      <c r="Q11" s="160"/>
      <c r="R11" s="210"/>
    </row>
    <row r="12" spans="1:18" ht="48" customHeight="1" thickBot="1" x14ac:dyDescent="0.55000000000000004">
      <c r="A12" s="5" t="s">
        <v>446</v>
      </c>
      <c r="B12" s="2" t="s">
        <v>125</v>
      </c>
      <c r="C12" s="84" t="s">
        <v>267</v>
      </c>
      <c r="D12" s="106">
        <v>20000</v>
      </c>
      <c r="E12" s="106"/>
      <c r="F12" s="106"/>
      <c r="G12" s="106"/>
      <c r="H12" s="106">
        <f>D12-(D12*20/100)</f>
        <v>16000</v>
      </c>
      <c r="I12" s="106"/>
      <c r="J12" s="106"/>
      <c r="K12" s="106"/>
      <c r="L12" s="106">
        <f>D12-(D12*40/100)</f>
        <v>12000</v>
      </c>
      <c r="M12" s="106"/>
      <c r="N12" s="106"/>
      <c r="O12" s="106"/>
      <c r="P12" s="46" t="s">
        <v>134</v>
      </c>
      <c r="Q12" s="2" t="s">
        <v>10</v>
      </c>
      <c r="R12" s="53" t="s">
        <v>185</v>
      </c>
    </row>
    <row r="13" spans="1:18" ht="75" customHeight="1" thickBot="1" x14ac:dyDescent="0.55000000000000004">
      <c r="A13" s="55" t="s">
        <v>447</v>
      </c>
      <c r="B13" s="56" t="s">
        <v>52</v>
      </c>
      <c r="C13" s="84" t="s">
        <v>267</v>
      </c>
      <c r="D13" s="106">
        <v>1000</v>
      </c>
      <c r="E13" s="106"/>
      <c r="F13" s="106"/>
      <c r="G13" s="106"/>
      <c r="H13" s="106">
        <f t="shared" ref="H13" si="20">D13-(D13*20/100)</f>
        <v>800</v>
      </c>
      <c r="I13" s="106"/>
      <c r="J13" s="106"/>
      <c r="K13" s="106"/>
      <c r="L13" s="106">
        <f t="shared" ref="L13" si="21">D13-(D13*40/100)</f>
        <v>600</v>
      </c>
      <c r="M13" s="106"/>
      <c r="N13" s="106"/>
      <c r="O13" s="106"/>
      <c r="P13" s="46" t="s">
        <v>155</v>
      </c>
      <c r="Q13" s="45" t="s">
        <v>10</v>
      </c>
      <c r="R13" s="53" t="s">
        <v>224</v>
      </c>
    </row>
    <row r="14" spans="1:18" ht="75" customHeight="1" thickBot="1" x14ac:dyDescent="0.55000000000000004">
      <c r="A14" s="5" t="s">
        <v>448</v>
      </c>
      <c r="B14" s="2" t="s">
        <v>46</v>
      </c>
      <c r="C14" s="2" t="s">
        <v>267</v>
      </c>
      <c r="D14" s="106">
        <v>20000</v>
      </c>
      <c r="E14" s="106"/>
      <c r="F14" s="106"/>
      <c r="G14" s="106"/>
      <c r="H14" s="106">
        <f>D14-(D14*20/100)</f>
        <v>16000</v>
      </c>
      <c r="I14" s="106"/>
      <c r="J14" s="106"/>
      <c r="K14" s="106"/>
      <c r="L14" s="106">
        <f>D14-(D14*40/100)</f>
        <v>12000</v>
      </c>
      <c r="M14" s="106"/>
      <c r="N14" s="106"/>
      <c r="O14" s="106"/>
      <c r="P14" s="6" t="s">
        <v>134</v>
      </c>
      <c r="Q14" s="2" t="s">
        <v>10</v>
      </c>
      <c r="R14" s="53" t="s">
        <v>185</v>
      </c>
    </row>
    <row r="15" spans="1:18" ht="36" customHeight="1" thickBot="1" x14ac:dyDescent="0.55000000000000004">
      <c r="A15" s="55" t="s">
        <v>449</v>
      </c>
      <c r="B15" s="45" t="s">
        <v>86</v>
      </c>
      <c r="C15" s="11" t="s">
        <v>267</v>
      </c>
      <c r="D15" s="106">
        <v>50000</v>
      </c>
      <c r="E15" s="106"/>
      <c r="F15" s="106"/>
      <c r="G15" s="106"/>
      <c r="H15" s="106">
        <f t="shared" ref="H15:H24" si="22">D15-(D15*20/100)</f>
        <v>40000</v>
      </c>
      <c r="I15" s="106"/>
      <c r="J15" s="106"/>
      <c r="K15" s="106"/>
      <c r="L15" s="106">
        <f t="shared" ref="L15:L24" si="23">D15-(D15*40/100)</f>
        <v>30000</v>
      </c>
      <c r="M15" s="106"/>
      <c r="N15" s="106"/>
      <c r="O15" s="106"/>
      <c r="P15" s="46" t="s">
        <v>134</v>
      </c>
      <c r="Q15" s="45" t="s">
        <v>10</v>
      </c>
      <c r="R15" s="75" t="s">
        <v>186</v>
      </c>
    </row>
    <row r="16" spans="1:18" ht="33" customHeight="1" thickBot="1" x14ac:dyDescent="0.55000000000000004">
      <c r="A16" s="55" t="s">
        <v>450</v>
      </c>
      <c r="B16" s="45" t="s">
        <v>117</v>
      </c>
      <c r="C16" s="11" t="s">
        <v>267</v>
      </c>
      <c r="D16" s="106">
        <v>50000</v>
      </c>
      <c r="E16" s="106"/>
      <c r="F16" s="106"/>
      <c r="G16" s="106"/>
      <c r="H16" s="106">
        <f t="shared" si="22"/>
        <v>40000</v>
      </c>
      <c r="I16" s="106"/>
      <c r="J16" s="106"/>
      <c r="K16" s="106"/>
      <c r="L16" s="106">
        <f t="shared" si="23"/>
        <v>30000</v>
      </c>
      <c r="M16" s="106"/>
      <c r="N16" s="106"/>
      <c r="O16" s="106"/>
      <c r="P16" s="46" t="s">
        <v>134</v>
      </c>
      <c r="Q16" s="45" t="s">
        <v>10</v>
      </c>
      <c r="R16" s="75" t="s">
        <v>186</v>
      </c>
    </row>
    <row r="17" spans="1:18" ht="72.75" customHeight="1" thickBot="1" x14ac:dyDescent="0.55000000000000004">
      <c r="A17" s="55" t="s">
        <v>451</v>
      </c>
      <c r="B17" s="45" t="s">
        <v>88</v>
      </c>
      <c r="C17" s="11" t="s">
        <v>267</v>
      </c>
      <c r="D17" s="106">
        <v>30000</v>
      </c>
      <c r="E17" s="106"/>
      <c r="F17" s="106"/>
      <c r="G17" s="106"/>
      <c r="H17" s="106">
        <f t="shared" si="22"/>
        <v>24000</v>
      </c>
      <c r="I17" s="106"/>
      <c r="J17" s="106"/>
      <c r="K17" s="106"/>
      <c r="L17" s="106">
        <f t="shared" si="23"/>
        <v>18000</v>
      </c>
      <c r="M17" s="106"/>
      <c r="N17" s="106"/>
      <c r="O17" s="106"/>
      <c r="P17" s="46" t="s">
        <v>134</v>
      </c>
      <c r="Q17" s="45" t="s">
        <v>10</v>
      </c>
      <c r="R17" s="53" t="s">
        <v>187</v>
      </c>
    </row>
    <row r="18" spans="1:18" ht="44.25" thickBot="1" x14ac:dyDescent="0.55000000000000004">
      <c r="A18" s="43" t="s">
        <v>452</v>
      </c>
      <c r="B18" s="45" t="s">
        <v>39</v>
      </c>
      <c r="C18" s="79" t="s">
        <v>267</v>
      </c>
      <c r="D18" s="106">
        <v>20000</v>
      </c>
      <c r="E18" s="106"/>
      <c r="F18" s="106"/>
      <c r="G18" s="106"/>
      <c r="H18" s="106">
        <f t="shared" si="22"/>
        <v>16000</v>
      </c>
      <c r="I18" s="106"/>
      <c r="J18" s="106"/>
      <c r="K18" s="106"/>
      <c r="L18" s="106">
        <f t="shared" si="23"/>
        <v>12000</v>
      </c>
      <c r="M18" s="106"/>
      <c r="N18" s="106"/>
      <c r="O18" s="106"/>
      <c r="P18" s="46" t="s">
        <v>134</v>
      </c>
      <c r="Q18" s="45" t="s">
        <v>10</v>
      </c>
      <c r="R18" s="75" t="s">
        <v>186</v>
      </c>
    </row>
    <row r="19" spans="1:18" ht="44.25" thickBot="1" x14ac:dyDescent="0.55000000000000004">
      <c r="A19" s="55" t="s">
        <v>453</v>
      </c>
      <c r="B19" s="45" t="s">
        <v>40</v>
      </c>
      <c r="C19" s="11" t="s">
        <v>267</v>
      </c>
      <c r="D19" s="106">
        <v>15000</v>
      </c>
      <c r="E19" s="106"/>
      <c r="F19" s="106"/>
      <c r="G19" s="106"/>
      <c r="H19" s="106">
        <f t="shared" si="22"/>
        <v>12000</v>
      </c>
      <c r="I19" s="106"/>
      <c r="J19" s="106"/>
      <c r="K19" s="106"/>
      <c r="L19" s="106">
        <f t="shared" si="23"/>
        <v>9000</v>
      </c>
      <c r="M19" s="106"/>
      <c r="N19" s="106"/>
      <c r="O19" s="106"/>
      <c r="P19" s="46" t="s">
        <v>134</v>
      </c>
      <c r="Q19" s="45" t="s">
        <v>10</v>
      </c>
      <c r="R19" s="75" t="s">
        <v>186</v>
      </c>
    </row>
    <row r="20" spans="1:18" ht="44.25" thickBot="1" x14ac:dyDescent="0.55000000000000004">
      <c r="A20" s="43" t="s">
        <v>454</v>
      </c>
      <c r="B20" s="11" t="s">
        <v>59</v>
      </c>
      <c r="C20" s="11" t="s">
        <v>267</v>
      </c>
      <c r="D20" s="106">
        <v>5000</v>
      </c>
      <c r="E20" s="106"/>
      <c r="F20" s="106"/>
      <c r="G20" s="106"/>
      <c r="H20" s="106">
        <f t="shared" si="22"/>
        <v>4000</v>
      </c>
      <c r="I20" s="106"/>
      <c r="J20" s="106"/>
      <c r="K20" s="106"/>
      <c r="L20" s="106">
        <f t="shared" si="23"/>
        <v>3000</v>
      </c>
      <c r="M20" s="106"/>
      <c r="N20" s="106"/>
      <c r="O20" s="106"/>
      <c r="P20" s="46" t="s">
        <v>134</v>
      </c>
      <c r="Q20" s="45" t="s">
        <v>10</v>
      </c>
      <c r="R20" s="53" t="s">
        <v>188</v>
      </c>
    </row>
    <row r="21" spans="1:18" ht="44.25" thickBot="1" x14ac:dyDescent="0.55000000000000004">
      <c r="A21" s="55" t="s">
        <v>455</v>
      </c>
      <c r="B21" s="78" t="s">
        <v>159</v>
      </c>
      <c r="C21" s="11" t="s">
        <v>267</v>
      </c>
      <c r="D21" s="106">
        <v>30000</v>
      </c>
      <c r="E21" s="106"/>
      <c r="F21" s="106"/>
      <c r="G21" s="106"/>
      <c r="H21" s="106">
        <f t="shared" si="22"/>
        <v>24000</v>
      </c>
      <c r="I21" s="106"/>
      <c r="J21" s="106"/>
      <c r="K21" s="106"/>
      <c r="L21" s="106">
        <f t="shared" si="23"/>
        <v>18000</v>
      </c>
      <c r="M21" s="106"/>
      <c r="N21" s="106"/>
      <c r="O21" s="106"/>
      <c r="P21" s="46" t="s">
        <v>164</v>
      </c>
      <c r="Q21" s="45" t="s">
        <v>10</v>
      </c>
      <c r="R21" s="53" t="s">
        <v>188</v>
      </c>
    </row>
    <row r="22" spans="1:18" ht="47.25" thickBot="1" x14ac:dyDescent="0.55000000000000004">
      <c r="A22" s="67" t="s">
        <v>456</v>
      </c>
      <c r="B22" s="50" t="s">
        <v>166</v>
      </c>
      <c r="C22" s="11" t="s">
        <v>267</v>
      </c>
      <c r="D22" s="106">
        <v>15000</v>
      </c>
      <c r="E22" s="106"/>
      <c r="F22" s="106"/>
      <c r="G22" s="106"/>
      <c r="H22" s="106">
        <f t="shared" si="22"/>
        <v>12000</v>
      </c>
      <c r="I22" s="106"/>
      <c r="J22" s="106"/>
      <c r="K22" s="106"/>
      <c r="L22" s="106">
        <f t="shared" si="23"/>
        <v>9000</v>
      </c>
      <c r="M22" s="106"/>
      <c r="N22" s="106"/>
      <c r="O22" s="106"/>
      <c r="P22" s="52" t="s">
        <v>165</v>
      </c>
      <c r="Q22" s="50" t="s">
        <v>10</v>
      </c>
      <c r="R22" s="53" t="s">
        <v>191</v>
      </c>
    </row>
    <row r="23" spans="1:18" ht="44.25" thickBot="1" x14ac:dyDescent="0.55000000000000004">
      <c r="A23" s="67" t="s">
        <v>457</v>
      </c>
      <c r="B23" s="50" t="s">
        <v>41</v>
      </c>
      <c r="C23" s="11" t="s">
        <v>267</v>
      </c>
      <c r="D23" s="106">
        <v>30000</v>
      </c>
      <c r="E23" s="106"/>
      <c r="F23" s="106"/>
      <c r="G23" s="106"/>
      <c r="H23" s="106">
        <f t="shared" si="22"/>
        <v>24000</v>
      </c>
      <c r="I23" s="106"/>
      <c r="J23" s="106"/>
      <c r="K23" s="106"/>
      <c r="L23" s="106">
        <f t="shared" si="23"/>
        <v>18000</v>
      </c>
      <c r="M23" s="106"/>
      <c r="N23" s="106"/>
      <c r="O23" s="106"/>
      <c r="P23" s="52" t="s">
        <v>165</v>
      </c>
      <c r="Q23" s="50" t="s">
        <v>10</v>
      </c>
      <c r="R23" s="53" t="s">
        <v>189</v>
      </c>
    </row>
    <row r="24" spans="1:18" ht="100.5" customHeight="1" thickBot="1" x14ac:dyDescent="0.55000000000000004">
      <c r="A24" s="67" t="s">
        <v>458</v>
      </c>
      <c r="B24" s="45" t="s">
        <v>63</v>
      </c>
      <c r="C24" s="11" t="s">
        <v>267</v>
      </c>
      <c r="D24" s="106">
        <v>5000</v>
      </c>
      <c r="E24" s="106"/>
      <c r="F24" s="106"/>
      <c r="G24" s="106"/>
      <c r="H24" s="106">
        <f t="shared" si="22"/>
        <v>4000</v>
      </c>
      <c r="I24" s="106"/>
      <c r="J24" s="106"/>
      <c r="K24" s="106"/>
      <c r="L24" s="106">
        <f t="shared" si="23"/>
        <v>3000</v>
      </c>
      <c r="M24" s="106"/>
      <c r="N24" s="106"/>
      <c r="O24" s="106"/>
      <c r="P24" s="46" t="s">
        <v>131</v>
      </c>
      <c r="Q24" s="45" t="s">
        <v>10</v>
      </c>
      <c r="R24" s="53" t="s">
        <v>225</v>
      </c>
    </row>
    <row r="25" spans="1:18" s="22" customFormat="1" ht="33.75" customHeight="1" thickBot="1" x14ac:dyDescent="0.25">
      <c r="A25" s="153" t="s">
        <v>459</v>
      </c>
      <c r="B25" s="154" t="s">
        <v>42</v>
      </c>
      <c r="C25" s="50" t="s">
        <v>283</v>
      </c>
      <c r="D25" s="1">
        <v>1000</v>
      </c>
      <c r="E25" s="1">
        <f t="shared" ref="E25" si="24">D25-(D25*10/100)</f>
        <v>900</v>
      </c>
      <c r="F25" s="1">
        <f t="shared" ref="F25" si="25">D25-(D25*20/100)</f>
        <v>800</v>
      </c>
      <c r="G25" s="1">
        <f t="shared" ref="G25" si="26">D25-(D25*30/100)</f>
        <v>700</v>
      </c>
      <c r="H25" s="1">
        <f>D25-(D25*10/100)</f>
        <v>900</v>
      </c>
      <c r="I25" s="1">
        <f t="shared" ref="I25" si="27">H25-(H25*10/100)</f>
        <v>810</v>
      </c>
      <c r="J25" s="1">
        <f t="shared" ref="J25" si="28">H25-(H25*20/100)</f>
        <v>720</v>
      </c>
      <c r="K25" s="1">
        <f t="shared" ref="K25" si="29">H25-(H25*30/100)</f>
        <v>630</v>
      </c>
      <c r="L25" s="1">
        <f>D25-(D25*20/100)</f>
        <v>800</v>
      </c>
      <c r="M25" s="1">
        <f t="shared" ref="M25" si="30">L25-(L25*10/100)</f>
        <v>720</v>
      </c>
      <c r="N25" s="1">
        <f t="shared" ref="N25" si="31">L25-(L25*20/100)</f>
        <v>640</v>
      </c>
      <c r="O25" s="1">
        <f t="shared" ref="O25" si="32">L25-(L25*30/100)</f>
        <v>560</v>
      </c>
      <c r="P25" s="157" t="s">
        <v>134</v>
      </c>
      <c r="Q25" s="155" t="s">
        <v>26</v>
      </c>
      <c r="R25" s="171" t="s">
        <v>188</v>
      </c>
    </row>
    <row r="26" spans="1:18" ht="24" thickBot="1" x14ac:dyDescent="0.55000000000000004">
      <c r="A26" s="153"/>
      <c r="B26" s="154"/>
      <c r="C26" s="50" t="s">
        <v>284</v>
      </c>
      <c r="D26" s="1">
        <f t="shared" ref="D26:O26" si="33">D25*50/100</f>
        <v>500</v>
      </c>
      <c r="E26" s="1">
        <f t="shared" si="33"/>
        <v>450</v>
      </c>
      <c r="F26" s="1">
        <f t="shared" si="33"/>
        <v>400</v>
      </c>
      <c r="G26" s="1">
        <f t="shared" si="33"/>
        <v>350</v>
      </c>
      <c r="H26" s="1">
        <f t="shared" si="33"/>
        <v>450</v>
      </c>
      <c r="I26" s="1">
        <f t="shared" si="33"/>
        <v>405</v>
      </c>
      <c r="J26" s="1">
        <f t="shared" si="33"/>
        <v>360</v>
      </c>
      <c r="K26" s="1">
        <f t="shared" si="33"/>
        <v>315</v>
      </c>
      <c r="L26" s="1">
        <f t="shared" si="33"/>
        <v>400</v>
      </c>
      <c r="M26" s="1">
        <f t="shared" si="33"/>
        <v>360</v>
      </c>
      <c r="N26" s="1">
        <f t="shared" si="33"/>
        <v>320</v>
      </c>
      <c r="O26" s="1">
        <f t="shared" si="33"/>
        <v>280</v>
      </c>
      <c r="P26" s="157"/>
      <c r="Q26" s="155"/>
      <c r="R26" s="172"/>
    </row>
    <row r="27" spans="1:18" ht="44.25" thickBot="1" x14ac:dyDescent="0.55000000000000004">
      <c r="A27" s="55" t="s">
        <v>460</v>
      </c>
      <c r="B27" s="44" t="s">
        <v>44</v>
      </c>
      <c r="C27" s="11" t="s">
        <v>267</v>
      </c>
      <c r="D27" s="106">
        <v>40000</v>
      </c>
      <c r="E27" s="106"/>
      <c r="F27" s="106"/>
      <c r="G27" s="106"/>
      <c r="H27" s="106">
        <f>D27-(D27*20/100)</f>
        <v>32000</v>
      </c>
      <c r="I27" s="106"/>
      <c r="J27" s="106"/>
      <c r="K27" s="106"/>
      <c r="L27" s="106">
        <f>D27-(D27*40/100)</f>
        <v>24000</v>
      </c>
      <c r="M27" s="106"/>
      <c r="N27" s="106"/>
      <c r="O27" s="106"/>
      <c r="P27" s="46" t="s">
        <v>134</v>
      </c>
      <c r="Q27" s="45" t="s">
        <v>10</v>
      </c>
      <c r="R27" s="53" t="s">
        <v>192</v>
      </c>
    </row>
    <row r="28" spans="1:18" ht="47.25" thickBot="1" x14ac:dyDescent="0.55000000000000004">
      <c r="A28" s="55" t="s">
        <v>461</v>
      </c>
      <c r="B28" s="78" t="s">
        <v>74</v>
      </c>
      <c r="C28" s="11" t="s">
        <v>267</v>
      </c>
      <c r="D28" s="106">
        <v>20000</v>
      </c>
      <c r="E28" s="106"/>
      <c r="F28" s="106"/>
      <c r="G28" s="106"/>
      <c r="H28" s="106">
        <f>D28-(D28*20/100)</f>
        <v>16000</v>
      </c>
      <c r="I28" s="106"/>
      <c r="J28" s="106"/>
      <c r="K28" s="106"/>
      <c r="L28" s="106">
        <f>D28-(D28*40/100)</f>
        <v>12000</v>
      </c>
      <c r="M28" s="106"/>
      <c r="N28" s="106"/>
      <c r="O28" s="106"/>
      <c r="P28" s="46" t="s">
        <v>134</v>
      </c>
      <c r="Q28" s="45" t="s">
        <v>10</v>
      </c>
      <c r="R28" s="53" t="s">
        <v>192</v>
      </c>
    </row>
    <row r="29" spans="1:18" ht="23.25" customHeight="1" x14ac:dyDescent="0.5">
      <c r="A29" s="127" t="s">
        <v>462</v>
      </c>
      <c r="B29" s="129" t="s">
        <v>421</v>
      </c>
      <c r="C29" s="129" t="s">
        <v>267</v>
      </c>
      <c r="D29" s="141">
        <v>15000</v>
      </c>
      <c r="E29" s="141"/>
      <c r="F29" s="141"/>
      <c r="G29" s="141"/>
      <c r="H29" s="141">
        <f t="shared" ref="H29" si="34">D29-(D29*20/100)</f>
        <v>12000</v>
      </c>
      <c r="I29" s="141"/>
      <c r="J29" s="141"/>
      <c r="K29" s="141"/>
      <c r="L29" s="141">
        <f t="shared" ref="L29" si="35">D29-(D29*40/100)</f>
        <v>9000</v>
      </c>
      <c r="M29" s="141"/>
      <c r="N29" s="141"/>
      <c r="O29" s="141"/>
      <c r="P29" s="214" t="s">
        <v>131</v>
      </c>
      <c r="Q29" s="131" t="s">
        <v>10</v>
      </c>
      <c r="R29" s="124" t="s">
        <v>187</v>
      </c>
    </row>
    <row r="30" spans="1:18" ht="24" thickBot="1" x14ac:dyDescent="0.55000000000000004">
      <c r="A30" s="128"/>
      <c r="B30" s="130"/>
      <c r="C30" s="130"/>
      <c r="D30" s="142"/>
      <c r="E30" s="142"/>
      <c r="F30" s="142"/>
      <c r="G30" s="142"/>
      <c r="H30" s="142"/>
      <c r="I30" s="142"/>
      <c r="J30" s="142"/>
      <c r="K30" s="142"/>
      <c r="L30" s="142"/>
      <c r="M30" s="142"/>
      <c r="N30" s="142"/>
      <c r="O30" s="142"/>
      <c r="P30" s="215"/>
      <c r="Q30" s="132"/>
      <c r="R30" s="133"/>
    </row>
    <row r="31" spans="1:18" ht="24" thickBot="1" x14ac:dyDescent="0.55000000000000004">
      <c r="A31" s="211" t="s">
        <v>50</v>
      </c>
      <c r="B31" s="212"/>
      <c r="C31" s="212"/>
      <c r="D31" s="212"/>
      <c r="E31" s="212"/>
      <c r="F31" s="212"/>
      <c r="G31" s="212"/>
      <c r="H31" s="212"/>
      <c r="I31" s="212"/>
      <c r="J31" s="212"/>
      <c r="K31" s="212"/>
      <c r="L31" s="212"/>
      <c r="M31" s="212"/>
      <c r="N31" s="212"/>
      <c r="O31" s="212"/>
      <c r="P31" s="212"/>
      <c r="Q31" s="212"/>
      <c r="R31" s="212"/>
    </row>
    <row r="32" spans="1:18" ht="87.75" thickBot="1" x14ac:dyDescent="0.55000000000000004">
      <c r="A32" s="55" t="s">
        <v>463</v>
      </c>
      <c r="B32" s="76" t="s">
        <v>35</v>
      </c>
      <c r="C32" s="76" t="s">
        <v>267</v>
      </c>
      <c r="D32" s="106">
        <v>1000</v>
      </c>
      <c r="E32" s="106"/>
      <c r="F32" s="106"/>
      <c r="G32" s="106"/>
      <c r="H32" s="106">
        <f t="shared" ref="H32:H42" si="36">D32-(D32*20/100)</f>
        <v>800</v>
      </c>
      <c r="I32" s="106"/>
      <c r="J32" s="106"/>
      <c r="K32" s="106"/>
      <c r="L32" s="106">
        <f t="shared" ref="L32:L42" si="37">D32-(D32*40/100)</f>
        <v>600</v>
      </c>
      <c r="M32" s="106"/>
      <c r="N32" s="106"/>
      <c r="O32" s="106"/>
      <c r="P32" s="46" t="s">
        <v>155</v>
      </c>
      <c r="Q32" s="45" t="s">
        <v>10</v>
      </c>
      <c r="R32" s="53" t="s">
        <v>192</v>
      </c>
    </row>
    <row r="33" spans="1:18" ht="47.25" thickBot="1" x14ac:dyDescent="0.55000000000000004">
      <c r="A33" s="55" t="s">
        <v>464</v>
      </c>
      <c r="B33" s="3" t="s">
        <v>167</v>
      </c>
      <c r="C33" s="76" t="s">
        <v>267</v>
      </c>
      <c r="D33" s="106">
        <v>5000</v>
      </c>
      <c r="E33" s="106"/>
      <c r="F33" s="106"/>
      <c r="G33" s="106"/>
      <c r="H33" s="106">
        <f t="shared" si="36"/>
        <v>4000</v>
      </c>
      <c r="I33" s="106"/>
      <c r="J33" s="106"/>
      <c r="K33" s="106"/>
      <c r="L33" s="106">
        <f t="shared" si="37"/>
        <v>3000</v>
      </c>
      <c r="M33" s="106"/>
      <c r="N33" s="106"/>
      <c r="O33" s="106"/>
      <c r="P33" s="6" t="s">
        <v>135</v>
      </c>
      <c r="Q33" s="2" t="s">
        <v>10</v>
      </c>
      <c r="R33" s="53" t="s">
        <v>192</v>
      </c>
    </row>
    <row r="34" spans="1:18" ht="44.25" thickBot="1" x14ac:dyDescent="0.55000000000000004">
      <c r="A34" s="55" t="s">
        <v>465</v>
      </c>
      <c r="B34" s="20" t="s">
        <v>70</v>
      </c>
      <c r="C34" s="82" t="s">
        <v>267</v>
      </c>
      <c r="D34" s="113">
        <v>5000</v>
      </c>
      <c r="E34" s="114"/>
      <c r="F34" s="114"/>
      <c r="G34" s="115"/>
      <c r="H34" s="113">
        <f t="shared" si="36"/>
        <v>4000</v>
      </c>
      <c r="I34" s="114"/>
      <c r="J34" s="114"/>
      <c r="K34" s="115"/>
      <c r="L34" s="113">
        <f t="shared" si="37"/>
        <v>3000</v>
      </c>
      <c r="M34" s="114"/>
      <c r="N34" s="114"/>
      <c r="O34" s="115"/>
      <c r="P34" s="58" t="s">
        <v>161</v>
      </c>
      <c r="Q34" s="56" t="s">
        <v>10</v>
      </c>
      <c r="R34" s="53" t="s">
        <v>192</v>
      </c>
    </row>
    <row r="35" spans="1:18" ht="44.25" thickBot="1" x14ac:dyDescent="0.55000000000000004">
      <c r="A35" s="55" t="s">
        <v>466</v>
      </c>
      <c r="B35" s="20" t="s">
        <v>55</v>
      </c>
      <c r="C35" s="82" t="s">
        <v>267</v>
      </c>
      <c r="D35" s="116">
        <v>50000</v>
      </c>
      <c r="E35" s="117"/>
      <c r="F35" s="117"/>
      <c r="G35" s="118"/>
      <c r="H35" s="114">
        <f t="shared" si="36"/>
        <v>40000</v>
      </c>
      <c r="I35" s="114"/>
      <c r="J35" s="114"/>
      <c r="K35" s="115"/>
      <c r="L35" s="113">
        <f t="shared" si="37"/>
        <v>30000</v>
      </c>
      <c r="M35" s="114"/>
      <c r="N35" s="114"/>
      <c r="O35" s="115"/>
      <c r="P35" s="58" t="s">
        <v>149</v>
      </c>
      <c r="Q35" s="56" t="s">
        <v>10</v>
      </c>
      <c r="R35" s="53" t="s">
        <v>192</v>
      </c>
    </row>
    <row r="36" spans="1:18" ht="44.25" thickBot="1" x14ac:dyDescent="0.55000000000000004">
      <c r="A36" s="55" t="s">
        <v>467</v>
      </c>
      <c r="B36" s="20" t="s">
        <v>56</v>
      </c>
      <c r="C36" s="82" t="s">
        <v>267</v>
      </c>
      <c r="D36" s="119">
        <v>15000</v>
      </c>
      <c r="E36" s="120"/>
      <c r="F36" s="120"/>
      <c r="G36" s="121"/>
      <c r="H36" s="114">
        <f t="shared" si="36"/>
        <v>12000</v>
      </c>
      <c r="I36" s="114"/>
      <c r="J36" s="114"/>
      <c r="K36" s="115"/>
      <c r="L36" s="113">
        <f t="shared" si="37"/>
        <v>9000</v>
      </c>
      <c r="M36" s="114"/>
      <c r="N36" s="114"/>
      <c r="O36" s="115"/>
      <c r="P36" s="58" t="s">
        <v>134</v>
      </c>
      <c r="Q36" s="56" t="s">
        <v>10</v>
      </c>
      <c r="R36" s="53" t="s">
        <v>192</v>
      </c>
    </row>
    <row r="37" spans="1:18" ht="47.25" thickBot="1" x14ac:dyDescent="0.55000000000000004">
      <c r="A37" s="55" t="s">
        <v>468</v>
      </c>
      <c r="B37" s="20" t="s">
        <v>168</v>
      </c>
      <c r="C37" s="82" t="s">
        <v>267</v>
      </c>
      <c r="D37" s="113">
        <v>5000</v>
      </c>
      <c r="E37" s="114"/>
      <c r="F37" s="114"/>
      <c r="G37" s="115"/>
      <c r="H37" s="114">
        <f t="shared" si="36"/>
        <v>4000</v>
      </c>
      <c r="I37" s="114"/>
      <c r="J37" s="114"/>
      <c r="K37" s="115"/>
      <c r="L37" s="113">
        <f t="shared" si="37"/>
        <v>3000</v>
      </c>
      <c r="M37" s="114"/>
      <c r="N37" s="114"/>
      <c r="O37" s="115"/>
      <c r="P37" s="58" t="s">
        <v>131</v>
      </c>
      <c r="Q37" s="56" t="s">
        <v>10</v>
      </c>
      <c r="R37" s="53" t="s">
        <v>192</v>
      </c>
    </row>
    <row r="38" spans="1:18" ht="44.25" thickBot="1" x14ac:dyDescent="0.55000000000000004">
      <c r="A38" s="43" t="s">
        <v>469</v>
      </c>
      <c r="B38" s="20" t="s">
        <v>98</v>
      </c>
      <c r="C38" s="82" t="s">
        <v>267</v>
      </c>
      <c r="D38" s="113">
        <v>10000</v>
      </c>
      <c r="E38" s="114"/>
      <c r="F38" s="114"/>
      <c r="G38" s="115"/>
      <c r="H38" s="114">
        <f t="shared" si="36"/>
        <v>8000</v>
      </c>
      <c r="I38" s="114"/>
      <c r="J38" s="114"/>
      <c r="K38" s="115"/>
      <c r="L38" s="113">
        <f t="shared" si="37"/>
        <v>6000</v>
      </c>
      <c r="M38" s="114"/>
      <c r="N38" s="114"/>
      <c r="O38" s="115"/>
      <c r="P38" s="58" t="s">
        <v>131</v>
      </c>
      <c r="Q38" s="56" t="s">
        <v>10</v>
      </c>
      <c r="R38" s="53" t="s">
        <v>192</v>
      </c>
    </row>
    <row r="39" spans="1:18" ht="44.25" thickBot="1" x14ac:dyDescent="0.55000000000000004">
      <c r="A39" s="43" t="s">
        <v>470</v>
      </c>
      <c r="B39" s="20" t="s">
        <v>474</v>
      </c>
      <c r="C39" s="82" t="s">
        <v>267</v>
      </c>
      <c r="D39" s="113">
        <v>5000</v>
      </c>
      <c r="E39" s="114"/>
      <c r="F39" s="114"/>
      <c r="G39" s="115"/>
      <c r="H39" s="114">
        <f t="shared" si="36"/>
        <v>4000</v>
      </c>
      <c r="I39" s="114"/>
      <c r="J39" s="114"/>
      <c r="K39" s="115"/>
      <c r="L39" s="113">
        <f t="shared" si="37"/>
        <v>3000</v>
      </c>
      <c r="M39" s="114"/>
      <c r="N39" s="114"/>
      <c r="O39" s="115"/>
      <c r="P39" s="58" t="s">
        <v>131</v>
      </c>
      <c r="Q39" s="56" t="s">
        <v>10</v>
      </c>
      <c r="R39" s="53" t="s">
        <v>193</v>
      </c>
    </row>
    <row r="40" spans="1:18" ht="44.25" thickBot="1" x14ac:dyDescent="0.55000000000000004">
      <c r="A40" s="43" t="s">
        <v>471</v>
      </c>
      <c r="B40" s="44" t="s">
        <v>169</v>
      </c>
      <c r="C40" s="82" t="s">
        <v>267</v>
      </c>
      <c r="D40" s="106">
        <v>5000</v>
      </c>
      <c r="E40" s="106"/>
      <c r="F40" s="106"/>
      <c r="G40" s="106"/>
      <c r="H40" s="106">
        <f t="shared" si="36"/>
        <v>4000</v>
      </c>
      <c r="I40" s="106"/>
      <c r="J40" s="106"/>
      <c r="K40" s="106"/>
      <c r="L40" s="106">
        <f t="shared" si="37"/>
        <v>3000</v>
      </c>
      <c r="M40" s="106"/>
      <c r="N40" s="106"/>
      <c r="O40" s="106"/>
      <c r="P40" s="58" t="s">
        <v>131</v>
      </c>
      <c r="Q40" s="45" t="s">
        <v>10</v>
      </c>
      <c r="R40" s="53" t="s">
        <v>193</v>
      </c>
    </row>
    <row r="41" spans="1:18" ht="44.25" thickBot="1" x14ac:dyDescent="0.55000000000000004">
      <c r="A41" s="43" t="s">
        <v>472</v>
      </c>
      <c r="B41" s="44" t="s">
        <v>170</v>
      </c>
      <c r="C41" s="82" t="s">
        <v>267</v>
      </c>
      <c r="D41" s="106">
        <v>20000</v>
      </c>
      <c r="E41" s="106"/>
      <c r="F41" s="106"/>
      <c r="G41" s="106"/>
      <c r="H41" s="106">
        <f t="shared" si="36"/>
        <v>16000</v>
      </c>
      <c r="I41" s="106"/>
      <c r="J41" s="106"/>
      <c r="K41" s="106"/>
      <c r="L41" s="106">
        <f t="shared" si="37"/>
        <v>12000</v>
      </c>
      <c r="M41" s="106"/>
      <c r="N41" s="106"/>
      <c r="O41" s="106"/>
      <c r="P41" s="46" t="s">
        <v>135</v>
      </c>
      <c r="Q41" s="45" t="s">
        <v>10</v>
      </c>
      <c r="R41" s="47" t="s">
        <v>226</v>
      </c>
    </row>
    <row r="42" spans="1:18" ht="44.25" thickBot="1" x14ac:dyDescent="0.55000000000000004">
      <c r="A42" s="43" t="s">
        <v>473</v>
      </c>
      <c r="B42" s="44" t="s">
        <v>53</v>
      </c>
      <c r="C42" s="82" t="s">
        <v>267</v>
      </c>
      <c r="D42" s="106">
        <v>30000</v>
      </c>
      <c r="E42" s="106"/>
      <c r="F42" s="106"/>
      <c r="G42" s="106"/>
      <c r="H42" s="106">
        <f t="shared" si="36"/>
        <v>24000</v>
      </c>
      <c r="I42" s="106"/>
      <c r="J42" s="106"/>
      <c r="K42" s="106"/>
      <c r="L42" s="106">
        <f t="shared" si="37"/>
        <v>18000</v>
      </c>
      <c r="M42" s="106"/>
      <c r="N42" s="106"/>
      <c r="O42" s="106"/>
      <c r="P42" s="46" t="s">
        <v>135</v>
      </c>
      <c r="Q42" s="45" t="s">
        <v>10</v>
      </c>
      <c r="R42" s="47" t="s">
        <v>227</v>
      </c>
    </row>
  </sheetData>
  <mergeCells count="121">
    <mergeCell ref="D41:G41"/>
    <mergeCell ref="H41:K41"/>
    <mergeCell ref="L41:O41"/>
    <mergeCell ref="D42:G42"/>
    <mergeCell ref="H42:K42"/>
    <mergeCell ref="L42:O42"/>
    <mergeCell ref="D38:G38"/>
    <mergeCell ref="H38:K38"/>
    <mergeCell ref="L38:O38"/>
    <mergeCell ref="D39:G39"/>
    <mergeCell ref="H39:K39"/>
    <mergeCell ref="L39:O39"/>
    <mergeCell ref="D40:G40"/>
    <mergeCell ref="H40:K40"/>
    <mergeCell ref="L40:O40"/>
    <mergeCell ref="B29:B30"/>
    <mergeCell ref="D35:G35"/>
    <mergeCell ref="H35:K35"/>
    <mergeCell ref="L35:O35"/>
    <mergeCell ref="D36:G36"/>
    <mergeCell ref="H36:K36"/>
    <mergeCell ref="L36:O36"/>
    <mergeCell ref="D37:G37"/>
    <mergeCell ref="H37:K37"/>
    <mergeCell ref="L37:O37"/>
    <mergeCell ref="D22:G22"/>
    <mergeCell ref="D27:G27"/>
    <mergeCell ref="H27:K27"/>
    <mergeCell ref="L27:O27"/>
    <mergeCell ref="D33:G33"/>
    <mergeCell ref="H33:K33"/>
    <mergeCell ref="L33:O33"/>
    <mergeCell ref="D34:G34"/>
    <mergeCell ref="H34:K34"/>
    <mergeCell ref="L34:O34"/>
    <mergeCell ref="D29:G30"/>
    <mergeCell ref="H29:K30"/>
    <mergeCell ref="L29:O30"/>
    <mergeCell ref="A31:R31"/>
    <mergeCell ref="D32:G32"/>
    <mergeCell ref="H32:K32"/>
    <mergeCell ref="L32:O32"/>
    <mergeCell ref="P29:P30"/>
    <mergeCell ref="Q29:Q30"/>
    <mergeCell ref="R29:R30"/>
    <mergeCell ref="D28:G28"/>
    <mergeCell ref="H28:K28"/>
    <mergeCell ref="L28:O28"/>
    <mergeCell ref="A29:A30"/>
    <mergeCell ref="C4:C5"/>
    <mergeCell ref="C29:C30"/>
    <mergeCell ref="A10:A11"/>
    <mergeCell ref="B10:B11"/>
    <mergeCell ref="P10:P11"/>
    <mergeCell ref="Q10:Q11"/>
    <mergeCell ref="R10:R11"/>
    <mergeCell ref="D14:G14"/>
    <mergeCell ref="H14:K14"/>
    <mergeCell ref="L14:O14"/>
    <mergeCell ref="A25:A26"/>
    <mergeCell ref="B25:B26"/>
    <mergeCell ref="P25:P26"/>
    <mergeCell ref="Q25:Q26"/>
    <mergeCell ref="R25:R26"/>
    <mergeCell ref="D16:G16"/>
    <mergeCell ref="H16:K16"/>
    <mergeCell ref="L16:O16"/>
    <mergeCell ref="D24:G24"/>
    <mergeCell ref="H24:K24"/>
    <mergeCell ref="L24:O24"/>
    <mergeCell ref="D21:G21"/>
    <mergeCell ref="H21:K21"/>
    <mergeCell ref="L21:O21"/>
    <mergeCell ref="H13:K13"/>
    <mergeCell ref="L13:O13"/>
    <mergeCell ref="D15:G15"/>
    <mergeCell ref="H15:K15"/>
    <mergeCell ref="L15:O15"/>
    <mergeCell ref="R8:R9"/>
    <mergeCell ref="R4:R5"/>
    <mergeCell ref="P8:P9"/>
    <mergeCell ref="A4:A5"/>
    <mergeCell ref="B4:B5"/>
    <mergeCell ref="D4:G4"/>
    <mergeCell ref="H4:K4"/>
    <mergeCell ref="L4:O4"/>
    <mergeCell ref="Q4:Q5"/>
    <mergeCell ref="A8:A9"/>
    <mergeCell ref="B8:B9"/>
    <mergeCell ref="Q8:Q9"/>
    <mergeCell ref="D6:G6"/>
    <mergeCell ref="H6:K6"/>
    <mergeCell ref="L6:O6"/>
    <mergeCell ref="D7:G7"/>
    <mergeCell ref="H7:K7"/>
    <mergeCell ref="L7:O7"/>
    <mergeCell ref="P4:P5"/>
    <mergeCell ref="H22:K22"/>
    <mergeCell ref="L22:O22"/>
    <mergeCell ref="D23:G23"/>
    <mergeCell ref="H23:K23"/>
    <mergeCell ref="L23:O23"/>
    <mergeCell ref="A1:R1"/>
    <mergeCell ref="A2:R2"/>
    <mergeCell ref="A3:R3"/>
    <mergeCell ref="D19:G19"/>
    <mergeCell ref="H19:K19"/>
    <mergeCell ref="L19:O19"/>
    <mergeCell ref="D20:G20"/>
    <mergeCell ref="H20:K20"/>
    <mergeCell ref="L20:O20"/>
    <mergeCell ref="D17:G17"/>
    <mergeCell ref="H17:K17"/>
    <mergeCell ref="L17:O17"/>
    <mergeCell ref="D18:G18"/>
    <mergeCell ref="H18:K18"/>
    <mergeCell ref="L18:O18"/>
    <mergeCell ref="D12:G12"/>
    <mergeCell ref="H12:K12"/>
    <mergeCell ref="L12:O12"/>
    <mergeCell ref="D13:G13"/>
  </mergeCells>
  <phoneticPr fontId="14" type="noConversion"/>
  <pageMargins left="0.7" right="0.7" top="0.75" bottom="0.75" header="0.3" footer="0.3"/>
  <pageSetup paperSize="9" scale="49"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97"/>
  <sheetViews>
    <sheetView rightToLeft="1" topLeftCell="B16" zoomScale="88" zoomScaleNormal="60" workbookViewId="0">
      <selection activeCell="B16" sqref="B16"/>
    </sheetView>
  </sheetViews>
  <sheetFormatPr defaultColWidth="9.125" defaultRowHeight="21.75" x14ac:dyDescent="0.5"/>
  <cols>
    <col min="1" max="1" width="13.75" style="14" customWidth="1"/>
    <col min="2" max="2" width="62" style="14" customWidth="1"/>
    <col min="3" max="3" width="15" style="14" customWidth="1"/>
    <col min="4" max="15" width="9.125" style="14"/>
    <col min="16" max="16" width="21.625" style="23" customWidth="1"/>
    <col min="17" max="17" width="12" style="14" customWidth="1"/>
    <col min="18" max="18" width="30.75" style="86" customWidth="1"/>
    <col min="19" max="16384" width="9.125" style="14"/>
  </cols>
  <sheetData>
    <row r="1" spans="1:18" ht="37.5" customHeight="1" x14ac:dyDescent="0.45">
      <c r="A1" s="169" t="s">
        <v>12</v>
      </c>
      <c r="B1" s="170"/>
      <c r="C1" s="170"/>
      <c r="D1" s="170"/>
      <c r="E1" s="170"/>
      <c r="F1" s="170"/>
      <c r="G1" s="170"/>
      <c r="H1" s="170"/>
      <c r="I1" s="170"/>
      <c r="J1" s="170"/>
      <c r="K1" s="170"/>
      <c r="L1" s="170"/>
      <c r="M1" s="170"/>
      <c r="N1" s="170"/>
      <c r="O1" s="170"/>
      <c r="P1" s="170"/>
      <c r="Q1" s="170"/>
      <c r="R1" s="170"/>
    </row>
    <row r="2" spans="1:18" ht="24" customHeight="1" x14ac:dyDescent="0.45">
      <c r="A2" s="151" t="s">
        <v>30</v>
      </c>
      <c r="B2" s="152"/>
      <c r="C2" s="152"/>
      <c r="D2" s="152"/>
      <c r="E2" s="152"/>
      <c r="F2" s="152"/>
      <c r="G2" s="152"/>
      <c r="H2" s="152"/>
      <c r="I2" s="152"/>
      <c r="J2" s="152"/>
      <c r="K2" s="152"/>
      <c r="L2" s="152"/>
      <c r="M2" s="152"/>
      <c r="N2" s="152"/>
      <c r="O2" s="152"/>
      <c r="P2" s="152"/>
      <c r="Q2" s="152"/>
      <c r="R2" s="152"/>
    </row>
    <row r="3" spans="1:18" ht="24" customHeight="1" thickBot="1" x14ac:dyDescent="0.5">
      <c r="A3" s="125" t="s">
        <v>512</v>
      </c>
      <c r="B3" s="126"/>
      <c r="C3" s="126"/>
      <c r="D3" s="126"/>
      <c r="E3" s="126"/>
      <c r="F3" s="126"/>
      <c r="G3" s="126"/>
      <c r="H3" s="126"/>
      <c r="I3" s="126"/>
      <c r="J3" s="126"/>
      <c r="K3" s="126"/>
      <c r="L3" s="126"/>
      <c r="M3" s="126"/>
      <c r="N3" s="126"/>
      <c r="O3" s="126"/>
      <c r="P3" s="126"/>
      <c r="Q3" s="126"/>
      <c r="R3" s="126"/>
    </row>
    <row r="4" spans="1:18" ht="24" thickBot="1" x14ac:dyDescent="0.5">
      <c r="A4" s="205" t="s">
        <v>5</v>
      </c>
      <c r="B4" s="206" t="s">
        <v>4</v>
      </c>
      <c r="C4" s="161"/>
      <c r="D4" s="206" t="s">
        <v>3</v>
      </c>
      <c r="E4" s="206"/>
      <c r="F4" s="206"/>
      <c r="G4" s="206"/>
      <c r="H4" s="206" t="s">
        <v>2</v>
      </c>
      <c r="I4" s="206"/>
      <c r="J4" s="206"/>
      <c r="K4" s="206"/>
      <c r="L4" s="206" t="s">
        <v>1</v>
      </c>
      <c r="M4" s="206"/>
      <c r="N4" s="206"/>
      <c r="O4" s="206"/>
      <c r="P4" s="206" t="s">
        <v>47</v>
      </c>
      <c r="Q4" s="206" t="s">
        <v>0</v>
      </c>
      <c r="R4" s="173" t="s">
        <v>75</v>
      </c>
    </row>
    <row r="5" spans="1:18" ht="24" thickBot="1" x14ac:dyDescent="0.5">
      <c r="A5" s="205"/>
      <c r="B5" s="206"/>
      <c r="C5" s="162"/>
      <c r="D5" s="13" t="s">
        <v>9</v>
      </c>
      <c r="E5" s="13" t="s">
        <v>8</v>
      </c>
      <c r="F5" s="13" t="s">
        <v>7</v>
      </c>
      <c r="G5" s="13" t="s">
        <v>6</v>
      </c>
      <c r="H5" s="13" t="s">
        <v>9</v>
      </c>
      <c r="I5" s="13" t="s">
        <v>8</v>
      </c>
      <c r="J5" s="13" t="s">
        <v>7</v>
      </c>
      <c r="K5" s="13" t="s">
        <v>6</v>
      </c>
      <c r="L5" s="13" t="s">
        <v>9</v>
      </c>
      <c r="M5" s="13" t="s">
        <v>8</v>
      </c>
      <c r="N5" s="13" t="s">
        <v>7</v>
      </c>
      <c r="O5" s="13" t="s">
        <v>6</v>
      </c>
      <c r="P5" s="206"/>
      <c r="Q5" s="206"/>
      <c r="R5" s="173"/>
    </row>
    <row r="6" spans="1:18" ht="66.75" customHeight="1" thickBot="1" x14ac:dyDescent="0.5">
      <c r="A6" s="15" t="s">
        <v>515</v>
      </c>
      <c r="B6" s="56" t="s">
        <v>514</v>
      </c>
      <c r="C6" s="56" t="s">
        <v>267</v>
      </c>
      <c r="D6" s="106">
        <v>50000</v>
      </c>
      <c r="E6" s="106"/>
      <c r="F6" s="106"/>
      <c r="G6" s="106"/>
      <c r="H6" s="106">
        <f>D6-(D6*20/100)</f>
        <v>40000</v>
      </c>
      <c r="I6" s="106"/>
      <c r="J6" s="106"/>
      <c r="K6" s="106"/>
      <c r="L6" s="106">
        <f>D6-(D6*40/100)</f>
        <v>30000</v>
      </c>
      <c r="M6" s="106"/>
      <c r="N6" s="106"/>
      <c r="O6" s="106"/>
      <c r="P6" s="46" t="s">
        <v>135</v>
      </c>
      <c r="Q6" s="45" t="s">
        <v>10</v>
      </c>
      <c r="R6" s="53" t="s">
        <v>196</v>
      </c>
    </row>
    <row r="7" spans="1:18" ht="31.5" customHeight="1" thickBot="1" x14ac:dyDescent="0.5">
      <c r="A7" s="191" t="s">
        <v>516</v>
      </c>
      <c r="B7" s="213" t="s">
        <v>48</v>
      </c>
      <c r="C7" s="4" t="s">
        <v>283</v>
      </c>
      <c r="D7" s="4">
        <v>3000</v>
      </c>
      <c r="E7" s="57">
        <f t="shared" ref="E7" si="0">D7-(D7*10/100)</f>
        <v>2700</v>
      </c>
      <c r="F7" s="57">
        <f t="shared" ref="F7" si="1">D7-(D7*20/100)</f>
        <v>2400</v>
      </c>
      <c r="G7" s="57">
        <f t="shared" ref="G7" si="2">D7-(D7*30/100)</f>
        <v>2100</v>
      </c>
      <c r="H7" s="57">
        <f>D7-(D7*10/100)</f>
        <v>2700</v>
      </c>
      <c r="I7" s="57">
        <f t="shared" ref="I7" si="3">H7-(H7*10/100)</f>
        <v>2430</v>
      </c>
      <c r="J7" s="57">
        <f t="shared" ref="J7" si="4">H7-(H7*20/100)</f>
        <v>2160</v>
      </c>
      <c r="K7" s="57">
        <f t="shared" ref="K7" si="5">H7-(H7*30/100)</f>
        <v>1890</v>
      </c>
      <c r="L7" s="57">
        <f>D7-(D7*20/100)</f>
        <v>2400</v>
      </c>
      <c r="M7" s="57">
        <f t="shared" ref="M7" si="6">L7-(L7*10/100)</f>
        <v>2160</v>
      </c>
      <c r="N7" s="57">
        <f t="shared" ref="N7" si="7">L7-(L7*20/100)</f>
        <v>1920</v>
      </c>
      <c r="O7" s="57">
        <f t="shared" ref="O7" si="8">L7-(L7*30/100)</f>
        <v>1680</v>
      </c>
      <c r="P7" s="100" t="s">
        <v>135</v>
      </c>
      <c r="Q7" s="160" t="s">
        <v>25</v>
      </c>
      <c r="R7" s="174" t="s">
        <v>196</v>
      </c>
    </row>
    <row r="8" spans="1:18" ht="33.75" customHeight="1" thickBot="1" x14ac:dyDescent="0.5">
      <c r="A8" s="191"/>
      <c r="B8" s="213"/>
      <c r="C8" s="57" t="s">
        <v>284</v>
      </c>
      <c r="D8" s="57">
        <f t="shared" ref="D8:O8" si="9">D7*50/100</f>
        <v>1500</v>
      </c>
      <c r="E8" s="57">
        <f t="shared" si="9"/>
        <v>1350</v>
      </c>
      <c r="F8" s="57">
        <f t="shared" si="9"/>
        <v>1200</v>
      </c>
      <c r="G8" s="57">
        <f t="shared" si="9"/>
        <v>1050</v>
      </c>
      <c r="H8" s="57">
        <f t="shared" si="9"/>
        <v>1350</v>
      </c>
      <c r="I8" s="57">
        <f t="shared" si="9"/>
        <v>1215</v>
      </c>
      <c r="J8" s="57">
        <f t="shared" si="9"/>
        <v>1080</v>
      </c>
      <c r="K8" s="57">
        <f t="shared" si="9"/>
        <v>945</v>
      </c>
      <c r="L8" s="57">
        <f t="shared" si="9"/>
        <v>1200</v>
      </c>
      <c r="M8" s="57">
        <f t="shared" si="9"/>
        <v>1080</v>
      </c>
      <c r="N8" s="57">
        <f t="shared" si="9"/>
        <v>960</v>
      </c>
      <c r="O8" s="57">
        <f t="shared" si="9"/>
        <v>840</v>
      </c>
      <c r="P8" s="101"/>
      <c r="Q8" s="160"/>
      <c r="R8" s="174"/>
    </row>
    <row r="9" spans="1:18" ht="31.5" customHeight="1" thickBot="1" x14ac:dyDescent="0.5">
      <c r="A9" s="191" t="s">
        <v>517</v>
      </c>
      <c r="B9" s="160" t="s">
        <v>100</v>
      </c>
      <c r="C9" s="4" t="s">
        <v>283</v>
      </c>
      <c r="D9" s="4">
        <v>5000</v>
      </c>
      <c r="E9" s="57">
        <f t="shared" ref="E9" si="10">D9-(D9*10/100)</f>
        <v>4500</v>
      </c>
      <c r="F9" s="57">
        <f t="shared" ref="F9" si="11">D9-(D9*20/100)</f>
        <v>4000</v>
      </c>
      <c r="G9" s="57">
        <f t="shared" ref="G9" si="12">D9-(D9*30/100)</f>
        <v>3500</v>
      </c>
      <c r="H9" s="57">
        <f>D9-(D9*10/100)</f>
        <v>4500</v>
      </c>
      <c r="I9" s="57">
        <f t="shared" ref="I9" si="13">H9-(H9*10/100)</f>
        <v>4050</v>
      </c>
      <c r="J9" s="57">
        <f t="shared" ref="J9" si="14">H9-(H9*20/100)</f>
        <v>3600</v>
      </c>
      <c r="K9" s="57">
        <f t="shared" ref="K9" si="15">H9-(H9*30/100)</f>
        <v>3150</v>
      </c>
      <c r="L9" s="57">
        <f>D9-(D9*20/100)</f>
        <v>4000</v>
      </c>
      <c r="M9" s="57">
        <f t="shared" ref="M9" si="16">L9-(L9*10/100)</f>
        <v>3600</v>
      </c>
      <c r="N9" s="57">
        <f t="shared" ref="N9" si="17">L9-(L9*20/100)</f>
        <v>3200</v>
      </c>
      <c r="O9" s="57">
        <f t="shared" ref="O9" si="18">L9-(L9*30/100)</f>
        <v>2800</v>
      </c>
      <c r="P9" s="156" t="s">
        <v>135</v>
      </c>
      <c r="Q9" s="207" t="s">
        <v>25</v>
      </c>
      <c r="R9" s="174" t="s">
        <v>197</v>
      </c>
    </row>
    <row r="10" spans="1:18" ht="36" customHeight="1" thickBot="1" x14ac:dyDescent="0.5">
      <c r="A10" s="191"/>
      <c r="B10" s="160"/>
      <c r="C10" s="57" t="s">
        <v>284</v>
      </c>
      <c r="D10" s="57">
        <f t="shared" ref="D10:O10" si="19">D9*50/100</f>
        <v>2500</v>
      </c>
      <c r="E10" s="57">
        <f t="shared" si="19"/>
        <v>2250</v>
      </c>
      <c r="F10" s="57">
        <f t="shared" si="19"/>
        <v>2000</v>
      </c>
      <c r="G10" s="57">
        <f t="shared" si="19"/>
        <v>1750</v>
      </c>
      <c r="H10" s="57">
        <f t="shared" si="19"/>
        <v>2250</v>
      </c>
      <c r="I10" s="57">
        <f t="shared" si="19"/>
        <v>2025</v>
      </c>
      <c r="J10" s="57">
        <f t="shared" si="19"/>
        <v>1800</v>
      </c>
      <c r="K10" s="57">
        <f t="shared" si="19"/>
        <v>1575</v>
      </c>
      <c r="L10" s="57">
        <f t="shared" si="19"/>
        <v>2000</v>
      </c>
      <c r="M10" s="57">
        <f t="shared" si="19"/>
        <v>1800</v>
      </c>
      <c r="N10" s="57">
        <f t="shared" si="19"/>
        <v>1600</v>
      </c>
      <c r="O10" s="57">
        <f t="shared" si="19"/>
        <v>1400</v>
      </c>
      <c r="P10" s="156"/>
      <c r="Q10" s="207"/>
      <c r="R10" s="174"/>
    </row>
    <row r="11" spans="1:18" ht="63" customHeight="1" thickBot="1" x14ac:dyDescent="0.5">
      <c r="A11" s="55" t="s">
        <v>518</v>
      </c>
      <c r="B11" s="45" t="s">
        <v>101</v>
      </c>
      <c r="C11" s="88" t="s">
        <v>267</v>
      </c>
      <c r="D11" s="106">
        <v>50000</v>
      </c>
      <c r="E11" s="106"/>
      <c r="F11" s="106"/>
      <c r="G11" s="106"/>
      <c r="H11" s="106">
        <f t="shared" ref="H11:H16" si="20">D11-(D11*20/100)</f>
        <v>40000</v>
      </c>
      <c r="I11" s="106"/>
      <c r="J11" s="106"/>
      <c r="K11" s="106"/>
      <c r="L11" s="106">
        <f t="shared" ref="L11:L16" si="21">D11-(D11*40/100)</f>
        <v>30000</v>
      </c>
      <c r="M11" s="106"/>
      <c r="N11" s="106"/>
      <c r="O11" s="106"/>
      <c r="P11" s="51" t="s">
        <v>135</v>
      </c>
      <c r="Q11" s="68" t="s">
        <v>10</v>
      </c>
      <c r="R11" s="53" t="s">
        <v>197</v>
      </c>
    </row>
    <row r="12" spans="1:18" ht="51" customHeight="1" thickBot="1" x14ac:dyDescent="0.5">
      <c r="A12" s="55" t="s">
        <v>519</v>
      </c>
      <c r="B12" s="45" t="s">
        <v>43</v>
      </c>
      <c r="C12" s="88" t="s">
        <v>267</v>
      </c>
      <c r="D12" s="106">
        <v>10000</v>
      </c>
      <c r="E12" s="106"/>
      <c r="F12" s="106"/>
      <c r="G12" s="106"/>
      <c r="H12" s="106">
        <f t="shared" si="20"/>
        <v>8000</v>
      </c>
      <c r="I12" s="106"/>
      <c r="J12" s="106"/>
      <c r="K12" s="106"/>
      <c r="L12" s="106">
        <f t="shared" si="21"/>
        <v>6000</v>
      </c>
      <c r="M12" s="106"/>
      <c r="N12" s="106"/>
      <c r="O12" s="106"/>
      <c r="P12" s="51" t="s">
        <v>135</v>
      </c>
      <c r="Q12" s="68" t="s">
        <v>10</v>
      </c>
      <c r="R12" s="53" t="s">
        <v>197</v>
      </c>
    </row>
    <row r="13" spans="1:18" ht="44.25" thickBot="1" x14ac:dyDescent="0.5">
      <c r="A13" s="97" t="s">
        <v>520</v>
      </c>
      <c r="B13" s="98" t="s">
        <v>513</v>
      </c>
      <c r="C13" s="91" t="s">
        <v>267</v>
      </c>
      <c r="D13" s="202">
        <v>30000</v>
      </c>
      <c r="E13" s="203"/>
      <c r="F13" s="203"/>
      <c r="G13" s="204"/>
      <c r="H13" s="202">
        <f t="shared" si="20"/>
        <v>24000</v>
      </c>
      <c r="I13" s="203"/>
      <c r="J13" s="203"/>
      <c r="K13" s="204"/>
      <c r="L13" s="202">
        <f t="shared" si="21"/>
        <v>18000</v>
      </c>
      <c r="M13" s="203"/>
      <c r="N13" s="203"/>
      <c r="O13" s="204"/>
      <c r="P13" s="52" t="s">
        <v>135</v>
      </c>
      <c r="Q13" s="40" t="s">
        <v>28</v>
      </c>
      <c r="R13" s="47" t="s">
        <v>198</v>
      </c>
    </row>
    <row r="14" spans="1:18" ht="24" thickBot="1" x14ac:dyDescent="0.5">
      <c r="A14" s="220" t="s">
        <v>521</v>
      </c>
      <c r="B14" s="216" t="s">
        <v>611</v>
      </c>
      <c r="C14" s="93" t="s">
        <v>283</v>
      </c>
      <c r="D14" s="93">
        <v>5000</v>
      </c>
      <c r="E14" s="94">
        <f t="shared" ref="E14" si="22">D14-(D14*10/100)</f>
        <v>4500</v>
      </c>
      <c r="F14" s="94">
        <f t="shared" ref="F14" si="23">D14-(D14*20/100)</f>
        <v>4000</v>
      </c>
      <c r="G14" s="94">
        <f t="shared" ref="G14" si="24">D14-(D14*30/100)</f>
        <v>3500</v>
      </c>
      <c r="H14" s="94">
        <f>D14-(D14*10/100)</f>
        <v>4500</v>
      </c>
      <c r="I14" s="94">
        <f t="shared" ref="I14" si="25">H14-(H14*10/100)</f>
        <v>4050</v>
      </c>
      <c r="J14" s="94">
        <f t="shared" ref="J14" si="26">H14-(H14*20/100)</f>
        <v>3600</v>
      </c>
      <c r="K14" s="94">
        <f t="shared" ref="K14" si="27">H14-(H14*30/100)</f>
        <v>3150</v>
      </c>
      <c r="L14" s="94">
        <f>D14-(D14*20/100)</f>
        <v>4000</v>
      </c>
      <c r="M14" s="94">
        <f t="shared" ref="M14" si="28">L14-(L14*10/100)</f>
        <v>3600</v>
      </c>
      <c r="N14" s="94">
        <f t="shared" ref="N14" si="29">L14-(L14*20/100)</f>
        <v>3200</v>
      </c>
      <c r="O14" s="94">
        <f t="shared" ref="O14" si="30">L14-(L14*30/100)</f>
        <v>2800</v>
      </c>
      <c r="P14" s="222" t="s">
        <v>135</v>
      </c>
      <c r="Q14" s="109" t="s">
        <v>525</v>
      </c>
      <c r="R14" s="104" t="s">
        <v>198</v>
      </c>
    </row>
    <row r="15" spans="1:18" ht="24" thickBot="1" x14ac:dyDescent="0.5">
      <c r="A15" s="221"/>
      <c r="B15" s="217"/>
      <c r="C15" s="94" t="s">
        <v>284</v>
      </c>
      <c r="D15" s="94">
        <f t="shared" ref="D15:O15" si="31">D14*50/100</f>
        <v>2500</v>
      </c>
      <c r="E15" s="94">
        <f t="shared" si="31"/>
        <v>2250</v>
      </c>
      <c r="F15" s="94">
        <f t="shared" si="31"/>
        <v>2000</v>
      </c>
      <c r="G15" s="94">
        <f t="shared" si="31"/>
        <v>1750</v>
      </c>
      <c r="H15" s="94">
        <f t="shared" si="31"/>
        <v>2250</v>
      </c>
      <c r="I15" s="94">
        <f t="shared" si="31"/>
        <v>2025</v>
      </c>
      <c r="J15" s="94">
        <f t="shared" si="31"/>
        <v>1800</v>
      </c>
      <c r="K15" s="94">
        <f t="shared" si="31"/>
        <v>1575</v>
      </c>
      <c r="L15" s="94">
        <f t="shared" si="31"/>
        <v>2000</v>
      </c>
      <c r="M15" s="94">
        <f t="shared" si="31"/>
        <v>1800</v>
      </c>
      <c r="N15" s="94">
        <f t="shared" si="31"/>
        <v>1600</v>
      </c>
      <c r="O15" s="94">
        <f t="shared" si="31"/>
        <v>1400</v>
      </c>
      <c r="P15" s="223"/>
      <c r="Q15" s="111"/>
      <c r="R15" s="105"/>
    </row>
    <row r="16" spans="1:18" ht="47.25" thickBot="1" x14ac:dyDescent="0.5">
      <c r="A16" s="97" t="s">
        <v>522</v>
      </c>
      <c r="B16" s="98" t="s">
        <v>612</v>
      </c>
      <c r="C16" s="91" t="s">
        <v>267</v>
      </c>
      <c r="D16" s="202">
        <v>30000</v>
      </c>
      <c r="E16" s="203"/>
      <c r="F16" s="203"/>
      <c r="G16" s="204"/>
      <c r="H16" s="202">
        <f t="shared" si="20"/>
        <v>24000</v>
      </c>
      <c r="I16" s="203"/>
      <c r="J16" s="203"/>
      <c r="K16" s="204"/>
      <c r="L16" s="202">
        <f t="shared" si="21"/>
        <v>18000</v>
      </c>
      <c r="M16" s="203"/>
      <c r="N16" s="203"/>
      <c r="O16" s="204"/>
      <c r="P16" s="52" t="s">
        <v>135</v>
      </c>
      <c r="Q16" s="40" t="s">
        <v>28</v>
      </c>
      <c r="R16" s="47" t="s">
        <v>199</v>
      </c>
    </row>
    <row r="17" spans="1:18" ht="26.25" customHeight="1" thickBot="1" x14ac:dyDescent="0.5">
      <c r="A17" s="220" t="s">
        <v>523</v>
      </c>
      <c r="B17" s="216" t="s">
        <v>614</v>
      </c>
      <c r="C17" s="93" t="s">
        <v>283</v>
      </c>
      <c r="D17" s="93">
        <v>5000</v>
      </c>
      <c r="E17" s="94">
        <f t="shared" ref="E17" si="32">D17-(D17*10/100)</f>
        <v>4500</v>
      </c>
      <c r="F17" s="94">
        <f t="shared" ref="F17" si="33">D17-(D17*20/100)</f>
        <v>4000</v>
      </c>
      <c r="G17" s="94">
        <f t="shared" ref="G17" si="34">D17-(D17*30/100)</f>
        <v>3500</v>
      </c>
      <c r="H17" s="94">
        <f>D17-(D17*10/100)</f>
        <v>4500</v>
      </c>
      <c r="I17" s="94">
        <f t="shared" ref="I17" si="35">H17-(H17*10/100)</f>
        <v>4050</v>
      </c>
      <c r="J17" s="94">
        <f t="shared" ref="J17" si="36">H17-(H17*20/100)</f>
        <v>3600</v>
      </c>
      <c r="K17" s="94">
        <f t="shared" ref="K17" si="37">H17-(H17*30/100)</f>
        <v>3150</v>
      </c>
      <c r="L17" s="94">
        <f>D17-(D17*20/100)</f>
        <v>4000</v>
      </c>
      <c r="M17" s="94">
        <f t="shared" ref="M17" si="38">L17-(L17*10/100)</f>
        <v>3600</v>
      </c>
      <c r="N17" s="94">
        <f t="shared" ref="N17" si="39">L17-(L17*20/100)</f>
        <v>3200</v>
      </c>
      <c r="O17" s="94">
        <f t="shared" ref="O17" si="40">L17-(L17*30/100)</f>
        <v>2800</v>
      </c>
      <c r="P17" s="222" t="s">
        <v>135</v>
      </c>
      <c r="Q17" s="109" t="s">
        <v>25</v>
      </c>
      <c r="R17" s="104" t="s">
        <v>199</v>
      </c>
    </row>
    <row r="18" spans="1:18" ht="25.5" customHeight="1" thickBot="1" x14ac:dyDescent="0.5">
      <c r="A18" s="221"/>
      <c r="B18" s="217"/>
      <c r="C18" s="94" t="s">
        <v>284</v>
      </c>
      <c r="D18" s="94">
        <f t="shared" ref="D18:O18" si="41">D17*50/100</f>
        <v>2500</v>
      </c>
      <c r="E18" s="94">
        <f t="shared" si="41"/>
        <v>2250</v>
      </c>
      <c r="F18" s="94">
        <f t="shared" si="41"/>
        <v>2000</v>
      </c>
      <c r="G18" s="94">
        <f t="shared" si="41"/>
        <v>1750</v>
      </c>
      <c r="H18" s="94">
        <f t="shared" si="41"/>
        <v>2250</v>
      </c>
      <c r="I18" s="94">
        <f t="shared" si="41"/>
        <v>2025</v>
      </c>
      <c r="J18" s="94">
        <f t="shared" si="41"/>
        <v>1800</v>
      </c>
      <c r="K18" s="94">
        <f t="shared" si="41"/>
        <v>1575</v>
      </c>
      <c r="L18" s="94">
        <f t="shared" si="41"/>
        <v>2000</v>
      </c>
      <c r="M18" s="94">
        <f t="shared" si="41"/>
        <v>1800</v>
      </c>
      <c r="N18" s="94">
        <f t="shared" si="41"/>
        <v>1600</v>
      </c>
      <c r="O18" s="94">
        <f t="shared" si="41"/>
        <v>1400</v>
      </c>
      <c r="P18" s="223"/>
      <c r="Q18" s="111"/>
      <c r="R18" s="105"/>
    </row>
    <row r="19" spans="1:18" ht="27.75" customHeight="1" thickBot="1" x14ac:dyDescent="0.5">
      <c r="A19" s="176" t="s">
        <v>524</v>
      </c>
      <c r="B19" s="166" t="s">
        <v>526</v>
      </c>
      <c r="C19" s="4" t="s">
        <v>283</v>
      </c>
      <c r="D19" s="4">
        <v>1000</v>
      </c>
      <c r="E19" s="57">
        <f t="shared" ref="E19" si="42">D19-(D19*10/100)</f>
        <v>900</v>
      </c>
      <c r="F19" s="57">
        <f t="shared" ref="F19" si="43">D19-(D19*20/100)</f>
        <v>800</v>
      </c>
      <c r="G19" s="57">
        <f t="shared" ref="G19" si="44">D19-(D19*30/100)</f>
        <v>700</v>
      </c>
      <c r="H19" s="57">
        <f>D19-(D19*10/100)</f>
        <v>900</v>
      </c>
      <c r="I19" s="57">
        <f t="shared" ref="I19" si="45">H19-(H19*10/100)</f>
        <v>810</v>
      </c>
      <c r="J19" s="57">
        <f t="shared" ref="J19" si="46">H19-(H19*20/100)</f>
        <v>720</v>
      </c>
      <c r="K19" s="57">
        <f t="shared" ref="K19" si="47">H19-(H19*30/100)</f>
        <v>630</v>
      </c>
      <c r="L19" s="57">
        <f>D19-(D19*20/100)</f>
        <v>800</v>
      </c>
      <c r="M19" s="57">
        <f t="shared" ref="M19" si="48">L19-(L19*10/100)</f>
        <v>720</v>
      </c>
      <c r="N19" s="57">
        <f t="shared" ref="N19" si="49">L19-(L19*20/100)</f>
        <v>640</v>
      </c>
      <c r="O19" s="57">
        <f t="shared" ref="O19" si="50">L19-(L19*30/100)</f>
        <v>560</v>
      </c>
      <c r="P19" s="102" t="s">
        <v>131</v>
      </c>
      <c r="Q19" s="178" t="s">
        <v>25</v>
      </c>
      <c r="R19" s="104" t="s">
        <v>187</v>
      </c>
    </row>
    <row r="20" spans="1:18" ht="25.5" customHeight="1" thickBot="1" x14ac:dyDescent="0.5">
      <c r="A20" s="177"/>
      <c r="B20" s="167"/>
      <c r="C20" s="57" t="s">
        <v>284</v>
      </c>
      <c r="D20" s="57">
        <f t="shared" ref="D20:O20" si="51">D19*50/100</f>
        <v>500</v>
      </c>
      <c r="E20" s="57">
        <f t="shared" si="51"/>
        <v>450</v>
      </c>
      <c r="F20" s="57">
        <f t="shared" si="51"/>
        <v>400</v>
      </c>
      <c r="G20" s="57">
        <f t="shared" si="51"/>
        <v>350</v>
      </c>
      <c r="H20" s="57">
        <f t="shared" si="51"/>
        <v>450</v>
      </c>
      <c r="I20" s="57">
        <f t="shared" si="51"/>
        <v>405</v>
      </c>
      <c r="J20" s="57">
        <f t="shared" si="51"/>
        <v>360</v>
      </c>
      <c r="K20" s="57">
        <f t="shared" si="51"/>
        <v>315</v>
      </c>
      <c r="L20" s="57">
        <f t="shared" si="51"/>
        <v>400</v>
      </c>
      <c r="M20" s="57">
        <f t="shared" si="51"/>
        <v>360</v>
      </c>
      <c r="N20" s="57">
        <f t="shared" si="51"/>
        <v>320</v>
      </c>
      <c r="O20" s="57">
        <f t="shared" si="51"/>
        <v>280</v>
      </c>
      <c r="P20" s="103"/>
      <c r="Q20" s="179"/>
      <c r="R20" s="105"/>
    </row>
    <row r="21" spans="1:18" ht="28.5" customHeight="1" thickBot="1" x14ac:dyDescent="0.5">
      <c r="A21" s="211" t="s">
        <v>288</v>
      </c>
      <c r="B21" s="212"/>
      <c r="C21" s="212"/>
      <c r="D21" s="212"/>
      <c r="E21" s="212"/>
      <c r="F21" s="212"/>
      <c r="G21" s="212"/>
      <c r="H21" s="212"/>
      <c r="I21" s="212"/>
      <c r="J21" s="212"/>
      <c r="K21" s="212"/>
      <c r="L21" s="212"/>
      <c r="M21" s="212"/>
      <c r="N21" s="212"/>
      <c r="O21" s="212"/>
      <c r="P21" s="212"/>
      <c r="Q21" s="212"/>
      <c r="R21" s="212"/>
    </row>
    <row r="22" spans="1:18" ht="28.5" customHeight="1" thickBot="1" x14ac:dyDescent="0.5">
      <c r="A22" s="191" t="s">
        <v>542</v>
      </c>
      <c r="B22" s="160" t="s">
        <v>105</v>
      </c>
      <c r="C22" s="4" t="s">
        <v>283</v>
      </c>
      <c r="D22" s="4">
        <v>5000</v>
      </c>
      <c r="E22" s="57">
        <f t="shared" ref="E22" si="52">D22-(D22*10/100)</f>
        <v>4500</v>
      </c>
      <c r="F22" s="57">
        <f t="shared" ref="F22" si="53">D22-(D22*20/100)</f>
        <v>4000</v>
      </c>
      <c r="G22" s="57">
        <f t="shared" ref="G22" si="54">D22-(D22*30/100)</f>
        <v>3500</v>
      </c>
      <c r="H22" s="57">
        <f>D22-(D22*10/100)</f>
        <v>4500</v>
      </c>
      <c r="I22" s="57">
        <f t="shared" ref="I22" si="55">H22-(H22*10/100)</f>
        <v>4050</v>
      </c>
      <c r="J22" s="57">
        <f t="shared" ref="J22" si="56">H22-(H22*20/100)</f>
        <v>3600</v>
      </c>
      <c r="K22" s="57">
        <f t="shared" ref="K22" si="57">H22-(H22*30/100)</f>
        <v>3150</v>
      </c>
      <c r="L22" s="57">
        <f>D22-(D22*20/100)</f>
        <v>4000</v>
      </c>
      <c r="M22" s="57">
        <f t="shared" ref="M22" si="58">L22-(L22*10/100)</f>
        <v>3600</v>
      </c>
      <c r="N22" s="57">
        <f t="shared" ref="N22" si="59">L22-(L22*20/100)</f>
        <v>3200</v>
      </c>
      <c r="O22" s="57">
        <f t="shared" ref="O22" si="60">L22-(L22*30/100)</f>
        <v>2800</v>
      </c>
      <c r="P22" s="156" t="s">
        <v>131</v>
      </c>
      <c r="Q22" s="160" t="s">
        <v>25</v>
      </c>
      <c r="R22" s="171" t="s">
        <v>188</v>
      </c>
    </row>
    <row r="23" spans="1:18" ht="30" customHeight="1" thickBot="1" x14ac:dyDescent="0.5">
      <c r="A23" s="191"/>
      <c r="B23" s="160"/>
      <c r="C23" s="57" t="s">
        <v>284</v>
      </c>
      <c r="D23" s="57">
        <f t="shared" ref="D23:O23" si="61">D22*50/100</f>
        <v>2500</v>
      </c>
      <c r="E23" s="57">
        <f t="shared" si="61"/>
        <v>2250</v>
      </c>
      <c r="F23" s="57">
        <f t="shared" si="61"/>
        <v>2000</v>
      </c>
      <c r="G23" s="57">
        <f t="shared" si="61"/>
        <v>1750</v>
      </c>
      <c r="H23" s="57">
        <f t="shared" si="61"/>
        <v>2250</v>
      </c>
      <c r="I23" s="57">
        <f t="shared" si="61"/>
        <v>2025</v>
      </c>
      <c r="J23" s="57">
        <f t="shared" si="61"/>
        <v>1800</v>
      </c>
      <c r="K23" s="57">
        <f t="shared" si="61"/>
        <v>1575</v>
      </c>
      <c r="L23" s="57">
        <f t="shared" si="61"/>
        <v>2000</v>
      </c>
      <c r="M23" s="57">
        <f t="shared" si="61"/>
        <v>1800</v>
      </c>
      <c r="N23" s="57">
        <f t="shared" si="61"/>
        <v>1600</v>
      </c>
      <c r="O23" s="57">
        <f t="shared" si="61"/>
        <v>1400</v>
      </c>
      <c r="P23" s="156"/>
      <c r="Q23" s="160"/>
      <c r="R23" s="172"/>
    </row>
    <row r="24" spans="1:18" ht="32.25" customHeight="1" thickBot="1" x14ac:dyDescent="0.5">
      <c r="A24" s="191" t="s">
        <v>543</v>
      </c>
      <c r="B24" s="160" t="s">
        <v>530</v>
      </c>
      <c r="C24" s="4" t="s">
        <v>283</v>
      </c>
      <c r="D24" s="4">
        <v>2000</v>
      </c>
      <c r="E24" s="57">
        <f t="shared" ref="E24" si="62">D24-(D24*10/100)</f>
        <v>1800</v>
      </c>
      <c r="F24" s="57">
        <f t="shared" ref="F24" si="63">D24-(D24*20/100)</f>
        <v>1600</v>
      </c>
      <c r="G24" s="57">
        <f t="shared" ref="G24" si="64">D24-(D24*30/100)</f>
        <v>1400</v>
      </c>
      <c r="H24" s="57">
        <f>D24-(D24*10/100)</f>
        <v>1800</v>
      </c>
      <c r="I24" s="57">
        <f t="shared" ref="I24" si="65">H24-(H24*10/100)</f>
        <v>1620</v>
      </c>
      <c r="J24" s="57">
        <f t="shared" ref="J24" si="66">H24-(H24*20/100)</f>
        <v>1440</v>
      </c>
      <c r="K24" s="57">
        <f t="shared" ref="K24" si="67">H24-(H24*30/100)</f>
        <v>1260</v>
      </c>
      <c r="L24" s="57">
        <f>D24-(D24*20/100)</f>
        <v>1600</v>
      </c>
      <c r="M24" s="57">
        <f t="shared" ref="M24" si="68">L24-(L24*10/100)</f>
        <v>1440</v>
      </c>
      <c r="N24" s="57">
        <f t="shared" ref="N24" si="69">L24-(L24*20/100)</f>
        <v>1280</v>
      </c>
      <c r="O24" s="57">
        <f t="shared" ref="O24" si="70">L24-(L24*30/100)</f>
        <v>1120</v>
      </c>
      <c r="P24" s="156" t="s">
        <v>135</v>
      </c>
      <c r="Q24" s="160" t="s">
        <v>25</v>
      </c>
      <c r="R24" s="171" t="s">
        <v>200</v>
      </c>
    </row>
    <row r="25" spans="1:18" ht="27" customHeight="1" thickBot="1" x14ac:dyDescent="0.5">
      <c r="A25" s="191"/>
      <c r="B25" s="160"/>
      <c r="C25" s="57" t="s">
        <v>284</v>
      </c>
      <c r="D25" s="57">
        <f t="shared" ref="D25:O25" si="71">D24*50/100</f>
        <v>1000</v>
      </c>
      <c r="E25" s="57">
        <f t="shared" si="71"/>
        <v>900</v>
      </c>
      <c r="F25" s="57">
        <f t="shared" si="71"/>
        <v>800</v>
      </c>
      <c r="G25" s="57">
        <f t="shared" si="71"/>
        <v>700</v>
      </c>
      <c r="H25" s="57">
        <f t="shared" si="71"/>
        <v>900</v>
      </c>
      <c r="I25" s="57">
        <f t="shared" si="71"/>
        <v>810</v>
      </c>
      <c r="J25" s="57">
        <f t="shared" si="71"/>
        <v>720</v>
      </c>
      <c r="K25" s="57">
        <f t="shared" si="71"/>
        <v>630</v>
      </c>
      <c r="L25" s="57">
        <f t="shared" si="71"/>
        <v>800</v>
      </c>
      <c r="M25" s="57">
        <f t="shared" si="71"/>
        <v>720</v>
      </c>
      <c r="N25" s="57">
        <f t="shared" si="71"/>
        <v>640</v>
      </c>
      <c r="O25" s="57">
        <f t="shared" si="71"/>
        <v>560</v>
      </c>
      <c r="P25" s="156"/>
      <c r="Q25" s="160"/>
      <c r="R25" s="210"/>
    </row>
    <row r="26" spans="1:18" ht="31.5" customHeight="1" thickBot="1" x14ac:dyDescent="0.5">
      <c r="A26" s="191" t="s">
        <v>544</v>
      </c>
      <c r="B26" s="160" t="s">
        <v>529</v>
      </c>
      <c r="C26" s="4" t="s">
        <v>283</v>
      </c>
      <c r="D26" s="4">
        <v>5000</v>
      </c>
      <c r="E26" s="57">
        <f t="shared" ref="E26" si="72">D26-(D26*10/100)</f>
        <v>4500</v>
      </c>
      <c r="F26" s="57">
        <f t="shared" ref="F26" si="73">D26-(D26*20/100)</f>
        <v>4000</v>
      </c>
      <c r="G26" s="57">
        <f t="shared" ref="G26" si="74">D26-(D26*30/100)</f>
        <v>3500</v>
      </c>
      <c r="H26" s="57">
        <f>D26-(D26*10/100)</f>
        <v>4500</v>
      </c>
      <c r="I26" s="57">
        <f t="shared" ref="I26" si="75">H26-(H26*10/100)</f>
        <v>4050</v>
      </c>
      <c r="J26" s="57">
        <f t="shared" ref="J26" si="76">H26-(H26*20/100)</f>
        <v>3600</v>
      </c>
      <c r="K26" s="57">
        <f t="shared" ref="K26" si="77">H26-(H26*30/100)</f>
        <v>3150</v>
      </c>
      <c r="L26" s="57">
        <f>D26-(D26*20/100)</f>
        <v>4000</v>
      </c>
      <c r="M26" s="57">
        <f t="shared" ref="M26" si="78">L26-(L26*10/100)</f>
        <v>3600</v>
      </c>
      <c r="N26" s="57">
        <f t="shared" ref="N26" si="79">L26-(L26*20/100)</f>
        <v>3200</v>
      </c>
      <c r="O26" s="57">
        <f t="shared" ref="O26" si="80">L26-(L26*30/100)</f>
        <v>2800</v>
      </c>
      <c r="P26" s="156" t="s">
        <v>135</v>
      </c>
      <c r="Q26" s="160" t="s">
        <v>25</v>
      </c>
      <c r="R26" s="171" t="s">
        <v>201</v>
      </c>
    </row>
    <row r="27" spans="1:18" ht="28.5" customHeight="1" thickBot="1" x14ac:dyDescent="0.5">
      <c r="A27" s="191"/>
      <c r="B27" s="160"/>
      <c r="C27" s="57" t="s">
        <v>284</v>
      </c>
      <c r="D27" s="57">
        <f t="shared" ref="D27:O27" si="81">D26*50/100</f>
        <v>2500</v>
      </c>
      <c r="E27" s="57">
        <f t="shared" si="81"/>
        <v>2250</v>
      </c>
      <c r="F27" s="57">
        <f t="shared" si="81"/>
        <v>2000</v>
      </c>
      <c r="G27" s="57">
        <f t="shared" si="81"/>
        <v>1750</v>
      </c>
      <c r="H27" s="57">
        <f t="shared" si="81"/>
        <v>2250</v>
      </c>
      <c r="I27" s="57">
        <f t="shared" si="81"/>
        <v>2025</v>
      </c>
      <c r="J27" s="57">
        <f t="shared" si="81"/>
        <v>1800</v>
      </c>
      <c r="K27" s="57">
        <f t="shared" si="81"/>
        <v>1575</v>
      </c>
      <c r="L27" s="57">
        <f t="shared" si="81"/>
        <v>2000</v>
      </c>
      <c r="M27" s="57">
        <f t="shared" si="81"/>
        <v>1800</v>
      </c>
      <c r="N27" s="57">
        <f t="shared" si="81"/>
        <v>1600</v>
      </c>
      <c r="O27" s="57">
        <f t="shared" si="81"/>
        <v>1400</v>
      </c>
      <c r="P27" s="156"/>
      <c r="Q27" s="160"/>
      <c r="R27" s="172"/>
    </row>
    <row r="28" spans="1:18" ht="30" customHeight="1" thickBot="1" x14ac:dyDescent="0.5">
      <c r="A28" s="55" t="s">
        <v>545</v>
      </c>
      <c r="B28" s="45" t="s">
        <v>528</v>
      </c>
      <c r="C28" s="11" t="s">
        <v>267</v>
      </c>
      <c r="D28" s="106">
        <v>15000</v>
      </c>
      <c r="E28" s="106"/>
      <c r="F28" s="106"/>
      <c r="G28" s="106"/>
      <c r="H28" s="106">
        <f>D28-(D28*20/100)</f>
        <v>12000</v>
      </c>
      <c r="I28" s="106"/>
      <c r="J28" s="106"/>
      <c r="K28" s="106"/>
      <c r="L28" s="106">
        <f>D28-(D28*40/100)</f>
        <v>9000</v>
      </c>
      <c r="M28" s="106"/>
      <c r="N28" s="106"/>
      <c r="O28" s="106"/>
      <c r="P28" s="46" t="s">
        <v>135</v>
      </c>
      <c r="Q28" s="45" t="s">
        <v>10</v>
      </c>
      <c r="R28" s="53" t="s">
        <v>188</v>
      </c>
    </row>
    <row r="29" spans="1:18" ht="47.25" customHeight="1" thickBot="1" x14ac:dyDescent="0.5">
      <c r="A29" s="55" t="s">
        <v>546</v>
      </c>
      <c r="B29" s="2" t="s">
        <v>527</v>
      </c>
      <c r="C29" s="11" t="s">
        <v>267</v>
      </c>
      <c r="D29" s="106">
        <v>15000</v>
      </c>
      <c r="E29" s="106"/>
      <c r="F29" s="106"/>
      <c r="G29" s="106"/>
      <c r="H29" s="106">
        <f>D29-(D29*20/100)</f>
        <v>12000</v>
      </c>
      <c r="I29" s="106"/>
      <c r="J29" s="106"/>
      <c r="K29" s="106"/>
      <c r="L29" s="106">
        <f>D29-(D29*40/100)</f>
        <v>9000</v>
      </c>
      <c r="M29" s="106"/>
      <c r="N29" s="106"/>
      <c r="O29" s="106"/>
      <c r="P29" s="6" t="s">
        <v>135</v>
      </c>
      <c r="Q29" s="2" t="s">
        <v>10</v>
      </c>
      <c r="R29" s="53" t="s">
        <v>188</v>
      </c>
    </row>
    <row r="30" spans="1:18" ht="24" customHeight="1" thickBot="1" x14ac:dyDescent="0.5">
      <c r="A30" s="191" t="s">
        <v>547</v>
      </c>
      <c r="B30" s="160" t="s">
        <v>531</v>
      </c>
      <c r="C30" s="4" t="s">
        <v>283</v>
      </c>
      <c r="D30" s="4">
        <v>5000</v>
      </c>
      <c r="E30" s="57">
        <f t="shared" ref="E30" si="82">D30-(D30*10/100)</f>
        <v>4500</v>
      </c>
      <c r="F30" s="57">
        <f t="shared" ref="F30" si="83">D30-(D30*20/100)</f>
        <v>4000</v>
      </c>
      <c r="G30" s="57">
        <f t="shared" ref="G30" si="84">D30-(D30*30/100)</f>
        <v>3500</v>
      </c>
      <c r="H30" s="57">
        <f>D30-(D30*10/100)</f>
        <v>4500</v>
      </c>
      <c r="I30" s="57">
        <f t="shared" ref="I30" si="85">H30-(H30*10/100)</f>
        <v>4050</v>
      </c>
      <c r="J30" s="57">
        <f t="shared" ref="J30" si="86">H30-(H30*20/100)</f>
        <v>3600</v>
      </c>
      <c r="K30" s="57">
        <f t="shared" ref="K30" si="87">H30-(H30*30/100)</f>
        <v>3150</v>
      </c>
      <c r="L30" s="57">
        <f>D30-(D30*20/100)</f>
        <v>4000</v>
      </c>
      <c r="M30" s="57">
        <f t="shared" ref="M30" si="88">L30-(L30*10/100)</f>
        <v>3600</v>
      </c>
      <c r="N30" s="57">
        <f t="shared" ref="N30" si="89">L30-(L30*20/100)</f>
        <v>3200</v>
      </c>
      <c r="O30" s="57">
        <f t="shared" ref="O30" si="90">L30-(L30*30/100)</f>
        <v>2800</v>
      </c>
      <c r="P30" s="156" t="s">
        <v>135</v>
      </c>
      <c r="Q30" s="160" t="s">
        <v>25</v>
      </c>
      <c r="R30" s="171" t="s">
        <v>188</v>
      </c>
    </row>
    <row r="31" spans="1:18" ht="47.25" customHeight="1" thickBot="1" x14ac:dyDescent="0.5">
      <c r="A31" s="191"/>
      <c r="B31" s="160"/>
      <c r="C31" s="57" t="s">
        <v>284</v>
      </c>
      <c r="D31" s="57">
        <f t="shared" ref="D31:O31" si="91">D30*50/100</f>
        <v>2500</v>
      </c>
      <c r="E31" s="57">
        <f t="shared" si="91"/>
        <v>2250</v>
      </c>
      <c r="F31" s="57">
        <f t="shared" si="91"/>
        <v>2000</v>
      </c>
      <c r="G31" s="57">
        <f t="shared" si="91"/>
        <v>1750</v>
      </c>
      <c r="H31" s="57">
        <f t="shared" si="91"/>
        <v>2250</v>
      </c>
      <c r="I31" s="57">
        <f t="shared" si="91"/>
        <v>2025</v>
      </c>
      <c r="J31" s="57">
        <f t="shared" si="91"/>
        <v>1800</v>
      </c>
      <c r="K31" s="57">
        <f t="shared" si="91"/>
        <v>1575</v>
      </c>
      <c r="L31" s="57">
        <f t="shared" si="91"/>
        <v>2000</v>
      </c>
      <c r="M31" s="57">
        <f t="shared" si="91"/>
        <v>1800</v>
      </c>
      <c r="N31" s="57">
        <f t="shared" si="91"/>
        <v>1600</v>
      </c>
      <c r="O31" s="57">
        <f t="shared" si="91"/>
        <v>1400</v>
      </c>
      <c r="P31" s="156"/>
      <c r="Q31" s="160"/>
      <c r="R31" s="172"/>
    </row>
    <row r="32" spans="1:18" ht="48" customHeight="1" thickBot="1" x14ac:dyDescent="0.5">
      <c r="A32" s="55" t="s">
        <v>548</v>
      </c>
      <c r="B32" s="45" t="s">
        <v>532</v>
      </c>
      <c r="C32" s="11" t="s">
        <v>267</v>
      </c>
      <c r="D32" s="106">
        <v>15000</v>
      </c>
      <c r="E32" s="106"/>
      <c r="F32" s="106"/>
      <c r="G32" s="106"/>
      <c r="H32" s="106">
        <f>D32-(D32*20/100)</f>
        <v>12000</v>
      </c>
      <c r="I32" s="106"/>
      <c r="J32" s="106"/>
      <c r="K32" s="106"/>
      <c r="L32" s="106">
        <f>D32-(D32*40/100)</f>
        <v>9000</v>
      </c>
      <c r="M32" s="106"/>
      <c r="N32" s="106"/>
      <c r="O32" s="106"/>
      <c r="P32" s="46" t="s">
        <v>135</v>
      </c>
      <c r="Q32" s="45" t="s">
        <v>10</v>
      </c>
      <c r="R32" s="53" t="s">
        <v>202</v>
      </c>
    </row>
    <row r="33" spans="1:18" ht="66.75" customHeight="1" thickBot="1" x14ac:dyDescent="0.5">
      <c r="A33" s="67" t="s">
        <v>549</v>
      </c>
      <c r="B33" s="50" t="s">
        <v>533</v>
      </c>
      <c r="C33" s="11" t="s">
        <v>267</v>
      </c>
      <c r="D33" s="106">
        <v>20000</v>
      </c>
      <c r="E33" s="106"/>
      <c r="F33" s="106"/>
      <c r="G33" s="106"/>
      <c r="H33" s="106">
        <f>D33-(D33*20/100)</f>
        <v>16000</v>
      </c>
      <c r="I33" s="106"/>
      <c r="J33" s="106"/>
      <c r="K33" s="106"/>
      <c r="L33" s="106">
        <f>D33-(D33*40/100)</f>
        <v>12000</v>
      </c>
      <c r="M33" s="106"/>
      <c r="N33" s="106"/>
      <c r="O33" s="106"/>
      <c r="P33" s="52" t="s">
        <v>135</v>
      </c>
      <c r="Q33" s="50" t="s">
        <v>10</v>
      </c>
      <c r="R33" s="53" t="s">
        <v>203</v>
      </c>
    </row>
    <row r="34" spans="1:18" ht="54.75" customHeight="1" thickBot="1" x14ac:dyDescent="0.5">
      <c r="A34" s="55" t="s">
        <v>550</v>
      </c>
      <c r="B34" s="45" t="s">
        <v>534</v>
      </c>
      <c r="C34" s="11" t="s">
        <v>267</v>
      </c>
      <c r="D34" s="106">
        <v>15000</v>
      </c>
      <c r="E34" s="106"/>
      <c r="F34" s="106"/>
      <c r="G34" s="106"/>
      <c r="H34" s="106">
        <f>D34-(D34*20/100)</f>
        <v>12000</v>
      </c>
      <c r="I34" s="106"/>
      <c r="J34" s="106"/>
      <c r="K34" s="106"/>
      <c r="L34" s="106">
        <f>D34-(D34*40/100)</f>
        <v>9000</v>
      </c>
      <c r="M34" s="106"/>
      <c r="N34" s="106"/>
      <c r="O34" s="106"/>
      <c r="P34" s="46" t="s">
        <v>135</v>
      </c>
      <c r="Q34" s="45" t="s">
        <v>10</v>
      </c>
      <c r="R34" s="53" t="s">
        <v>204</v>
      </c>
    </row>
    <row r="35" spans="1:18" ht="30" customHeight="1" thickBot="1" x14ac:dyDescent="0.5">
      <c r="A35" s="191" t="s">
        <v>551</v>
      </c>
      <c r="B35" s="160" t="s">
        <v>535</v>
      </c>
      <c r="C35" s="4" t="s">
        <v>283</v>
      </c>
      <c r="D35" s="4">
        <v>1000</v>
      </c>
      <c r="E35" s="57">
        <f t="shared" ref="E35" si="92">D35-(D35*10/100)</f>
        <v>900</v>
      </c>
      <c r="F35" s="57">
        <f t="shared" ref="F35" si="93">D35-(D35*20/100)</f>
        <v>800</v>
      </c>
      <c r="G35" s="57">
        <f t="shared" ref="G35" si="94">D35-(D35*30/100)</f>
        <v>700</v>
      </c>
      <c r="H35" s="57">
        <f>D35-(D35*10/100)</f>
        <v>900</v>
      </c>
      <c r="I35" s="57">
        <f t="shared" ref="I35" si="95">H35-(H35*10/100)</f>
        <v>810</v>
      </c>
      <c r="J35" s="57">
        <f t="shared" ref="J35" si="96">H35-(H35*20/100)</f>
        <v>720</v>
      </c>
      <c r="K35" s="57">
        <f t="shared" ref="K35" si="97">H35-(H35*30/100)</f>
        <v>630</v>
      </c>
      <c r="L35" s="57">
        <f>D35-(D35*20/100)</f>
        <v>800</v>
      </c>
      <c r="M35" s="57">
        <f t="shared" ref="M35" si="98">L35-(L35*10/100)</f>
        <v>720</v>
      </c>
      <c r="N35" s="57">
        <f t="shared" ref="N35" si="99">L35-(L35*20/100)</f>
        <v>640</v>
      </c>
      <c r="O35" s="57">
        <f t="shared" ref="O35" si="100">L35-(L35*30/100)</f>
        <v>560</v>
      </c>
      <c r="P35" s="156" t="s">
        <v>135</v>
      </c>
      <c r="Q35" s="160" t="s">
        <v>25</v>
      </c>
      <c r="R35" s="174" t="s">
        <v>205</v>
      </c>
    </row>
    <row r="36" spans="1:18" ht="28.5" customHeight="1" thickBot="1" x14ac:dyDescent="0.5">
      <c r="A36" s="191"/>
      <c r="B36" s="160"/>
      <c r="C36" s="57" t="s">
        <v>284</v>
      </c>
      <c r="D36" s="57">
        <f t="shared" ref="D36:O36" si="101">D35*50/100</f>
        <v>500</v>
      </c>
      <c r="E36" s="57">
        <f t="shared" si="101"/>
        <v>450</v>
      </c>
      <c r="F36" s="57">
        <f t="shared" si="101"/>
        <v>400</v>
      </c>
      <c r="G36" s="57">
        <f t="shared" si="101"/>
        <v>350</v>
      </c>
      <c r="H36" s="57">
        <f t="shared" si="101"/>
        <v>450</v>
      </c>
      <c r="I36" s="57">
        <f t="shared" si="101"/>
        <v>405</v>
      </c>
      <c r="J36" s="57">
        <f t="shared" si="101"/>
        <v>360</v>
      </c>
      <c r="K36" s="57">
        <f t="shared" si="101"/>
        <v>315</v>
      </c>
      <c r="L36" s="57">
        <f t="shared" si="101"/>
        <v>400</v>
      </c>
      <c r="M36" s="57">
        <f t="shared" si="101"/>
        <v>360</v>
      </c>
      <c r="N36" s="57">
        <f t="shared" si="101"/>
        <v>320</v>
      </c>
      <c r="O36" s="57">
        <f t="shared" si="101"/>
        <v>280</v>
      </c>
      <c r="P36" s="156"/>
      <c r="Q36" s="160"/>
      <c r="R36" s="174"/>
    </row>
    <row r="37" spans="1:18" ht="23.25" customHeight="1" thickBot="1" x14ac:dyDescent="0.5">
      <c r="A37" s="191" t="s">
        <v>552</v>
      </c>
      <c r="B37" s="160" t="s">
        <v>536</v>
      </c>
      <c r="C37" s="4" t="s">
        <v>283</v>
      </c>
      <c r="D37" s="4">
        <v>2000</v>
      </c>
      <c r="E37" s="57">
        <f t="shared" ref="E37" si="102">D37-(D37*10/100)</f>
        <v>1800</v>
      </c>
      <c r="F37" s="57">
        <f t="shared" ref="F37" si="103">D37-(D37*20/100)</f>
        <v>1600</v>
      </c>
      <c r="G37" s="57">
        <f t="shared" ref="G37" si="104">D37-(D37*30/100)</f>
        <v>1400</v>
      </c>
      <c r="H37" s="57">
        <f>D37-(D37*10/100)</f>
        <v>1800</v>
      </c>
      <c r="I37" s="57">
        <f t="shared" ref="I37" si="105">H37-(H37*10/100)</f>
        <v>1620</v>
      </c>
      <c r="J37" s="57">
        <f t="shared" ref="J37" si="106">H37-(H37*20/100)</f>
        <v>1440</v>
      </c>
      <c r="K37" s="57">
        <f t="shared" ref="K37" si="107">H37-(H37*30/100)</f>
        <v>1260</v>
      </c>
      <c r="L37" s="57">
        <f>D37-(D37*20/100)</f>
        <v>1600</v>
      </c>
      <c r="M37" s="57">
        <f t="shared" ref="M37" si="108">L37-(L37*10/100)</f>
        <v>1440</v>
      </c>
      <c r="N37" s="57">
        <f t="shared" ref="N37" si="109">L37-(L37*20/100)</f>
        <v>1280</v>
      </c>
      <c r="O37" s="57">
        <f t="shared" ref="O37" si="110">L37-(L37*30/100)</f>
        <v>1120</v>
      </c>
      <c r="P37" s="156" t="s">
        <v>135</v>
      </c>
      <c r="Q37" s="160" t="s">
        <v>25</v>
      </c>
      <c r="R37" s="174" t="s">
        <v>206</v>
      </c>
    </row>
    <row r="38" spans="1:18" ht="23.25" customHeight="1" thickBot="1" x14ac:dyDescent="0.5">
      <c r="A38" s="191"/>
      <c r="B38" s="160"/>
      <c r="C38" s="57" t="s">
        <v>284</v>
      </c>
      <c r="D38" s="57">
        <f t="shared" ref="D38:O38" si="111">D37*50/100</f>
        <v>1000</v>
      </c>
      <c r="E38" s="57">
        <f t="shared" si="111"/>
        <v>900</v>
      </c>
      <c r="F38" s="57">
        <f t="shared" si="111"/>
        <v>800</v>
      </c>
      <c r="G38" s="57">
        <f t="shared" si="111"/>
        <v>700</v>
      </c>
      <c r="H38" s="57">
        <f t="shared" si="111"/>
        <v>900</v>
      </c>
      <c r="I38" s="57">
        <f t="shared" si="111"/>
        <v>810</v>
      </c>
      <c r="J38" s="57">
        <f t="shared" si="111"/>
        <v>720</v>
      </c>
      <c r="K38" s="57">
        <f t="shared" si="111"/>
        <v>630</v>
      </c>
      <c r="L38" s="57">
        <f t="shared" si="111"/>
        <v>800</v>
      </c>
      <c r="M38" s="57">
        <f t="shared" si="111"/>
        <v>720</v>
      </c>
      <c r="N38" s="57">
        <f t="shared" si="111"/>
        <v>640</v>
      </c>
      <c r="O38" s="57">
        <f t="shared" si="111"/>
        <v>560</v>
      </c>
      <c r="P38" s="156"/>
      <c r="Q38" s="160"/>
      <c r="R38" s="174"/>
    </row>
    <row r="39" spans="1:18" ht="72.75" customHeight="1" thickBot="1" x14ac:dyDescent="0.5">
      <c r="A39" s="55" t="s">
        <v>553</v>
      </c>
      <c r="B39" s="45" t="s">
        <v>537</v>
      </c>
      <c r="C39" s="11" t="s">
        <v>267</v>
      </c>
      <c r="D39" s="106">
        <v>20000</v>
      </c>
      <c r="E39" s="106"/>
      <c r="F39" s="106"/>
      <c r="G39" s="106"/>
      <c r="H39" s="106">
        <f>D39-(D39*20/100)</f>
        <v>16000</v>
      </c>
      <c r="I39" s="106"/>
      <c r="J39" s="106"/>
      <c r="K39" s="106"/>
      <c r="L39" s="106">
        <f>D39-(D39*40/100)</f>
        <v>12000</v>
      </c>
      <c r="M39" s="106"/>
      <c r="N39" s="106"/>
      <c r="O39" s="106"/>
      <c r="P39" s="46" t="s">
        <v>135</v>
      </c>
      <c r="Q39" s="45" t="s">
        <v>10</v>
      </c>
      <c r="R39" s="53" t="s">
        <v>207</v>
      </c>
    </row>
    <row r="40" spans="1:18" ht="75" customHeight="1" thickBot="1" x14ac:dyDescent="0.5">
      <c r="A40" s="5" t="s">
        <v>554</v>
      </c>
      <c r="B40" s="2" t="s">
        <v>33</v>
      </c>
      <c r="C40" s="11" t="s">
        <v>267</v>
      </c>
      <c r="D40" s="106">
        <v>5000</v>
      </c>
      <c r="E40" s="106"/>
      <c r="F40" s="106"/>
      <c r="G40" s="106"/>
      <c r="H40" s="106">
        <f>D40-(D40*20/100)</f>
        <v>4000</v>
      </c>
      <c r="I40" s="106"/>
      <c r="J40" s="106"/>
      <c r="K40" s="106"/>
      <c r="L40" s="106">
        <f>D40-(D40*40/100)</f>
        <v>3000</v>
      </c>
      <c r="M40" s="106"/>
      <c r="N40" s="106"/>
      <c r="O40" s="106"/>
      <c r="P40" s="8" t="s">
        <v>131</v>
      </c>
      <c r="Q40" s="2" t="s">
        <v>10</v>
      </c>
      <c r="R40" s="53" t="s">
        <v>208</v>
      </c>
    </row>
    <row r="41" spans="1:18" ht="47.25" thickBot="1" x14ac:dyDescent="0.5">
      <c r="A41" s="67" t="s">
        <v>555</v>
      </c>
      <c r="B41" s="50" t="s">
        <v>109</v>
      </c>
      <c r="C41" s="11" t="s">
        <v>267</v>
      </c>
      <c r="D41" s="106">
        <v>30000</v>
      </c>
      <c r="E41" s="106"/>
      <c r="F41" s="106"/>
      <c r="G41" s="106"/>
      <c r="H41" s="106">
        <f>D41-(D41*20/100)</f>
        <v>24000</v>
      </c>
      <c r="I41" s="106"/>
      <c r="J41" s="106"/>
      <c r="K41" s="106"/>
      <c r="L41" s="106">
        <f>D41-(D41*40/100)</f>
        <v>18000</v>
      </c>
      <c r="M41" s="106"/>
      <c r="N41" s="106"/>
      <c r="O41" s="106"/>
      <c r="P41" s="52" t="s">
        <v>135</v>
      </c>
      <c r="Q41" s="50" t="s">
        <v>27</v>
      </c>
      <c r="R41" s="53" t="s">
        <v>209</v>
      </c>
    </row>
    <row r="42" spans="1:18" ht="27" customHeight="1" thickBot="1" x14ac:dyDescent="0.5">
      <c r="A42" s="201" t="s">
        <v>556</v>
      </c>
      <c r="B42" s="155" t="s">
        <v>539</v>
      </c>
      <c r="C42" s="4" t="s">
        <v>283</v>
      </c>
      <c r="D42" s="1">
        <v>1000</v>
      </c>
      <c r="E42" s="17">
        <f t="shared" ref="E42" si="112">D42-(D42*10/100)</f>
        <v>900</v>
      </c>
      <c r="F42" s="17">
        <f t="shared" ref="F42" si="113">D42-(D42*20/100)</f>
        <v>800</v>
      </c>
      <c r="G42" s="17">
        <f t="shared" ref="G42" si="114">D42-(D42*30/100)</f>
        <v>700</v>
      </c>
      <c r="H42" s="17">
        <f>D42-(D42*10/100)</f>
        <v>900</v>
      </c>
      <c r="I42" s="17">
        <f t="shared" ref="I42" si="115">H42-(H42*10/100)</f>
        <v>810</v>
      </c>
      <c r="J42" s="17">
        <f t="shared" ref="J42" si="116">H42-(H42*20/100)</f>
        <v>720</v>
      </c>
      <c r="K42" s="17">
        <f t="shared" ref="K42" si="117">H42-(H42*30/100)</f>
        <v>630</v>
      </c>
      <c r="L42" s="17">
        <f>D42-(D42*20/100)</f>
        <v>800</v>
      </c>
      <c r="M42" s="17">
        <f t="shared" ref="M42" si="118">L42-(L42*10/100)</f>
        <v>720</v>
      </c>
      <c r="N42" s="17">
        <f t="shared" ref="N42" si="119">L42-(L42*20/100)</f>
        <v>640</v>
      </c>
      <c r="O42" s="17">
        <f t="shared" ref="O42" si="120">L42-(L42*30/100)</f>
        <v>560</v>
      </c>
      <c r="P42" s="189" t="s">
        <v>131</v>
      </c>
      <c r="Q42" s="155" t="s">
        <v>25</v>
      </c>
      <c r="R42" s="171" t="s">
        <v>210</v>
      </c>
    </row>
    <row r="43" spans="1:18" ht="27" customHeight="1" thickBot="1" x14ac:dyDescent="0.5">
      <c r="A43" s="201"/>
      <c r="B43" s="155"/>
      <c r="C43" s="57" t="s">
        <v>284</v>
      </c>
      <c r="D43" s="17">
        <f t="shared" ref="D43:O43" si="121">D42*50/100</f>
        <v>500</v>
      </c>
      <c r="E43" s="17">
        <f t="shared" si="121"/>
        <v>450</v>
      </c>
      <c r="F43" s="17">
        <f t="shared" si="121"/>
        <v>400</v>
      </c>
      <c r="G43" s="17">
        <f t="shared" si="121"/>
        <v>350</v>
      </c>
      <c r="H43" s="17">
        <f t="shared" si="121"/>
        <v>450</v>
      </c>
      <c r="I43" s="17">
        <f t="shared" si="121"/>
        <v>405</v>
      </c>
      <c r="J43" s="17">
        <f t="shared" si="121"/>
        <v>360</v>
      </c>
      <c r="K43" s="17">
        <f t="shared" si="121"/>
        <v>315</v>
      </c>
      <c r="L43" s="17">
        <f t="shared" si="121"/>
        <v>400</v>
      </c>
      <c r="M43" s="17">
        <f t="shared" si="121"/>
        <v>360</v>
      </c>
      <c r="N43" s="17">
        <f t="shared" si="121"/>
        <v>320</v>
      </c>
      <c r="O43" s="17">
        <f t="shared" si="121"/>
        <v>280</v>
      </c>
      <c r="P43" s="190"/>
      <c r="Q43" s="155"/>
      <c r="R43" s="172"/>
    </row>
    <row r="44" spans="1:18" ht="24" customHeight="1" thickBot="1" x14ac:dyDescent="0.5">
      <c r="A44" s="191" t="s">
        <v>557</v>
      </c>
      <c r="B44" s="160" t="s">
        <v>538</v>
      </c>
      <c r="C44" s="192" t="s">
        <v>267</v>
      </c>
      <c r="D44" s="194">
        <v>1000</v>
      </c>
      <c r="E44" s="195"/>
      <c r="F44" s="195"/>
      <c r="G44" s="196"/>
      <c r="H44" s="194">
        <f t="shared" ref="H44" si="122">D44-(D44*20/100)</f>
        <v>800</v>
      </c>
      <c r="I44" s="195"/>
      <c r="J44" s="195"/>
      <c r="K44" s="196"/>
      <c r="L44" s="194">
        <f t="shared" ref="L44" si="123">D44-(D44*40/100)</f>
        <v>600</v>
      </c>
      <c r="M44" s="195"/>
      <c r="N44" s="195"/>
      <c r="O44" s="196"/>
      <c r="P44" s="101" t="s">
        <v>155</v>
      </c>
      <c r="Q44" s="179" t="s">
        <v>10</v>
      </c>
      <c r="R44" s="171" t="s">
        <v>188</v>
      </c>
    </row>
    <row r="45" spans="1:18" ht="18.75" customHeight="1" thickBot="1" x14ac:dyDescent="0.5">
      <c r="A45" s="191"/>
      <c r="B45" s="160"/>
      <c r="C45" s="193"/>
      <c r="D45" s="197"/>
      <c r="E45" s="198"/>
      <c r="F45" s="198"/>
      <c r="G45" s="199"/>
      <c r="H45" s="197"/>
      <c r="I45" s="198"/>
      <c r="J45" s="198"/>
      <c r="K45" s="199"/>
      <c r="L45" s="197"/>
      <c r="M45" s="198"/>
      <c r="N45" s="198"/>
      <c r="O45" s="199"/>
      <c r="P45" s="156"/>
      <c r="Q45" s="160"/>
      <c r="R45" s="172"/>
    </row>
    <row r="46" spans="1:18" ht="68.25" customHeight="1" thickBot="1" x14ac:dyDescent="0.5">
      <c r="A46" s="55" t="s">
        <v>558</v>
      </c>
      <c r="B46" s="45" t="s">
        <v>576</v>
      </c>
      <c r="C46" s="11" t="s">
        <v>267</v>
      </c>
      <c r="D46" s="106">
        <v>2000</v>
      </c>
      <c r="E46" s="106"/>
      <c r="F46" s="106"/>
      <c r="G46" s="106"/>
      <c r="H46" s="106">
        <f t="shared" ref="H46:H48" si="124">D46-(D46*20/100)</f>
        <v>1600</v>
      </c>
      <c r="I46" s="106"/>
      <c r="J46" s="106"/>
      <c r="K46" s="106"/>
      <c r="L46" s="106">
        <f t="shared" ref="L46:L48" si="125">D46-(D46*40/100)</f>
        <v>1200</v>
      </c>
      <c r="M46" s="106"/>
      <c r="N46" s="106"/>
      <c r="O46" s="106"/>
      <c r="P46" s="46" t="s">
        <v>155</v>
      </c>
      <c r="Q46" s="45" t="s">
        <v>10</v>
      </c>
      <c r="R46" s="69" t="s">
        <v>211</v>
      </c>
    </row>
    <row r="47" spans="1:18" ht="68.25" customHeight="1" thickBot="1" x14ac:dyDescent="0.5">
      <c r="A47" s="67" t="s">
        <v>559</v>
      </c>
      <c r="B47" s="50" t="s">
        <v>127</v>
      </c>
      <c r="C47" s="11" t="s">
        <v>267</v>
      </c>
      <c r="D47" s="106">
        <v>10000</v>
      </c>
      <c r="E47" s="106"/>
      <c r="F47" s="106"/>
      <c r="G47" s="106"/>
      <c r="H47" s="106">
        <f t="shared" si="124"/>
        <v>8000</v>
      </c>
      <c r="I47" s="106"/>
      <c r="J47" s="106"/>
      <c r="K47" s="106"/>
      <c r="L47" s="106">
        <f t="shared" si="125"/>
        <v>6000</v>
      </c>
      <c r="M47" s="106"/>
      <c r="N47" s="106"/>
      <c r="O47" s="106"/>
      <c r="P47" s="52" t="s">
        <v>131</v>
      </c>
      <c r="Q47" s="50" t="s">
        <v>10</v>
      </c>
      <c r="R47" s="47" t="s">
        <v>212</v>
      </c>
    </row>
    <row r="48" spans="1:18" ht="41.25" customHeight="1" thickBot="1" x14ac:dyDescent="0.5">
      <c r="A48" s="67" t="s">
        <v>560</v>
      </c>
      <c r="B48" s="50" t="s">
        <v>541</v>
      </c>
      <c r="C48" s="11" t="s">
        <v>267</v>
      </c>
      <c r="D48" s="106">
        <v>500</v>
      </c>
      <c r="E48" s="106"/>
      <c r="F48" s="106"/>
      <c r="G48" s="106"/>
      <c r="H48" s="106">
        <f t="shared" si="124"/>
        <v>400</v>
      </c>
      <c r="I48" s="106"/>
      <c r="J48" s="106"/>
      <c r="K48" s="106"/>
      <c r="L48" s="106">
        <f t="shared" si="125"/>
        <v>300</v>
      </c>
      <c r="M48" s="106"/>
      <c r="N48" s="106"/>
      <c r="O48" s="106"/>
      <c r="P48" s="52" t="s">
        <v>155</v>
      </c>
      <c r="Q48" s="50" t="s">
        <v>10</v>
      </c>
      <c r="R48" s="47" t="s">
        <v>213</v>
      </c>
    </row>
    <row r="49" spans="1:18" ht="32.25" customHeight="1" thickBot="1" x14ac:dyDescent="0.5">
      <c r="A49" s="191" t="s">
        <v>561</v>
      </c>
      <c r="B49" s="160" t="s">
        <v>540</v>
      </c>
      <c r="C49" s="4" t="s">
        <v>283</v>
      </c>
      <c r="D49" s="4">
        <v>2000</v>
      </c>
      <c r="E49" s="57">
        <f t="shared" ref="E49" si="126">D49-(D49*10/100)</f>
        <v>1800</v>
      </c>
      <c r="F49" s="57">
        <f t="shared" ref="F49" si="127">D49-(D49*20/100)</f>
        <v>1600</v>
      </c>
      <c r="G49" s="57">
        <f t="shared" ref="G49" si="128">D49-(D49*30/100)</f>
        <v>1400</v>
      </c>
      <c r="H49" s="57">
        <f>D49-(D49*10/100)</f>
        <v>1800</v>
      </c>
      <c r="I49" s="57">
        <f t="shared" ref="I49" si="129">H49-(H49*10/100)</f>
        <v>1620</v>
      </c>
      <c r="J49" s="57">
        <f t="shared" ref="J49" si="130">H49-(H49*20/100)</f>
        <v>1440</v>
      </c>
      <c r="K49" s="57">
        <f t="shared" ref="K49" si="131">H49-(H49*30/100)</f>
        <v>1260</v>
      </c>
      <c r="L49" s="57">
        <f>D49-(D49*20/100)</f>
        <v>1600</v>
      </c>
      <c r="M49" s="57">
        <f t="shared" ref="M49" si="132">L49-(L49*10/100)</f>
        <v>1440</v>
      </c>
      <c r="N49" s="57">
        <f t="shared" ref="N49" si="133">L49-(L49*20/100)</f>
        <v>1280</v>
      </c>
      <c r="O49" s="57">
        <f t="shared" ref="O49" si="134">L49-(L49*30/100)</f>
        <v>1120</v>
      </c>
      <c r="P49" s="156" t="s">
        <v>171</v>
      </c>
      <c r="Q49" s="160" t="s">
        <v>25</v>
      </c>
      <c r="R49" s="104" t="s">
        <v>214</v>
      </c>
    </row>
    <row r="50" spans="1:18" ht="24" customHeight="1" thickBot="1" x14ac:dyDescent="0.5">
      <c r="A50" s="191"/>
      <c r="B50" s="160"/>
      <c r="C50" s="57" t="s">
        <v>284</v>
      </c>
      <c r="D50" s="57">
        <f t="shared" ref="D50:O50" si="135">D49*50/100</f>
        <v>1000</v>
      </c>
      <c r="E50" s="57">
        <f t="shared" si="135"/>
        <v>900</v>
      </c>
      <c r="F50" s="57">
        <f t="shared" si="135"/>
        <v>800</v>
      </c>
      <c r="G50" s="57">
        <f t="shared" si="135"/>
        <v>700</v>
      </c>
      <c r="H50" s="57">
        <f t="shared" si="135"/>
        <v>900</v>
      </c>
      <c r="I50" s="57">
        <f t="shared" si="135"/>
        <v>810</v>
      </c>
      <c r="J50" s="57">
        <f t="shared" si="135"/>
        <v>720</v>
      </c>
      <c r="K50" s="57">
        <f t="shared" si="135"/>
        <v>630</v>
      </c>
      <c r="L50" s="57">
        <f t="shared" si="135"/>
        <v>800</v>
      </c>
      <c r="M50" s="57">
        <f t="shared" si="135"/>
        <v>720</v>
      </c>
      <c r="N50" s="57">
        <f t="shared" si="135"/>
        <v>640</v>
      </c>
      <c r="O50" s="57">
        <f t="shared" si="135"/>
        <v>560</v>
      </c>
      <c r="P50" s="156"/>
      <c r="Q50" s="160"/>
      <c r="R50" s="105"/>
    </row>
    <row r="51" spans="1:18" ht="46.5" customHeight="1" thickBot="1" x14ac:dyDescent="0.5">
      <c r="A51" s="55" t="s">
        <v>562</v>
      </c>
      <c r="B51" s="45" t="s">
        <v>116</v>
      </c>
      <c r="C51" s="11" t="s">
        <v>267</v>
      </c>
      <c r="D51" s="106">
        <v>10000</v>
      </c>
      <c r="E51" s="106"/>
      <c r="F51" s="106"/>
      <c r="G51" s="106"/>
      <c r="H51" s="106">
        <f t="shared" ref="H51:H52" si="136">D51-(D51*20/100)</f>
        <v>8000</v>
      </c>
      <c r="I51" s="106"/>
      <c r="J51" s="106"/>
      <c r="K51" s="106"/>
      <c r="L51" s="106">
        <f t="shared" ref="L51:L52" si="137">D51-(D51*40/100)</f>
        <v>6000</v>
      </c>
      <c r="M51" s="106"/>
      <c r="N51" s="106"/>
      <c r="O51" s="106"/>
      <c r="P51" s="46" t="s">
        <v>171</v>
      </c>
      <c r="Q51" s="45" t="s">
        <v>10</v>
      </c>
      <c r="R51" s="53" t="s">
        <v>185</v>
      </c>
    </row>
    <row r="52" spans="1:18" ht="44.25" thickBot="1" x14ac:dyDescent="0.5">
      <c r="A52" s="55" t="s">
        <v>563</v>
      </c>
      <c r="B52" s="45" t="s">
        <v>577</v>
      </c>
      <c r="C52" s="11" t="s">
        <v>267</v>
      </c>
      <c r="D52" s="106">
        <v>50000</v>
      </c>
      <c r="E52" s="106"/>
      <c r="F52" s="106"/>
      <c r="G52" s="106"/>
      <c r="H52" s="106">
        <f t="shared" si="136"/>
        <v>40000</v>
      </c>
      <c r="I52" s="106"/>
      <c r="J52" s="106"/>
      <c r="K52" s="106"/>
      <c r="L52" s="106">
        <f t="shared" si="137"/>
        <v>30000</v>
      </c>
      <c r="M52" s="106"/>
      <c r="N52" s="106"/>
      <c r="O52" s="106"/>
      <c r="P52" s="46" t="s">
        <v>171</v>
      </c>
      <c r="Q52" s="45" t="s">
        <v>10</v>
      </c>
      <c r="R52" s="75" t="s">
        <v>186</v>
      </c>
    </row>
    <row r="53" spans="1:18" ht="44.25" thickBot="1" x14ac:dyDescent="0.5">
      <c r="A53" s="55" t="s">
        <v>564</v>
      </c>
      <c r="B53" s="45" t="s">
        <v>117</v>
      </c>
      <c r="C53" s="11" t="s">
        <v>267</v>
      </c>
      <c r="D53" s="106">
        <v>50000</v>
      </c>
      <c r="E53" s="106"/>
      <c r="F53" s="106"/>
      <c r="G53" s="106"/>
      <c r="H53" s="106">
        <f t="shared" ref="H53:H63" si="138">D53-(D53*20/100)</f>
        <v>40000</v>
      </c>
      <c r="I53" s="106"/>
      <c r="J53" s="106"/>
      <c r="K53" s="106"/>
      <c r="L53" s="106">
        <f t="shared" ref="L53:L63" si="139">D53-(D53*40/100)</f>
        <v>30000</v>
      </c>
      <c r="M53" s="106"/>
      <c r="N53" s="106"/>
      <c r="O53" s="106"/>
      <c r="P53" s="46" t="s">
        <v>171</v>
      </c>
      <c r="Q53" s="45" t="s">
        <v>10</v>
      </c>
      <c r="R53" s="75" t="s">
        <v>186</v>
      </c>
    </row>
    <row r="54" spans="1:18" ht="44.25" thickBot="1" x14ac:dyDescent="0.5">
      <c r="A54" s="55" t="s">
        <v>565</v>
      </c>
      <c r="B54" s="45" t="s">
        <v>88</v>
      </c>
      <c r="C54" s="11" t="s">
        <v>267</v>
      </c>
      <c r="D54" s="106">
        <v>30000</v>
      </c>
      <c r="E54" s="106"/>
      <c r="F54" s="106"/>
      <c r="G54" s="106"/>
      <c r="H54" s="106">
        <f t="shared" si="138"/>
        <v>24000</v>
      </c>
      <c r="I54" s="106"/>
      <c r="J54" s="106"/>
      <c r="K54" s="106"/>
      <c r="L54" s="106">
        <f t="shared" si="139"/>
        <v>18000</v>
      </c>
      <c r="M54" s="106"/>
      <c r="N54" s="106"/>
      <c r="O54" s="106"/>
      <c r="P54" s="46" t="s">
        <v>171</v>
      </c>
      <c r="Q54" s="45" t="s">
        <v>10</v>
      </c>
      <c r="R54" s="53" t="s">
        <v>187</v>
      </c>
    </row>
    <row r="55" spans="1:18" ht="44.25" thickBot="1" x14ac:dyDescent="0.5">
      <c r="A55" s="43" t="s">
        <v>566</v>
      </c>
      <c r="B55" s="45" t="s">
        <v>578</v>
      </c>
      <c r="C55" s="88" t="s">
        <v>267</v>
      </c>
      <c r="D55" s="106">
        <v>20000</v>
      </c>
      <c r="E55" s="106"/>
      <c r="F55" s="106"/>
      <c r="G55" s="106"/>
      <c r="H55" s="106">
        <f t="shared" si="138"/>
        <v>16000</v>
      </c>
      <c r="I55" s="106"/>
      <c r="J55" s="106"/>
      <c r="K55" s="106"/>
      <c r="L55" s="106">
        <f t="shared" si="139"/>
        <v>12000</v>
      </c>
      <c r="M55" s="106"/>
      <c r="N55" s="106"/>
      <c r="O55" s="106"/>
      <c r="P55" s="46" t="s">
        <v>171</v>
      </c>
      <c r="Q55" s="45" t="s">
        <v>10</v>
      </c>
      <c r="R55" s="75" t="s">
        <v>186</v>
      </c>
    </row>
    <row r="56" spans="1:18" ht="71.25" customHeight="1" thickBot="1" x14ac:dyDescent="0.5">
      <c r="A56" s="55" t="s">
        <v>567</v>
      </c>
      <c r="B56" s="45" t="s">
        <v>40</v>
      </c>
      <c r="C56" s="11" t="s">
        <v>267</v>
      </c>
      <c r="D56" s="106">
        <v>15000</v>
      </c>
      <c r="E56" s="106"/>
      <c r="F56" s="106"/>
      <c r="G56" s="106"/>
      <c r="H56" s="106">
        <f t="shared" si="138"/>
        <v>12000</v>
      </c>
      <c r="I56" s="106"/>
      <c r="J56" s="106"/>
      <c r="K56" s="106"/>
      <c r="L56" s="106">
        <f t="shared" si="139"/>
        <v>9000</v>
      </c>
      <c r="M56" s="106"/>
      <c r="N56" s="106"/>
      <c r="O56" s="106"/>
      <c r="P56" s="46" t="s">
        <v>171</v>
      </c>
      <c r="Q56" s="45" t="s">
        <v>10</v>
      </c>
      <c r="R56" s="75" t="s">
        <v>186</v>
      </c>
    </row>
    <row r="57" spans="1:18" ht="37.5" customHeight="1" thickBot="1" x14ac:dyDescent="0.5">
      <c r="A57" s="43" t="s">
        <v>568</v>
      </c>
      <c r="B57" s="11" t="s">
        <v>59</v>
      </c>
      <c r="C57" s="11" t="s">
        <v>267</v>
      </c>
      <c r="D57" s="106">
        <v>5000</v>
      </c>
      <c r="E57" s="106"/>
      <c r="F57" s="106"/>
      <c r="G57" s="106"/>
      <c r="H57" s="106">
        <f t="shared" si="138"/>
        <v>4000</v>
      </c>
      <c r="I57" s="106"/>
      <c r="J57" s="106"/>
      <c r="K57" s="106"/>
      <c r="L57" s="106">
        <f t="shared" si="139"/>
        <v>3000</v>
      </c>
      <c r="M57" s="106"/>
      <c r="N57" s="106"/>
      <c r="O57" s="106"/>
      <c r="P57" s="46" t="s">
        <v>171</v>
      </c>
      <c r="Q57" s="45" t="s">
        <v>10</v>
      </c>
      <c r="R57" s="53" t="s">
        <v>188</v>
      </c>
    </row>
    <row r="58" spans="1:18" ht="37.5" customHeight="1" thickBot="1" x14ac:dyDescent="0.5">
      <c r="A58" s="55" t="s">
        <v>569</v>
      </c>
      <c r="B58" s="78" t="s">
        <v>159</v>
      </c>
      <c r="C58" s="11" t="s">
        <v>267</v>
      </c>
      <c r="D58" s="106">
        <v>20000</v>
      </c>
      <c r="E58" s="106"/>
      <c r="F58" s="106"/>
      <c r="G58" s="106"/>
      <c r="H58" s="106">
        <f t="shared" si="138"/>
        <v>16000</v>
      </c>
      <c r="I58" s="106"/>
      <c r="J58" s="106"/>
      <c r="K58" s="106"/>
      <c r="L58" s="106">
        <f t="shared" si="139"/>
        <v>12000</v>
      </c>
      <c r="M58" s="106"/>
      <c r="N58" s="106"/>
      <c r="O58" s="106"/>
      <c r="P58" s="46" t="s">
        <v>139</v>
      </c>
      <c r="Q58" s="45" t="s">
        <v>10</v>
      </c>
      <c r="R58" s="53" t="s">
        <v>188</v>
      </c>
    </row>
    <row r="59" spans="1:18" ht="70.5" customHeight="1" thickBot="1" x14ac:dyDescent="0.5">
      <c r="A59" s="67" t="s">
        <v>570</v>
      </c>
      <c r="B59" s="50" t="s">
        <v>118</v>
      </c>
      <c r="C59" s="11" t="s">
        <v>267</v>
      </c>
      <c r="D59" s="106">
        <v>15000</v>
      </c>
      <c r="E59" s="106"/>
      <c r="F59" s="106"/>
      <c r="G59" s="106"/>
      <c r="H59" s="106">
        <f t="shared" si="138"/>
        <v>12000</v>
      </c>
      <c r="I59" s="106"/>
      <c r="J59" s="106"/>
      <c r="K59" s="106"/>
      <c r="L59" s="106">
        <f t="shared" si="139"/>
        <v>9000</v>
      </c>
      <c r="M59" s="106"/>
      <c r="N59" s="106"/>
      <c r="O59" s="106"/>
      <c r="P59" s="52" t="s">
        <v>172</v>
      </c>
      <c r="Q59" s="50" t="s">
        <v>10</v>
      </c>
      <c r="R59" s="53" t="s">
        <v>215</v>
      </c>
    </row>
    <row r="60" spans="1:18" ht="42.75" customHeight="1" thickBot="1" x14ac:dyDescent="0.5">
      <c r="A60" s="67" t="s">
        <v>571</v>
      </c>
      <c r="B60" s="50" t="s">
        <v>41</v>
      </c>
      <c r="C60" s="11" t="s">
        <v>267</v>
      </c>
      <c r="D60" s="106">
        <v>30000</v>
      </c>
      <c r="E60" s="106"/>
      <c r="F60" s="106"/>
      <c r="G60" s="106"/>
      <c r="H60" s="106">
        <f t="shared" si="138"/>
        <v>24000</v>
      </c>
      <c r="I60" s="106"/>
      <c r="J60" s="106"/>
      <c r="K60" s="106"/>
      <c r="L60" s="106">
        <f t="shared" si="139"/>
        <v>18000</v>
      </c>
      <c r="M60" s="106"/>
      <c r="N60" s="106"/>
      <c r="O60" s="106"/>
      <c r="P60" s="52" t="s">
        <v>172</v>
      </c>
      <c r="Q60" s="50" t="s">
        <v>10</v>
      </c>
      <c r="R60" s="53" t="s">
        <v>215</v>
      </c>
    </row>
    <row r="61" spans="1:18" ht="47.25" thickBot="1" x14ac:dyDescent="0.5">
      <c r="A61" s="67" t="s">
        <v>572</v>
      </c>
      <c r="B61" s="45" t="s">
        <v>63</v>
      </c>
      <c r="C61" s="11" t="s">
        <v>267</v>
      </c>
      <c r="D61" s="106">
        <v>5000</v>
      </c>
      <c r="E61" s="106"/>
      <c r="F61" s="106"/>
      <c r="G61" s="106"/>
      <c r="H61" s="106">
        <f t="shared" si="138"/>
        <v>4000</v>
      </c>
      <c r="I61" s="106"/>
      <c r="J61" s="106"/>
      <c r="K61" s="106"/>
      <c r="L61" s="106">
        <f t="shared" si="139"/>
        <v>3000</v>
      </c>
      <c r="M61" s="106"/>
      <c r="N61" s="106"/>
      <c r="O61" s="106"/>
      <c r="P61" s="46" t="s">
        <v>131</v>
      </c>
      <c r="Q61" s="45" t="s">
        <v>10</v>
      </c>
      <c r="R61" s="53" t="s">
        <v>216</v>
      </c>
    </row>
    <row r="62" spans="1:18" ht="64.5" customHeight="1" thickBot="1" x14ac:dyDescent="0.5">
      <c r="A62" s="67" t="s">
        <v>573</v>
      </c>
      <c r="B62" s="44" t="s">
        <v>17</v>
      </c>
      <c r="C62" s="11" t="s">
        <v>267</v>
      </c>
      <c r="D62" s="106">
        <v>15000</v>
      </c>
      <c r="E62" s="106"/>
      <c r="F62" s="106"/>
      <c r="G62" s="106"/>
      <c r="H62" s="106">
        <f t="shared" si="138"/>
        <v>12000</v>
      </c>
      <c r="I62" s="106"/>
      <c r="J62" s="106"/>
      <c r="K62" s="106"/>
      <c r="L62" s="106">
        <f t="shared" si="139"/>
        <v>9000</v>
      </c>
      <c r="M62" s="106"/>
      <c r="N62" s="106"/>
      <c r="O62" s="106"/>
      <c r="P62" s="46" t="s">
        <v>172</v>
      </c>
      <c r="Q62" s="45" t="s">
        <v>10</v>
      </c>
      <c r="R62" s="53" t="s">
        <v>215</v>
      </c>
    </row>
    <row r="63" spans="1:18" ht="81" customHeight="1" thickBot="1" x14ac:dyDescent="0.5">
      <c r="A63" s="55" t="s">
        <v>574</v>
      </c>
      <c r="B63" s="44" t="s">
        <v>18</v>
      </c>
      <c r="C63" s="11" t="s">
        <v>267</v>
      </c>
      <c r="D63" s="106">
        <v>10000</v>
      </c>
      <c r="E63" s="106"/>
      <c r="F63" s="106"/>
      <c r="G63" s="106"/>
      <c r="H63" s="106">
        <f t="shared" si="138"/>
        <v>8000</v>
      </c>
      <c r="I63" s="106"/>
      <c r="J63" s="106"/>
      <c r="K63" s="106"/>
      <c r="L63" s="106">
        <f t="shared" si="139"/>
        <v>6000</v>
      </c>
      <c r="M63" s="106"/>
      <c r="N63" s="106"/>
      <c r="O63" s="106"/>
      <c r="P63" s="51" t="s">
        <v>172</v>
      </c>
      <c r="Q63" s="45" t="s">
        <v>10</v>
      </c>
      <c r="R63" s="53" t="s">
        <v>215</v>
      </c>
    </row>
    <row r="64" spans="1:18" ht="30" customHeight="1" thickBot="1" x14ac:dyDescent="0.5">
      <c r="A64" s="180" t="s">
        <v>575</v>
      </c>
      <c r="B64" s="159" t="s">
        <v>65</v>
      </c>
      <c r="C64" s="4" t="s">
        <v>283</v>
      </c>
      <c r="D64" s="45">
        <v>2000</v>
      </c>
      <c r="E64" s="19">
        <f t="shared" ref="E64" si="140">D64-(D64*10/100)</f>
        <v>1800</v>
      </c>
      <c r="F64" s="19">
        <f t="shared" ref="F64" si="141">D64-(D64*20/100)</f>
        <v>1600</v>
      </c>
      <c r="G64" s="19">
        <f t="shared" ref="G64" si="142">D64-(D64*30/100)</f>
        <v>1400</v>
      </c>
      <c r="H64" s="57">
        <f>D64-(D64*10/100)</f>
        <v>1800</v>
      </c>
      <c r="I64" s="57">
        <f t="shared" ref="I64" si="143">H64-(H64*10/100)</f>
        <v>1620</v>
      </c>
      <c r="J64" s="57">
        <f t="shared" ref="J64" si="144">H64-(H64*20/100)</f>
        <v>1440</v>
      </c>
      <c r="K64" s="57">
        <f t="shared" ref="K64" si="145">H64-(H64*30/100)</f>
        <v>1260</v>
      </c>
      <c r="L64" s="57">
        <f>D64-(D64*20/100)</f>
        <v>1600</v>
      </c>
      <c r="M64" s="57">
        <f t="shared" ref="M64" si="146">L64-(L64*10/100)</f>
        <v>1440</v>
      </c>
      <c r="N64" s="57">
        <f t="shared" ref="N64" si="147">L64-(L64*20/100)</f>
        <v>1280</v>
      </c>
      <c r="O64" s="57">
        <f t="shared" ref="O64" si="148">L64-(L64*30/100)</f>
        <v>1120</v>
      </c>
      <c r="P64" s="100" t="s">
        <v>172</v>
      </c>
      <c r="Q64" s="160" t="s">
        <v>25</v>
      </c>
      <c r="R64" s="174" t="s">
        <v>215</v>
      </c>
    </row>
    <row r="65" spans="1:18" ht="33" customHeight="1" thickBot="1" x14ac:dyDescent="0.5">
      <c r="A65" s="181"/>
      <c r="B65" s="159"/>
      <c r="C65" s="57" t="s">
        <v>284</v>
      </c>
      <c r="D65" s="57">
        <f t="shared" ref="D65:O65" si="149">D64*50/100</f>
        <v>1000</v>
      </c>
      <c r="E65" s="57">
        <f t="shared" si="149"/>
        <v>900</v>
      </c>
      <c r="F65" s="57">
        <f t="shared" si="149"/>
        <v>800</v>
      </c>
      <c r="G65" s="57">
        <f t="shared" si="149"/>
        <v>700</v>
      </c>
      <c r="H65" s="57">
        <f t="shared" si="149"/>
        <v>900</v>
      </c>
      <c r="I65" s="57">
        <f t="shared" si="149"/>
        <v>810</v>
      </c>
      <c r="J65" s="57">
        <f t="shared" si="149"/>
        <v>720</v>
      </c>
      <c r="K65" s="57">
        <f t="shared" si="149"/>
        <v>630</v>
      </c>
      <c r="L65" s="57">
        <f t="shared" si="149"/>
        <v>800</v>
      </c>
      <c r="M65" s="57">
        <f t="shared" si="149"/>
        <v>720</v>
      </c>
      <c r="N65" s="57">
        <f t="shared" si="149"/>
        <v>640</v>
      </c>
      <c r="O65" s="57">
        <f t="shared" si="149"/>
        <v>560</v>
      </c>
      <c r="P65" s="101"/>
      <c r="Q65" s="160"/>
      <c r="R65" s="174"/>
    </row>
    <row r="66" spans="1:18" ht="29.25" customHeight="1" thickBot="1" x14ac:dyDescent="0.5">
      <c r="A66" s="191" t="s">
        <v>580</v>
      </c>
      <c r="B66" s="159" t="s">
        <v>51</v>
      </c>
      <c r="C66" s="4" t="s">
        <v>283</v>
      </c>
      <c r="D66" s="4">
        <v>1000</v>
      </c>
      <c r="E66" s="57">
        <f t="shared" ref="E66" si="150">D66-(D66*10/100)</f>
        <v>900</v>
      </c>
      <c r="F66" s="57">
        <f t="shared" ref="F66" si="151">D66-(D66*20/100)</f>
        <v>800</v>
      </c>
      <c r="G66" s="57">
        <f t="shared" ref="G66" si="152">D66-(D66*30/100)</f>
        <v>700</v>
      </c>
      <c r="H66" s="57">
        <f>D66-(D66*10/100)</f>
        <v>900</v>
      </c>
      <c r="I66" s="57">
        <f t="shared" ref="I66" si="153">H66-(H66*10/100)</f>
        <v>810</v>
      </c>
      <c r="J66" s="57">
        <f t="shared" ref="J66" si="154">H66-(H66*20/100)</f>
        <v>720</v>
      </c>
      <c r="K66" s="57">
        <f t="shared" ref="K66" si="155">H66-(H66*30/100)</f>
        <v>630</v>
      </c>
      <c r="L66" s="57">
        <f>D66-(D66*20/100)</f>
        <v>800</v>
      </c>
      <c r="M66" s="57">
        <f t="shared" ref="M66" si="156">L66-(L66*10/100)</f>
        <v>720</v>
      </c>
      <c r="N66" s="57">
        <f t="shared" ref="N66" si="157">L66-(L66*20/100)</f>
        <v>640</v>
      </c>
      <c r="O66" s="57">
        <f t="shared" ref="O66" si="158">L66-(L66*30/100)</f>
        <v>560</v>
      </c>
      <c r="P66" s="156" t="s">
        <v>161</v>
      </c>
      <c r="Q66" s="160" t="s">
        <v>25</v>
      </c>
      <c r="R66" s="174" t="s">
        <v>215</v>
      </c>
    </row>
    <row r="67" spans="1:18" ht="29.25" customHeight="1" thickBot="1" x14ac:dyDescent="0.5">
      <c r="A67" s="191"/>
      <c r="B67" s="159"/>
      <c r="C67" s="57" t="s">
        <v>284</v>
      </c>
      <c r="D67" s="57">
        <f t="shared" ref="D67:O67" si="159">D66*50/100</f>
        <v>500</v>
      </c>
      <c r="E67" s="57">
        <f t="shared" si="159"/>
        <v>450</v>
      </c>
      <c r="F67" s="57">
        <f t="shared" si="159"/>
        <v>400</v>
      </c>
      <c r="G67" s="57">
        <f t="shared" si="159"/>
        <v>350</v>
      </c>
      <c r="H67" s="57">
        <f t="shared" si="159"/>
        <v>450</v>
      </c>
      <c r="I67" s="57">
        <f t="shared" si="159"/>
        <v>405</v>
      </c>
      <c r="J67" s="57">
        <f t="shared" si="159"/>
        <v>360</v>
      </c>
      <c r="K67" s="57">
        <f t="shared" si="159"/>
        <v>315</v>
      </c>
      <c r="L67" s="57">
        <f t="shared" si="159"/>
        <v>400</v>
      </c>
      <c r="M67" s="57">
        <f t="shared" si="159"/>
        <v>360</v>
      </c>
      <c r="N67" s="57">
        <f t="shared" si="159"/>
        <v>320</v>
      </c>
      <c r="O67" s="57">
        <f t="shared" si="159"/>
        <v>280</v>
      </c>
      <c r="P67" s="156"/>
      <c r="Q67" s="160"/>
      <c r="R67" s="174"/>
    </row>
    <row r="68" spans="1:18" ht="47.25" customHeight="1" thickBot="1" x14ac:dyDescent="0.5">
      <c r="A68" s="55" t="s">
        <v>581</v>
      </c>
      <c r="B68" s="44" t="s">
        <v>31</v>
      </c>
      <c r="C68" s="11" t="s">
        <v>267</v>
      </c>
      <c r="D68" s="106">
        <v>15000</v>
      </c>
      <c r="E68" s="106"/>
      <c r="F68" s="106"/>
      <c r="G68" s="106"/>
      <c r="H68" s="106">
        <f t="shared" ref="H68:H72" si="160">D68-(D68*20/100)</f>
        <v>12000</v>
      </c>
      <c r="I68" s="106"/>
      <c r="J68" s="106"/>
      <c r="K68" s="106"/>
      <c r="L68" s="106">
        <f t="shared" ref="L68:L72" si="161">D68-(D68*40/100)</f>
        <v>9000</v>
      </c>
      <c r="M68" s="106"/>
      <c r="N68" s="106"/>
      <c r="O68" s="106"/>
      <c r="P68" s="46" t="s">
        <v>172</v>
      </c>
      <c r="Q68" s="45" t="s">
        <v>10</v>
      </c>
      <c r="R68" s="53" t="s">
        <v>215</v>
      </c>
    </row>
    <row r="69" spans="1:18" ht="36" customHeight="1" thickBot="1" x14ac:dyDescent="0.5">
      <c r="A69" s="49" t="s">
        <v>582</v>
      </c>
      <c r="B69" s="76" t="s">
        <v>91</v>
      </c>
      <c r="C69" s="87" t="s">
        <v>267</v>
      </c>
      <c r="D69" s="143">
        <v>5000</v>
      </c>
      <c r="E69" s="144"/>
      <c r="F69" s="144"/>
      <c r="G69" s="145"/>
      <c r="H69" s="143">
        <f t="shared" si="160"/>
        <v>4000</v>
      </c>
      <c r="I69" s="144"/>
      <c r="J69" s="144"/>
      <c r="K69" s="145"/>
      <c r="L69" s="143">
        <f t="shared" si="161"/>
        <v>3000</v>
      </c>
      <c r="M69" s="144"/>
      <c r="N69" s="144"/>
      <c r="O69" s="145"/>
      <c r="P69" s="50" t="s">
        <v>171</v>
      </c>
      <c r="Q69" s="50" t="s">
        <v>10</v>
      </c>
      <c r="R69" s="53" t="s">
        <v>217</v>
      </c>
    </row>
    <row r="70" spans="1:18" ht="51" customHeight="1" thickBot="1" x14ac:dyDescent="0.5">
      <c r="A70" s="49" t="s">
        <v>583</v>
      </c>
      <c r="B70" s="76" t="s">
        <v>92</v>
      </c>
      <c r="C70" s="87" t="s">
        <v>267</v>
      </c>
      <c r="D70" s="106">
        <v>1000</v>
      </c>
      <c r="E70" s="106"/>
      <c r="F70" s="106"/>
      <c r="G70" s="106"/>
      <c r="H70" s="106">
        <f t="shared" si="160"/>
        <v>800</v>
      </c>
      <c r="I70" s="106"/>
      <c r="J70" s="106"/>
      <c r="K70" s="106"/>
      <c r="L70" s="106">
        <f t="shared" si="161"/>
        <v>600</v>
      </c>
      <c r="M70" s="106"/>
      <c r="N70" s="106"/>
      <c r="O70" s="106"/>
      <c r="P70" s="50" t="s">
        <v>155</v>
      </c>
      <c r="Q70" s="50" t="s">
        <v>10</v>
      </c>
      <c r="R70" s="53" t="s">
        <v>188</v>
      </c>
    </row>
    <row r="71" spans="1:18" ht="31.5" customHeight="1" thickBot="1" x14ac:dyDescent="0.5">
      <c r="A71" s="49" t="s">
        <v>584</v>
      </c>
      <c r="B71" s="76" t="s">
        <v>93</v>
      </c>
      <c r="C71" s="87" t="s">
        <v>267</v>
      </c>
      <c r="D71" s="106">
        <v>1000</v>
      </c>
      <c r="E71" s="106"/>
      <c r="F71" s="106"/>
      <c r="G71" s="106"/>
      <c r="H71" s="106">
        <f t="shared" si="160"/>
        <v>800</v>
      </c>
      <c r="I71" s="106"/>
      <c r="J71" s="106"/>
      <c r="K71" s="106"/>
      <c r="L71" s="106">
        <f t="shared" si="161"/>
        <v>600</v>
      </c>
      <c r="M71" s="106"/>
      <c r="N71" s="106"/>
      <c r="O71" s="106"/>
      <c r="P71" s="50" t="s">
        <v>155</v>
      </c>
      <c r="Q71" s="50" t="s">
        <v>10</v>
      </c>
      <c r="R71" s="53" t="s">
        <v>76</v>
      </c>
    </row>
    <row r="72" spans="1:18" ht="39.75" customHeight="1" thickBot="1" x14ac:dyDescent="0.5">
      <c r="A72" s="49" t="s">
        <v>585</v>
      </c>
      <c r="B72" s="76" t="s">
        <v>579</v>
      </c>
      <c r="C72" s="87" t="s">
        <v>267</v>
      </c>
      <c r="D72" s="106">
        <v>5000</v>
      </c>
      <c r="E72" s="106"/>
      <c r="F72" s="106"/>
      <c r="G72" s="106"/>
      <c r="H72" s="106">
        <f t="shared" si="160"/>
        <v>4000</v>
      </c>
      <c r="I72" s="106"/>
      <c r="J72" s="106"/>
      <c r="K72" s="106"/>
      <c r="L72" s="106">
        <f t="shared" si="161"/>
        <v>3000</v>
      </c>
      <c r="M72" s="106"/>
      <c r="N72" s="106"/>
      <c r="O72" s="106"/>
      <c r="P72" s="50" t="s">
        <v>155</v>
      </c>
      <c r="Q72" s="50" t="s">
        <v>10</v>
      </c>
      <c r="R72" s="53" t="s">
        <v>188</v>
      </c>
    </row>
    <row r="73" spans="1:18" ht="33" customHeight="1" thickBot="1" x14ac:dyDescent="0.5">
      <c r="A73" s="153" t="s">
        <v>586</v>
      </c>
      <c r="B73" s="154" t="s">
        <v>173</v>
      </c>
      <c r="C73" s="4" t="s">
        <v>283</v>
      </c>
      <c r="D73" s="1">
        <v>1000</v>
      </c>
      <c r="E73" s="1">
        <f t="shared" ref="E73" si="162">D73-(D73*10/100)</f>
        <v>900</v>
      </c>
      <c r="F73" s="1">
        <f t="shared" ref="F73" si="163">D73-(D73*20/100)</f>
        <v>800</v>
      </c>
      <c r="G73" s="1">
        <f t="shared" ref="G73" si="164">D73-(D73*30/100)</f>
        <v>700</v>
      </c>
      <c r="H73" s="1">
        <f>D73-(D73*10/100)</f>
        <v>900</v>
      </c>
      <c r="I73" s="1">
        <f t="shared" ref="I73" si="165">H73-(H73*10/100)</f>
        <v>810</v>
      </c>
      <c r="J73" s="1">
        <f t="shared" ref="J73" si="166">H73-(H73*20/100)</f>
        <v>720</v>
      </c>
      <c r="K73" s="1">
        <f t="shared" ref="K73" si="167">H73-(H73*30/100)</f>
        <v>630</v>
      </c>
      <c r="L73" s="1">
        <f>D73-(D73*20/100)</f>
        <v>800</v>
      </c>
      <c r="M73" s="1">
        <f t="shared" ref="M73" si="168">L73-(L73*10/100)</f>
        <v>720</v>
      </c>
      <c r="N73" s="1">
        <f t="shared" ref="N73" si="169">L73-(L73*20/100)</f>
        <v>640</v>
      </c>
      <c r="O73" s="1">
        <f t="shared" ref="O73" si="170">L73-(L73*30/100)</f>
        <v>560</v>
      </c>
      <c r="P73" s="157" t="s">
        <v>171</v>
      </c>
      <c r="Q73" s="155" t="s">
        <v>26</v>
      </c>
      <c r="R73" s="171" t="s">
        <v>188</v>
      </c>
    </row>
    <row r="74" spans="1:18" ht="30" customHeight="1" thickBot="1" x14ac:dyDescent="0.5">
      <c r="A74" s="153"/>
      <c r="B74" s="154"/>
      <c r="C74" s="57" t="s">
        <v>284</v>
      </c>
      <c r="D74" s="1">
        <f t="shared" ref="D74:O74" si="171">D73*50/100</f>
        <v>500</v>
      </c>
      <c r="E74" s="1">
        <f t="shared" si="171"/>
        <v>450</v>
      </c>
      <c r="F74" s="1">
        <f t="shared" si="171"/>
        <v>400</v>
      </c>
      <c r="G74" s="1">
        <f t="shared" si="171"/>
        <v>350</v>
      </c>
      <c r="H74" s="1">
        <f t="shared" si="171"/>
        <v>450</v>
      </c>
      <c r="I74" s="1">
        <f t="shared" si="171"/>
        <v>405</v>
      </c>
      <c r="J74" s="1">
        <f t="shared" si="171"/>
        <v>360</v>
      </c>
      <c r="K74" s="1">
        <f t="shared" si="171"/>
        <v>315</v>
      </c>
      <c r="L74" s="1">
        <f t="shared" si="171"/>
        <v>400</v>
      </c>
      <c r="M74" s="1">
        <f t="shared" si="171"/>
        <v>360</v>
      </c>
      <c r="N74" s="1">
        <f t="shared" si="171"/>
        <v>320</v>
      </c>
      <c r="O74" s="1">
        <f t="shared" si="171"/>
        <v>280</v>
      </c>
      <c r="P74" s="157"/>
      <c r="Q74" s="155"/>
      <c r="R74" s="172"/>
    </row>
    <row r="75" spans="1:18" ht="24" customHeight="1" thickBot="1" x14ac:dyDescent="0.5">
      <c r="A75" s="191" t="s">
        <v>587</v>
      </c>
      <c r="B75" s="154" t="s">
        <v>34</v>
      </c>
      <c r="C75" s="4" t="s">
        <v>283</v>
      </c>
      <c r="D75" s="4">
        <v>1000</v>
      </c>
      <c r="E75" s="57">
        <f t="shared" ref="E75" si="172">D75-(D75*10/100)</f>
        <v>900</v>
      </c>
      <c r="F75" s="57">
        <f t="shared" ref="F75" si="173">D75-(D75*20/100)</f>
        <v>800</v>
      </c>
      <c r="G75" s="57">
        <f t="shared" ref="G75" si="174">D75-(D75*30/100)</f>
        <v>700</v>
      </c>
      <c r="H75" s="57">
        <f>D75-(D75*10/100)</f>
        <v>900</v>
      </c>
      <c r="I75" s="57">
        <f t="shared" ref="I75" si="175">H75-(H75*10/100)</f>
        <v>810</v>
      </c>
      <c r="J75" s="57">
        <f t="shared" ref="J75" si="176">H75-(H75*20/100)</f>
        <v>720</v>
      </c>
      <c r="K75" s="57">
        <f t="shared" ref="K75" si="177">H75-(H75*30/100)</f>
        <v>630</v>
      </c>
      <c r="L75" s="57">
        <f>D75-(D75*20/100)</f>
        <v>800</v>
      </c>
      <c r="M75" s="57">
        <f t="shared" ref="M75" si="178">L75-(L75*10/100)</f>
        <v>720</v>
      </c>
      <c r="N75" s="57">
        <f t="shared" ref="N75" si="179">L75-(L75*20/100)</f>
        <v>640</v>
      </c>
      <c r="O75" s="57">
        <f t="shared" ref="O75" si="180">L75-(L75*30/100)</f>
        <v>560</v>
      </c>
      <c r="P75" s="200" t="s">
        <v>135</v>
      </c>
      <c r="Q75" s="160" t="s">
        <v>25</v>
      </c>
      <c r="R75" s="171" t="s">
        <v>188</v>
      </c>
    </row>
    <row r="76" spans="1:18" ht="36" customHeight="1" thickBot="1" x14ac:dyDescent="0.5">
      <c r="A76" s="191"/>
      <c r="B76" s="154"/>
      <c r="C76" s="57" t="s">
        <v>284</v>
      </c>
      <c r="D76" s="57">
        <f t="shared" ref="D76:O76" si="181">D75*50/100</f>
        <v>500</v>
      </c>
      <c r="E76" s="57">
        <f t="shared" si="181"/>
        <v>450</v>
      </c>
      <c r="F76" s="57">
        <f t="shared" si="181"/>
        <v>400</v>
      </c>
      <c r="G76" s="57">
        <f t="shared" si="181"/>
        <v>350</v>
      </c>
      <c r="H76" s="57">
        <f t="shared" si="181"/>
        <v>450</v>
      </c>
      <c r="I76" s="57">
        <f t="shared" si="181"/>
        <v>405</v>
      </c>
      <c r="J76" s="57">
        <f t="shared" si="181"/>
        <v>360</v>
      </c>
      <c r="K76" s="57">
        <f t="shared" si="181"/>
        <v>315</v>
      </c>
      <c r="L76" s="57">
        <f t="shared" si="181"/>
        <v>400</v>
      </c>
      <c r="M76" s="57">
        <f t="shared" si="181"/>
        <v>360</v>
      </c>
      <c r="N76" s="57">
        <f t="shared" si="181"/>
        <v>320</v>
      </c>
      <c r="O76" s="57">
        <f t="shared" si="181"/>
        <v>280</v>
      </c>
      <c r="P76" s="200"/>
      <c r="Q76" s="160"/>
      <c r="R76" s="172"/>
    </row>
    <row r="77" spans="1:18" ht="48.75" customHeight="1" thickBot="1" x14ac:dyDescent="0.5">
      <c r="A77" s="55" t="s">
        <v>588</v>
      </c>
      <c r="B77" s="44" t="s">
        <v>595</v>
      </c>
      <c r="C77" s="11" t="s">
        <v>267</v>
      </c>
      <c r="D77" s="106">
        <v>20000</v>
      </c>
      <c r="E77" s="106"/>
      <c r="F77" s="106"/>
      <c r="G77" s="106"/>
      <c r="H77" s="106">
        <f>D77-(D77*20/100)</f>
        <v>16000</v>
      </c>
      <c r="I77" s="106"/>
      <c r="J77" s="106"/>
      <c r="K77" s="106"/>
      <c r="L77" s="106">
        <f>D77-(D77*40/100)</f>
        <v>12000</v>
      </c>
      <c r="M77" s="106"/>
      <c r="N77" s="106"/>
      <c r="O77" s="106"/>
      <c r="P77" s="46" t="s">
        <v>171</v>
      </c>
      <c r="Q77" s="45" t="s">
        <v>10</v>
      </c>
      <c r="R77" s="53" t="s">
        <v>192</v>
      </c>
    </row>
    <row r="78" spans="1:18" s="22" customFormat="1" ht="41.25" customHeight="1" thickBot="1" x14ac:dyDescent="0.25">
      <c r="A78" s="55" t="s">
        <v>589</v>
      </c>
      <c r="B78" s="78" t="s">
        <v>74</v>
      </c>
      <c r="C78" s="11" t="s">
        <v>267</v>
      </c>
      <c r="D78" s="106">
        <v>10000</v>
      </c>
      <c r="E78" s="106"/>
      <c r="F78" s="106"/>
      <c r="G78" s="106"/>
      <c r="H78" s="106">
        <f>D78-(D78*20/100)</f>
        <v>8000</v>
      </c>
      <c r="I78" s="106"/>
      <c r="J78" s="106"/>
      <c r="K78" s="106"/>
      <c r="L78" s="106">
        <f>D78-(D78*40/100)</f>
        <v>6000</v>
      </c>
      <c r="M78" s="106"/>
      <c r="N78" s="106"/>
      <c r="O78" s="106"/>
      <c r="P78" s="46" t="s">
        <v>171</v>
      </c>
      <c r="Q78" s="45" t="s">
        <v>10</v>
      </c>
      <c r="R78" s="53" t="s">
        <v>192</v>
      </c>
    </row>
    <row r="79" spans="1:18" s="22" customFormat="1" ht="47.25" customHeight="1" thickBot="1" x14ac:dyDescent="0.25">
      <c r="A79" s="77" t="s">
        <v>590</v>
      </c>
      <c r="B79" s="59" t="s">
        <v>596</v>
      </c>
      <c r="C79" s="89" t="s">
        <v>267</v>
      </c>
      <c r="D79" s="122">
        <v>10000</v>
      </c>
      <c r="E79" s="122"/>
      <c r="F79" s="122"/>
      <c r="G79" s="122"/>
      <c r="H79" s="122">
        <f>D79-(D79*20/100)</f>
        <v>8000</v>
      </c>
      <c r="I79" s="122"/>
      <c r="J79" s="122"/>
      <c r="K79" s="122"/>
      <c r="L79" s="122">
        <f>D79-(D79*40/100)</f>
        <v>6000</v>
      </c>
      <c r="M79" s="122"/>
      <c r="N79" s="122"/>
      <c r="O79" s="122"/>
      <c r="P79" s="61" t="s">
        <v>171</v>
      </c>
      <c r="Q79" s="62" t="s">
        <v>10</v>
      </c>
      <c r="R79" s="54" t="s">
        <v>218</v>
      </c>
    </row>
    <row r="80" spans="1:18" s="22" customFormat="1" ht="26.25" customHeight="1" thickBot="1" x14ac:dyDescent="0.25">
      <c r="A80" s="136" t="s">
        <v>591</v>
      </c>
      <c r="B80" s="138" t="s">
        <v>95</v>
      </c>
      <c r="C80" s="4" t="s">
        <v>283</v>
      </c>
      <c r="D80" s="66">
        <v>1000</v>
      </c>
      <c r="E80" s="66">
        <f t="shared" ref="E80" si="182">D80-(D80*10/100)</f>
        <v>900</v>
      </c>
      <c r="F80" s="66">
        <f t="shared" ref="F80" si="183">D80-(D80*20/100)</f>
        <v>800</v>
      </c>
      <c r="G80" s="66">
        <f t="shared" ref="G80" si="184">D80-(D80*30/100)</f>
        <v>700</v>
      </c>
      <c r="H80" s="66">
        <f>D80-(D80*10/100)</f>
        <v>900</v>
      </c>
      <c r="I80" s="66">
        <f t="shared" ref="I80" si="185">H80-(H80*10/100)</f>
        <v>810</v>
      </c>
      <c r="J80" s="66">
        <f t="shared" ref="J80" si="186">H80-(H80*20/100)</f>
        <v>720</v>
      </c>
      <c r="K80" s="66">
        <f t="shared" ref="K80" si="187">H80-(H80*30/100)</f>
        <v>630</v>
      </c>
      <c r="L80" s="66">
        <f>D80-(D80*20/100)</f>
        <v>800</v>
      </c>
      <c r="M80" s="66">
        <f t="shared" ref="M80" si="188">L80-(L80*10/100)</f>
        <v>720</v>
      </c>
      <c r="N80" s="66">
        <f t="shared" ref="N80" si="189">L80-(L80*20/100)</f>
        <v>640</v>
      </c>
      <c r="O80" s="66">
        <f t="shared" ref="O80" si="190">L80-(L80*30/100)</f>
        <v>560</v>
      </c>
      <c r="P80" s="134" t="s">
        <v>131</v>
      </c>
      <c r="Q80" s="140" t="s">
        <v>25</v>
      </c>
      <c r="R80" s="123" t="s">
        <v>219</v>
      </c>
    </row>
    <row r="81" spans="1:18" s="22" customFormat="1" ht="27" customHeight="1" thickBot="1" x14ac:dyDescent="0.25">
      <c r="A81" s="137"/>
      <c r="B81" s="139"/>
      <c r="C81" s="57" t="s">
        <v>284</v>
      </c>
      <c r="D81" s="64">
        <f t="shared" ref="D81:O81" si="191">D80*50/100</f>
        <v>500</v>
      </c>
      <c r="E81" s="64">
        <f t="shared" si="191"/>
        <v>450</v>
      </c>
      <c r="F81" s="64">
        <f t="shared" si="191"/>
        <v>400</v>
      </c>
      <c r="G81" s="64">
        <f t="shared" si="191"/>
        <v>350</v>
      </c>
      <c r="H81" s="64">
        <f t="shared" si="191"/>
        <v>450</v>
      </c>
      <c r="I81" s="64">
        <f t="shared" si="191"/>
        <v>405</v>
      </c>
      <c r="J81" s="64">
        <f t="shared" si="191"/>
        <v>360</v>
      </c>
      <c r="K81" s="64">
        <f t="shared" si="191"/>
        <v>315</v>
      </c>
      <c r="L81" s="64">
        <f t="shared" si="191"/>
        <v>400</v>
      </c>
      <c r="M81" s="64">
        <f t="shared" si="191"/>
        <v>360</v>
      </c>
      <c r="N81" s="64">
        <f t="shared" si="191"/>
        <v>320</v>
      </c>
      <c r="O81" s="64">
        <f t="shared" si="191"/>
        <v>280</v>
      </c>
      <c r="P81" s="135"/>
      <c r="Q81" s="131"/>
      <c r="R81" s="124"/>
    </row>
    <row r="82" spans="1:18" ht="47.25" thickBot="1" x14ac:dyDescent="0.5">
      <c r="A82" s="73" t="s">
        <v>592</v>
      </c>
      <c r="B82" s="74" t="s">
        <v>119</v>
      </c>
      <c r="C82" s="63" t="s">
        <v>267</v>
      </c>
      <c r="D82" s="106">
        <v>5000</v>
      </c>
      <c r="E82" s="106"/>
      <c r="F82" s="106"/>
      <c r="G82" s="106"/>
      <c r="H82" s="106">
        <f>D82-(D82*20/100)</f>
        <v>4000</v>
      </c>
      <c r="I82" s="106"/>
      <c r="J82" s="106"/>
      <c r="K82" s="106"/>
      <c r="L82" s="106">
        <f>D82-(D82*40/100)</f>
        <v>3000</v>
      </c>
      <c r="M82" s="106"/>
      <c r="N82" s="106"/>
      <c r="O82" s="106"/>
      <c r="P82" s="72" t="s">
        <v>135</v>
      </c>
      <c r="Q82" s="71" t="s">
        <v>10</v>
      </c>
      <c r="R82" s="70" t="s">
        <v>220</v>
      </c>
    </row>
    <row r="83" spans="1:18" ht="18" customHeight="1" x14ac:dyDescent="0.45">
      <c r="A83" s="127" t="s">
        <v>593</v>
      </c>
      <c r="B83" s="129" t="s">
        <v>594</v>
      </c>
      <c r="C83" s="129" t="s">
        <v>267</v>
      </c>
      <c r="D83" s="141">
        <v>15000</v>
      </c>
      <c r="E83" s="141"/>
      <c r="F83" s="141"/>
      <c r="G83" s="141"/>
      <c r="H83" s="141">
        <f t="shared" ref="H83" si="192">D83-(D83*20/100)</f>
        <v>12000</v>
      </c>
      <c r="I83" s="141"/>
      <c r="J83" s="141"/>
      <c r="K83" s="141"/>
      <c r="L83" s="141">
        <f t="shared" ref="L83" si="193">D83-(D83*40/100)</f>
        <v>9000</v>
      </c>
      <c r="M83" s="141"/>
      <c r="N83" s="141"/>
      <c r="O83" s="141"/>
      <c r="P83" s="214" t="s">
        <v>131</v>
      </c>
      <c r="Q83" s="131" t="s">
        <v>10</v>
      </c>
      <c r="R83" s="124" t="s">
        <v>187</v>
      </c>
    </row>
    <row r="84" spans="1:18" ht="32.25" customHeight="1" thickBot="1" x14ac:dyDescent="0.5">
      <c r="A84" s="128"/>
      <c r="B84" s="130"/>
      <c r="C84" s="130"/>
      <c r="D84" s="142"/>
      <c r="E84" s="142"/>
      <c r="F84" s="142"/>
      <c r="G84" s="142"/>
      <c r="H84" s="142"/>
      <c r="I84" s="142"/>
      <c r="J84" s="142"/>
      <c r="K84" s="142"/>
      <c r="L84" s="142"/>
      <c r="M84" s="142"/>
      <c r="N84" s="142"/>
      <c r="O84" s="142"/>
      <c r="P84" s="215"/>
      <c r="Q84" s="132"/>
      <c r="R84" s="133"/>
    </row>
    <row r="85" spans="1:18" ht="24" thickBot="1" x14ac:dyDescent="0.5">
      <c r="A85" s="211" t="s">
        <v>49</v>
      </c>
      <c r="B85" s="212"/>
      <c r="C85" s="212"/>
      <c r="D85" s="212"/>
      <c r="E85" s="212"/>
      <c r="F85" s="212"/>
      <c r="G85" s="212"/>
      <c r="H85" s="212"/>
      <c r="I85" s="212"/>
      <c r="J85" s="212"/>
      <c r="K85" s="212"/>
      <c r="L85" s="212"/>
      <c r="M85" s="212"/>
      <c r="N85" s="212"/>
      <c r="O85" s="212"/>
      <c r="P85" s="212"/>
      <c r="Q85" s="212"/>
      <c r="R85" s="212"/>
    </row>
    <row r="86" spans="1:18" ht="66" thickBot="1" x14ac:dyDescent="0.5">
      <c r="A86" s="55" t="s">
        <v>597</v>
      </c>
      <c r="B86" s="76" t="s">
        <v>35</v>
      </c>
      <c r="C86" s="87" t="s">
        <v>267</v>
      </c>
      <c r="D86" s="106">
        <v>1000</v>
      </c>
      <c r="E86" s="106"/>
      <c r="F86" s="106"/>
      <c r="G86" s="106"/>
      <c r="H86" s="106">
        <f t="shared" ref="H86:H97" si="194">D86-(D86*20/100)</f>
        <v>800</v>
      </c>
      <c r="I86" s="106"/>
      <c r="J86" s="106"/>
      <c r="K86" s="106"/>
      <c r="L86" s="106">
        <f t="shared" ref="L86:L97" si="195">D86-(D86*40/100)</f>
        <v>600</v>
      </c>
      <c r="M86" s="106"/>
      <c r="N86" s="106"/>
      <c r="O86" s="106"/>
      <c r="P86" s="46" t="s">
        <v>155</v>
      </c>
      <c r="Q86" s="45" t="s">
        <v>10</v>
      </c>
      <c r="R86" s="53" t="s">
        <v>192</v>
      </c>
    </row>
    <row r="87" spans="1:18" ht="70.5" thickBot="1" x14ac:dyDescent="0.5">
      <c r="A87" s="55" t="s">
        <v>598</v>
      </c>
      <c r="B87" s="3" t="s">
        <v>174</v>
      </c>
      <c r="C87" s="87" t="s">
        <v>267</v>
      </c>
      <c r="D87" s="106">
        <v>5000</v>
      </c>
      <c r="E87" s="106"/>
      <c r="F87" s="106"/>
      <c r="G87" s="106"/>
      <c r="H87" s="106">
        <f t="shared" si="194"/>
        <v>4000</v>
      </c>
      <c r="I87" s="106"/>
      <c r="J87" s="106"/>
      <c r="K87" s="106"/>
      <c r="L87" s="106">
        <f t="shared" si="195"/>
        <v>3000</v>
      </c>
      <c r="M87" s="106"/>
      <c r="N87" s="106"/>
      <c r="O87" s="106"/>
      <c r="P87" s="6" t="s">
        <v>135</v>
      </c>
      <c r="Q87" s="2" t="s">
        <v>10</v>
      </c>
      <c r="R87" s="53" t="s">
        <v>192</v>
      </c>
    </row>
    <row r="88" spans="1:18" ht="44.25" thickBot="1" x14ac:dyDescent="0.5">
      <c r="A88" s="55" t="s">
        <v>599</v>
      </c>
      <c r="B88" s="44" t="s">
        <v>120</v>
      </c>
      <c r="C88" s="87" t="s">
        <v>267</v>
      </c>
      <c r="D88" s="106">
        <v>100000</v>
      </c>
      <c r="E88" s="106"/>
      <c r="F88" s="106"/>
      <c r="G88" s="106"/>
      <c r="H88" s="106">
        <f t="shared" si="194"/>
        <v>80000</v>
      </c>
      <c r="I88" s="106"/>
      <c r="J88" s="106"/>
      <c r="K88" s="106"/>
      <c r="L88" s="106">
        <f t="shared" si="195"/>
        <v>60000</v>
      </c>
      <c r="M88" s="106"/>
      <c r="N88" s="106"/>
      <c r="O88" s="106"/>
      <c r="P88" s="6" t="s">
        <v>135</v>
      </c>
      <c r="Q88" s="45" t="s">
        <v>10</v>
      </c>
      <c r="R88" s="53" t="s">
        <v>192</v>
      </c>
    </row>
    <row r="89" spans="1:18" ht="44.25" thickBot="1" x14ac:dyDescent="0.5">
      <c r="A89" s="55" t="s">
        <v>600</v>
      </c>
      <c r="B89" s="20" t="s">
        <v>70</v>
      </c>
      <c r="C89" s="87" t="s">
        <v>267</v>
      </c>
      <c r="D89" s="113">
        <v>5000</v>
      </c>
      <c r="E89" s="114"/>
      <c r="F89" s="114"/>
      <c r="G89" s="115"/>
      <c r="H89" s="113">
        <f t="shared" si="194"/>
        <v>4000</v>
      </c>
      <c r="I89" s="114"/>
      <c r="J89" s="114"/>
      <c r="K89" s="115"/>
      <c r="L89" s="113">
        <f t="shared" si="195"/>
        <v>3000</v>
      </c>
      <c r="M89" s="114"/>
      <c r="N89" s="114"/>
      <c r="O89" s="115"/>
      <c r="P89" s="58" t="s">
        <v>131</v>
      </c>
      <c r="Q89" s="56" t="s">
        <v>10</v>
      </c>
      <c r="R89" s="53" t="s">
        <v>192</v>
      </c>
    </row>
    <row r="90" spans="1:18" ht="44.25" thickBot="1" x14ac:dyDescent="0.5">
      <c r="A90" s="55" t="s">
        <v>601</v>
      </c>
      <c r="B90" s="20" t="s">
        <v>55</v>
      </c>
      <c r="C90" s="87" t="s">
        <v>267</v>
      </c>
      <c r="D90" s="116">
        <v>50000</v>
      </c>
      <c r="E90" s="117"/>
      <c r="F90" s="117"/>
      <c r="G90" s="118"/>
      <c r="H90" s="114">
        <f t="shared" si="194"/>
        <v>40000</v>
      </c>
      <c r="I90" s="114"/>
      <c r="J90" s="114"/>
      <c r="K90" s="115"/>
      <c r="L90" s="113">
        <f t="shared" si="195"/>
        <v>30000</v>
      </c>
      <c r="M90" s="114"/>
      <c r="N90" s="114"/>
      <c r="O90" s="115"/>
      <c r="P90" s="58" t="s">
        <v>149</v>
      </c>
      <c r="Q90" s="56" t="s">
        <v>10</v>
      </c>
      <c r="R90" s="53" t="s">
        <v>192</v>
      </c>
    </row>
    <row r="91" spans="1:18" ht="44.25" thickBot="1" x14ac:dyDescent="0.5">
      <c r="A91" s="55" t="s">
        <v>602</v>
      </c>
      <c r="B91" s="20" t="s">
        <v>56</v>
      </c>
      <c r="C91" s="87" t="s">
        <v>267</v>
      </c>
      <c r="D91" s="119">
        <v>15000</v>
      </c>
      <c r="E91" s="120"/>
      <c r="F91" s="120"/>
      <c r="G91" s="121"/>
      <c r="H91" s="114">
        <f t="shared" si="194"/>
        <v>12000</v>
      </c>
      <c r="I91" s="114"/>
      <c r="J91" s="114"/>
      <c r="K91" s="115"/>
      <c r="L91" s="113">
        <f t="shared" si="195"/>
        <v>9000</v>
      </c>
      <c r="M91" s="114"/>
      <c r="N91" s="114"/>
      <c r="O91" s="115"/>
      <c r="P91" s="58" t="s">
        <v>171</v>
      </c>
      <c r="Q91" s="56" t="s">
        <v>10</v>
      </c>
      <c r="R91" s="53" t="s">
        <v>192</v>
      </c>
    </row>
    <row r="92" spans="1:18" ht="47.25" thickBot="1" x14ac:dyDescent="0.5">
      <c r="A92" s="55" t="s">
        <v>603</v>
      </c>
      <c r="B92" s="20" t="s">
        <v>121</v>
      </c>
      <c r="C92" s="87" t="s">
        <v>267</v>
      </c>
      <c r="D92" s="113">
        <v>5000</v>
      </c>
      <c r="E92" s="114"/>
      <c r="F92" s="114"/>
      <c r="G92" s="115"/>
      <c r="H92" s="114">
        <f t="shared" si="194"/>
        <v>4000</v>
      </c>
      <c r="I92" s="114"/>
      <c r="J92" s="114"/>
      <c r="K92" s="115"/>
      <c r="L92" s="113">
        <f t="shared" si="195"/>
        <v>3000</v>
      </c>
      <c r="M92" s="114"/>
      <c r="N92" s="114"/>
      <c r="O92" s="115"/>
      <c r="P92" s="58" t="s">
        <v>131</v>
      </c>
      <c r="Q92" s="56" t="s">
        <v>10</v>
      </c>
      <c r="R92" s="53" t="s">
        <v>192</v>
      </c>
    </row>
    <row r="93" spans="1:18" ht="44.25" thickBot="1" x14ac:dyDescent="0.5">
      <c r="A93" s="43" t="s">
        <v>604</v>
      </c>
      <c r="B93" s="20" t="s">
        <v>98</v>
      </c>
      <c r="C93" s="87" t="s">
        <v>267</v>
      </c>
      <c r="D93" s="113">
        <v>10000</v>
      </c>
      <c r="E93" s="114"/>
      <c r="F93" s="114"/>
      <c r="G93" s="115"/>
      <c r="H93" s="114">
        <f t="shared" si="194"/>
        <v>8000</v>
      </c>
      <c r="I93" s="114"/>
      <c r="J93" s="114"/>
      <c r="K93" s="115"/>
      <c r="L93" s="113">
        <f t="shared" si="195"/>
        <v>6000</v>
      </c>
      <c r="M93" s="114"/>
      <c r="N93" s="114"/>
      <c r="O93" s="115"/>
      <c r="P93" s="58" t="s">
        <v>131</v>
      </c>
      <c r="Q93" s="56" t="s">
        <v>10</v>
      </c>
      <c r="R93" s="53" t="s">
        <v>192</v>
      </c>
    </row>
    <row r="94" spans="1:18" ht="44.25" thickBot="1" x14ac:dyDescent="0.5">
      <c r="A94" s="43" t="s">
        <v>605</v>
      </c>
      <c r="B94" s="20" t="s">
        <v>99</v>
      </c>
      <c r="C94" s="87" t="s">
        <v>267</v>
      </c>
      <c r="D94" s="113">
        <v>5000</v>
      </c>
      <c r="E94" s="114"/>
      <c r="F94" s="114"/>
      <c r="G94" s="115"/>
      <c r="H94" s="114">
        <f t="shared" si="194"/>
        <v>4000</v>
      </c>
      <c r="I94" s="114"/>
      <c r="J94" s="114"/>
      <c r="K94" s="115"/>
      <c r="L94" s="113">
        <f t="shared" si="195"/>
        <v>3000</v>
      </c>
      <c r="M94" s="114"/>
      <c r="N94" s="114"/>
      <c r="O94" s="115"/>
      <c r="P94" s="58" t="s">
        <v>131</v>
      </c>
      <c r="Q94" s="56" t="s">
        <v>10</v>
      </c>
      <c r="R94" s="53" t="s">
        <v>193</v>
      </c>
    </row>
    <row r="95" spans="1:18" ht="44.25" thickBot="1" x14ac:dyDescent="0.5">
      <c r="A95" s="43" t="s">
        <v>606</v>
      </c>
      <c r="B95" s="44" t="s">
        <v>96</v>
      </c>
      <c r="C95" s="87" t="s">
        <v>267</v>
      </c>
      <c r="D95" s="106">
        <v>5000</v>
      </c>
      <c r="E95" s="106"/>
      <c r="F95" s="106"/>
      <c r="G95" s="106"/>
      <c r="H95" s="106">
        <f t="shared" si="194"/>
        <v>4000</v>
      </c>
      <c r="I95" s="106"/>
      <c r="J95" s="106"/>
      <c r="K95" s="106"/>
      <c r="L95" s="106">
        <f t="shared" si="195"/>
        <v>3000</v>
      </c>
      <c r="M95" s="106"/>
      <c r="N95" s="106"/>
      <c r="O95" s="106"/>
      <c r="P95" s="56" t="s">
        <v>131</v>
      </c>
      <c r="Q95" s="45" t="s">
        <v>10</v>
      </c>
      <c r="R95" s="53" t="s">
        <v>193</v>
      </c>
    </row>
    <row r="96" spans="1:18" ht="44.25" thickBot="1" x14ac:dyDescent="0.5">
      <c r="A96" s="43" t="s">
        <v>607</v>
      </c>
      <c r="B96" s="44" t="s">
        <v>170</v>
      </c>
      <c r="C96" s="87" t="s">
        <v>267</v>
      </c>
      <c r="D96" s="106">
        <v>20000</v>
      </c>
      <c r="E96" s="106"/>
      <c r="F96" s="106"/>
      <c r="G96" s="106"/>
      <c r="H96" s="106">
        <f t="shared" si="194"/>
        <v>16000</v>
      </c>
      <c r="I96" s="106"/>
      <c r="J96" s="106"/>
      <c r="K96" s="106"/>
      <c r="L96" s="106">
        <f t="shared" si="195"/>
        <v>12000</v>
      </c>
      <c r="M96" s="106"/>
      <c r="N96" s="106"/>
      <c r="O96" s="106"/>
      <c r="P96" s="46" t="s">
        <v>135</v>
      </c>
      <c r="Q96" s="45" t="s">
        <v>10</v>
      </c>
      <c r="R96" s="47" t="s">
        <v>195</v>
      </c>
    </row>
    <row r="97" spans="1:18" ht="44.25" thickBot="1" x14ac:dyDescent="0.5">
      <c r="A97" s="43" t="s">
        <v>608</v>
      </c>
      <c r="B97" s="44" t="s">
        <v>53</v>
      </c>
      <c r="C97" s="87" t="s">
        <v>267</v>
      </c>
      <c r="D97" s="106">
        <v>30000</v>
      </c>
      <c r="E97" s="106"/>
      <c r="F97" s="106"/>
      <c r="G97" s="106"/>
      <c r="H97" s="106">
        <f t="shared" si="194"/>
        <v>24000</v>
      </c>
      <c r="I97" s="106"/>
      <c r="J97" s="106"/>
      <c r="K97" s="106"/>
      <c r="L97" s="106">
        <f t="shared" si="195"/>
        <v>18000</v>
      </c>
      <c r="M97" s="106"/>
      <c r="N97" s="106"/>
      <c r="O97" s="106"/>
      <c r="P97" s="52" t="s">
        <v>135</v>
      </c>
      <c r="Q97" s="45" t="s">
        <v>10</v>
      </c>
      <c r="R97" s="47" t="s">
        <v>221</v>
      </c>
    </row>
  </sheetData>
  <mergeCells count="272">
    <mergeCell ref="D96:G96"/>
    <mergeCell ref="H96:K96"/>
    <mergeCell ref="L96:O96"/>
    <mergeCell ref="D97:G97"/>
    <mergeCell ref="H97:K97"/>
    <mergeCell ref="L97:O97"/>
    <mergeCell ref="D93:G93"/>
    <mergeCell ref="H93:K93"/>
    <mergeCell ref="L93:O93"/>
    <mergeCell ref="D94:G94"/>
    <mergeCell ref="H94:K94"/>
    <mergeCell ref="L94:O94"/>
    <mergeCell ref="D95:G95"/>
    <mergeCell ref="H95:K95"/>
    <mergeCell ref="L95:O95"/>
    <mergeCell ref="D90:G90"/>
    <mergeCell ref="H90:K90"/>
    <mergeCell ref="L90:O90"/>
    <mergeCell ref="D91:G91"/>
    <mergeCell ref="H91:K91"/>
    <mergeCell ref="L91:O91"/>
    <mergeCell ref="D92:G92"/>
    <mergeCell ref="H92:K92"/>
    <mergeCell ref="L92:O92"/>
    <mergeCell ref="D87:G87"/>
    <mergeCell ref="H87:K87"/>
    <mergeCell ref="L87:O87"/>
    <mergeCell ref="D88:G88"/>
    <mergeCell ref="H88:K88"/>
    <mergeCell ref="L88:O88"/>
    <mergeCell ref="D89:G89"/>
    <mergeCell ref="H89:K89"/>
    <mergeCell ref="L89:O89"/>
    <mergeCell ref="B9:B10"/>
    <mergeCell ref="Q9:Q10"/>
    <mergeCell ref="A22:A23"/>
    <mergeCell ref="B22:B23"/>
    <mergeCell ref="P9:P10"/>
    <mergeCell ref="A85:R85"/>
    <mergeCell ref="D86:G86"/>
    <mergeCell ref="H86:K86"/>
    <mergeCell ref="L86:O86"/>
    <mergeCell ref="H12:K12"/>
    <mergeCell ref="Q22:Q23"/>
    <mergeCell ref="P22:P23"/>
    <mergeCell ref="H16:K16"/>
    <mergeCell ref="L16:O16"/>
    <mergeCell ref="A3:R3"/>
    <mergeCell ref="A2:R2"/>
    <mergeCell ref="A1:R1"/>
    <mergeCell ref="D79:G79"/>
    <mergeCell ref="H79:K79"/>
    <mergeCell ref="L79:O79"/>
    <mergeCell ref="R4:R5"/>
    <mergeCell ref="D52:G52"/>
    <mergeCell ref="H52:K52"/>
    <mergeCell ref="L52:O52"/>
    <mergeCell ref="R35:R36"/>
    <mergeCell ref="R37:R38"/>
    <mergeCell ref="R42:R43"/>
    <mergeCell ref="R7:R8"/>
    <mergeCell ref="R9:R10"/>
    <mergeCell ref="R22:R23"/>
    <mergeCell ref="R19:R20"/>
    <mergeCell ref="A21:R21"/>
    <mergeCell ref="A9:A10"/>
    <mergeCell ref="A30:A31"/>
    <mergeCell ref="B30:B31"/>
    <mergeCell ref="B37:B38"/>
    <mergeCell ref="A37:A38"/>
    <mergeCell ref="A19:A20"/>
    <mergeCell ref="B19:B20"/>
    <mergeCell ref="Q19:Q20"/>
    <mergeCell ref="P19:P20"/>
    <mergeCell ref="L12:O12"/>
    <mergeCell ref="D13:G13"/>
    <mergeCell ref="H13:K13"/>
    <mergeCell ref="A17:A18"/>
    <mergeCell ref="Q30:Q31"/>
    <mergeCell ref="A24:A25"/>
    <mergeCell ref="B24:B25"/>
    <mergeCell ref="Q24:Q25"/>
    <mergeCell ref="P24:P25"/>
    <mergeCell ref="D28:G28"/>
    <mergeCell ref="H28:K28"/>
    <mergeCell ref="L28:O28"/>
    <mergeCell ref="D29:G29"/>
    <mergeCell ref="H29:K29"/>
    <mergeCell ref="L29:O29"/>
    <mergeCell ref="P26:P27"/>
    <mergeCell ref="A44:A45"/>
    <mergeCell ref="B44:B45"/>
    <mergeCell ref="P37:P38"/>
    <mergeCell ref="Q37:Q38"/>
    <mergeCell ref="D32:G32"/>
    <mergeCell ref="H32:K32"/>
    <mergeCell ref="D34:G34"/>
    <mergeCell ref="H34:K34"/>
    <mergeCell ref="D40:G40"/>
    <mergeCell ref="H40:K40"/>
    <mergeCell ref="A35:A36"/>
    <mergeCell ref="B35:B36"/>
    <mergeCell ref="D39:G39"/>
    <mergeCell ref="H39:K39"/>
    <mergeCell ref="L53:O53"/>
    <mergeCell ref="R24:R25"/>
    <mergeCell ref="R26:R27"/>
    <mergeCell ref="R30:R31"/>
    <mergeCell ref="R44:R45"/>
    <mergeCell ref="Q35:Q36"/>
    <mergeCell ref="P30:P31"/>
    <mergeCell ref="P44:P45"/>
    <mergeCell ref="P35:P36"/>
    <mergeCell ref="Q26:Q27"/>
    <mergeCell ref="A4:A5"/>
    <mergeCell ref="B4:B5"/>
    <mergeCell ref="D4:G4"/>
    <mergeCell ref="H4:K4"/>
    <mergeCell ref="L4:O4"/>
    <mergeCell ref="Q4:Q5"/>
    <mergeCell ref="A7:A8"/>
    <mergeCell ref="B7:B8"/>
    <mergeCell ref="P7:P8"/>
    <mergeCell ref="D6:G6"/>
    <mergeCell ref="H6:K6"/>
    <mergeCell ref="L6:O6"/>
    <mergeCell ref="P4:P5"/>
    <mergeCell ref="C4:C5"/>
    <mergeCell ref="Q7:Q8"/>
    <mergeCell ref="L13:O13"/>
    <mergeCell ref="D16:G16"/>
    <mergeCell ref="A26:A27"/>
    <mergeCell ref="B26:B27"/>
    <mergeCell ref="D11:G11"/>
    <mergeCell ref="H11:K11"/>
    <mergeCell ref="L11:O11"/>
    <mergeCell ref="D12:G12"/>
    <mergeCell ref="L32:O32"/>
    <mergeCell ref="L48:O48"/>
    <mergeCell ref="D47:G47"/>
    <mergeCell ref="H48:K48"/>
    <mergeCell ref="D46:G46"/>
    <mergeCell ref="H46:K46"/>
    <mergeCell ref="L46:O46"/>
    <mergeCell ref="D56:G56"/>
    <mergeCell ref="H56:K56"/>
    <mergeCell ref="D48:G48"/>
    <mergeCell ref="L41:O41"/>
    <mergeCell ref="D41:G41"/>
    <mergeCell ref="H41:K41"/>
    <mergeCell ref="D33:G33"/>
    <mergeCell ref="H33:K33"/>
    <mergeCell ref="L33:O33"/>
    <mergeCell ref="L34:O34"/>
    <mergeCell ref="L39:O39"/>
    <mergeCell ref="H44:K45"/>
    <mergeCell ref="L44:O45"/>
    <mergeCell ref="L40:O40"/>
    <mergeCell ref="L54:O54"/>
    <mergeCell ref="D54:G54"/>
    <mergeCell ref="H54:K54"/>
    <mergeCell ref="D61:G61"/>
    <mergeCell ref="A73:A74"/>
    <mergeCell ref="P42:P43"/>
    <mergeCell ref="Q42:Q43"/>
    <mergeCell ref="Q44:Q45"/>
    <mergeCell ref="H61:K61"/>
    <mergeCell ref="L61:O61"/>
    <mergeCell ref="H47:K47"/>
    <mergeCell ref="L47:O47"/>
    <mergeCell ref="A42:A43"/>
    <mergeCell ref="B42:B43"/>
    <mergeCell ref="P49:P50"/>
    <mergeCell ref="Q49:Q50"/>
    <mergeCell ref="D62:G62"/>
    <mergeCell ref="H62:K62"/>
    <mergeCell ref="L62:O62"/>
    <mergeCell ref="D63:G63"/>
    <mergeCell ref="H63:K63"/>
    <mergeCell ref="L63:O63"/>
    <mergeCell ref="D51:G51"/>
    <mergeCell ref="H51:K51"/>
    <mergeCell ref="L51:O51"/>
    <mergeCell ref="D53:G53"/>
    <mergeCell ref="H53:K53"/>
    <mergeCell ref="A75:A76"/>
    <mergeCell ref="B75:B76"/>
    <mergeCell ref="R49:R50"/>
    <mergeCell ref="H55:K55"/>
    <mergeCell ref="L55:O55"/>
    <mergeCell ref="P73:P74"/>
    <mergeCell ref="Q73:Q74"/>
    <mergeCell ref="A66:A67"/>
    <mergeCell ref="B66:B67"/>
    <mergeCell ref="H68:K68"/>
    <mergeCell ref="P66:P67"/>
    <mergeCell ref="Q66:Q67"/>
    <mergeCell ref="R66:R67"/>
    <mergeCell ref="P64:P65"/>
    <mergeCell ref="Q64:Q65"/>
    <mergeCell ref="A64:A65"/>
    <mergeCell ref="B64:B65"/>
    <mergeCell ref="R64:R65"/>
    <mergeCell ref="D71:G71"/>
    <mergeCell ref="H71:K71"/>
    <mergeCell ref="L71:O71"/>
    <mergeCell ref="D72:G72"/>
    <mergeCell ref="H72:K72"/>
    <mergeCell ref="L72:O72"/>
    <mergeCell ref="R75:R76"/>
    <mergeCell ref="B73:B74"/>
    <mergeCell ref="D70:G70"/>
    <mergeCell ref="H70:K70"/>
    <mergeCell ref="L70:O70"/>
    <mergeCell ref="D68:G68"/>
    <mergeCell ref="D69:G69"/>
    <mergeCell ref="H69:K69"/>
    <mergeCell ref="L69:O69"/>
    <mergeCell ref="H59:K59"/>
    <mergeCell ref="L59:O59"/>
    <mergeCell ref="D60:G60"/>
    <mergeCell ref="H60:K60"/>
    <mergeCell ref="L60:O60"/>
    <mergeCell ref="D55:G55"/>
    <mergeCell ref="L56:O56"/>
    <mergeCell ref="D57:G57"/>
    <mergeCell ref="H57:K57"/>
    <mergeCell ref="L57:O57"/>
    <mergeCell ref="P83:P84"/>
    <mergeCell ref="Q83:Q84"/>
    <mergeCell ref="R83:R84"/>
    <mergeCell ref="A83:A84"/>
    <mergeCell ref="B83:B84"/>
    <mergeCell ref="C83:C84"/>
    <mergeCell ref="D83:G84"/>
    <mergeCell ref="H83:K84"/>
    <mergeCell ref="L83:O84"/>
    <mergeCell ref="D82:G82"/>
    <mergeCell ref="H82:K82"/>
    <mergeCell ref="L82:O82"/>
    <mergeCell ref="P80:P81"/>
    <mergeCell ref="Q80:Q81"/>
    <mergeCell ref="R80:R81"/>
    <mergeCell ref="A80:A81"/>
    <mergeCell ref="B80:B81"/>
    <mergeCell ref="D78:G78"/>
    <mergeCell ref="H78:K78"/>
    <mergeCell ref="L78:O78"/>
    <mergeCell ref="D77:G77"/>
    <mergeCell ref="H77:K77"/>
    <mergeCell ref="L77:O77"/>
    <mergeCell ref="R17:R18"/>
    <mergeCell ref="P17:P18"/>
    <mergeCell ref="Q17:Q18"/>
    <mergeCell ref="A14:A15"/>
    <mergeCell ref="P14:P15"/>
    <mergeCell ref="Q14:Q15"/>
    <mergeCell ref="R14:R15"/>
    <mergeCell ref="B14:B15"/>
    <mergeCell ref="B17:B18"/>
    <mergeCell ref="Q75:Q76"/>
    <mergeCell ref="R73:R74"/>
    <mergeCell ref="P75:P76"/>
    <mergeCell ref="A49:A50"/>
    <mergeCell ref="B49:B50"/>
    <mergeCell ref="L68:O68"/>
    <mergeCell ref="C44:C45"/>
    <mergeCell ref="D44:G45"/>
    <mergeCell ref="D58:G58"/>
    <mergeCell ref="H58:K58"/>
    <mergeCell ref="L58:O58"/>
    <mergeCell ref="D59:G59"/>
  </mergeCells>
  <pageMargins left="0.7" right="0.7" top="0.75" bottom="0.75" header="0.3" footer="0.3"/>
  <pageSetup paperSize="9" scale="46"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42"/>
  <sheetViews>
    <sheetView rightToLeft="1" zoomScale="89" zoomScaleNormal="60" workbookViewId="0">
      <selection activeCell="P33" sqref="P33"/>
    </sheetView>
  </sheetViews>
  <sheetFormatPr defaultColWidth="9.125" defaultRowHeight="21.75" x14ac:dyDescent="0.5"/>
  <cols>
    <col min="1" max="1" width="14.125" style="22" customWidth="1"/>
    <col min="2" max="2" width="56.125" style="22" customWidth="1"/>
    <col min="3" max="3" width="13.25" style="22" customWidth="1"/>
    <col min="4" max="15" width="9.125" style="22"/>
    <col min="16" max="16" width="21.625" style="34" customWidth="1"/>
    <col min="17" max="17" width="9.125" style="22"/>
    <col min="18" max="18" width="30.75" style="86" customWidth="1"/>
    <col min="19" max="16384" width="9.125" style="22"/>
  </cols>
  <sheetData>
    <row r="1" spans="1:18" ht="47.25" customHeight="1" x14ac:dyDescent="0.2">
      <c r="A1" s="169" t="s">
        <v>12</v>
      </c>
      <c r="B1" s="170"/>
      <c r="C1" s="170"/>
      <c r="D1" s="170"/>
      <c r="E1" s="170"/>
      <c r="F1" s="170"/>
      <c r="G1" s="170"/>
      <c r="H1" s="170"/>
      <c r="I1" s="170"/>
      <c r="J1" s="170"/>
      <c r="K1" s="170"/>
      <c r="L1" s="170"/>
      <c r="M1" s="170"/>
      <c r="N1" s="170"/>
      <c r="O1" s="170"/>
      <c r="P1" s="170"/>
      <c r="Q1" s="170"/>
      <c r="R1" s="170"/>
    </row>
    <row r="2" spans="1:18" ht="24" customHeight="1" x14ac:dyDescent="0.2">
      <c r="A2" s="151" t="s">
        <v>14</v>
      </c>
      <c r="B2" s="152"/>
      <c r="C2" s="152"/>
      <c r="D2" s="152"/>
      <c r="E2" s="152"/>
      <c r="F2" s="152"/>
      <c r="G2" s="152"/>
      <c r="H2" s="152"/>
      <c r="I2" s="152"/>
      <c r="J2" s="152"/>
      <c r="K2" s="152"/>
      <c r="L2" s="152"/>
      <c r="M2" s="152"/>
      <c r="N2" s="152"/>
      <c r="O2" s="152"/>
      <c r="P2" s="152"/>
      <c r="Q2" s="152"/>
      <c r="R2" s="152"/>
    </row>
    <row r="3" spans="1:18" ht="24" customHeight="1" thickBot="1" x14ac:dyDescent="0.25">
      <c r="A3" s="125" t="s">
        <v>475</v>
      </c>
      <c r="B3" s="126"/>
      <c r="C3" s="126"/>
      <c r="D3" s="126"/>
      <c r="E3" s="126"/>
      <c r="F3" s="126"/>
      <c r="G3" s="126"/>
      <c r="H3" s="126"/>
      <c r="I3" s="126"/>
      <c r="J3" s="126"/>
      <c r="K3" s="126"/>
      <c r="L3" s="126"/>
      <c r="M3" s="126"/>
      <c r="N3" s="126"/>
      <c r="O3" s="126"/>
      <c r="P3" s="126"/>
      <c r="Q3" s="126"/>
      <c r="R3" s="126"/>
    </row>
    <row r="4" spans="1:18" ht="24" thickBot="1" x14ac:dyDescent="0.25">
      <c r="A4" s="205" t="s">
        <v>5</v>
      </c>
      <c r="B4" s="206" t="s">
        <v>4</v>
      </c>
      <c r="C4" s="161"/>
      <c r="D4" s="206" t="s">
        <v>3</v>
      </c>
      <c r="E4" s="206"/>
      <c r="F4" s="206"/>
      <c r="G4" s="206"/>
      <c r="H4" s="206" t="s">
        <v>2</v>
      </c>
      <c r="I4" s="206"/>
      <c r="J4" s="206"/>
      <c r="K4" s="206"/>
      <c r="L4" s="206" t="s">
        <v>1</v>
      </c>
      <c r="M4" s="206"/>
      <c r="N4" s="206"/>
      <c r="O4" s="206"/>
      <c r="P4" s="161" t="s">
        <v>47</v>
      </c>
      <c r="Q4" s="206" t="s">
        <v>0</v>
      </c>
      <c r="R4" s="173" t="s">
        <v>75</v>
      </c>
    </row>
    <row r="5" spans="1:18" ht="24" thickBot="1" x14ac:dyDescent="0.25">
      <c r="A5" s="205"/>
      <c r="B5" s="206"/>
      <c r="C5" s="162"/>
      <c r="D5" s="13" t="s">
        <v>9</v>
      </c>
      <c r="E5" s="13" t="s">
        <v>8</v>
      </c>
      <c r="F5" s="13" t="s">
        <v>7</v>
      </c>
      <c r="G5" s="13" t="s">
        <v>6</v>
      </c>
      <c r="H5" s="13" t="s">
        <v>9</v>
      </c>
      <c r="I5" s="13" t="s">
        <v>8</v>
      </c>
      <c r="J5" s="13" t="s">
        <v>7</v>
      </c>
      <c r="K5" s="13" t="s">
        <v>6</v>
      </c>
      <c r="L5" s="13" t="s">
        <v>9</v>
      </c>
      <c r="M5" s="13" t="s">
        <v>8</v>
      </c>
      <c r="N5" s="13" t="s">
        <v>7</v>
      </c>
      <c r="O5" s="13" t="s">
        <v>6</v>
      </c>
      <c r="P5" s="162"/>
      <c r="Q5" s="206"/>
      <c r="R5" s="173"/>
    </row>
    <row r="6" spans="1:18" ht="57" customHeight="1" thickBot="1" x14ac:dyDescent="0.25">
      <c r="A6" s="55" t="s">
        <v>478</v>
      </c>
      <c r="B6" s="45" t="s">
        <v>477</v>
      </c>
      <c r="C6" s="11" t="s">
        <v>267</v>
      </c>
      <c r="D6" s="106">
        <v>500</v>
      </c>
      <c r="E6" s="106"/>
      <c r="F6" s="106"/>
      <c r="G6" s="106"/>
      <c r="H6" s="106">
        <f t="shared" ref="H6:H8" si="0">D6-(D6*20/100)</f>
        <v>400</v>
      </c>
      <c r="I6" s="106"/>
      <c r="J6" s="106"/>
      <c r="K6" s="106"/>
      <c r="L6" s="106">
        <f t="shared" ref="L6:L8" si="1">D6-(D6*40/100)</f>
        <v>300</v>
      </c>
      <c r="M6" s="106"/>
      <c r="N6" s="106"/>
      <c r="O6" s="106"/>
      <c r="P6" s="46" t="s">
        <v>175</v>
      </c>
      <c r="Q6" s="45" t="s">
        <v>10</v>
      </c>
      <c r="R6" s="69" t="s">
        <v>181</v>
      </c>
    </row>
    <row r="7" spans="1:18" ht="58.5" customHeight="1" thickBot="1" x14ac:dyDescent="0.25">
      <c r="A7" s="67" t="s">
        <v>479</v>
      </c>
      <c r="B7" s="50" t="s">
        <v>128</v>
      </c>
      <c r="C7" s="11" t="s">
        <v>267</v>
      </c>
      <c r="D7" s="106">
        <v>10000</v>
      </c>
      <c r="E7" s="106"/>
      <c r="F7" s="106"/>
      <c r="G7" s="106"/>
      <c r="H7" s="106">
        <f t="shared" si="0"/>
        <v>8000</v>
      </c>
      <c r="I7" s="106"/>
      <c r="J7" s="106"/>
      <c r="K7" s="106"/>
      <c r="L7" s="106">
        <f t="shared" si="1"/>
        <v>6000</v>
      </c>
      <c r="M7" s="106"/>
      <c r="N7" s="106"/>
      <c r="O7" s="106"/>
      <c r="P7" s="52" t="s">
        <v>131</v>
      </c>
      <c r="Q7" s="50" t="s">
        <v>10</v>
      </c>
      <c r="R7" s="47" t="s">
        <v>182</v>
      </c>
    </row>
    <row r="8" spans="1:18" ht="51" customHeight="1" thickBot="1" x14ac:dyDescent="0.25">
      <c r="A8" s="67" t="s">
        <v>480</v>
      </c>
      <c r="B8" s="50" t="s">
        <v>115</v>
      </c>
      <c r="C8" s="11" t="s">
        <v>267</v>
      </c>
      <c r="D8" s="106">
        <v>500</v>
      </c>
      <c r="E8" s="106"/>
      <c r="F8" s="106"/>
      <c r="G8" s="106"/>
      <c r="H8" s="106">
        <f t="shared" si="0"/>
        <v>400</v>
      </c>
      <c r="I8" s="106"/>
      <c r="J8" s="106"/>
      <c r="K8" s="106"/>
      <c r="L8" s="106">
        <f t="shared" si="1"/>
        <v>300</v>
      </c>
      <c r="M8" s="106"/>
      <c r="N8" s="106"/>
      <c r="O8" s="106"/>
      <c r="P8" s="52" t="s">
        <v>176</v>
      </c>
      <c r="Q8" s="50" t="s">
        <v>10</v>
      </c>
      <c r="R8" s="47" t="s">
        <v>183</v>
      </c>
    </row>
    <row r="9" spans="1:18" ht="19.5" customHeight="1" thickBot="1" x14ac:dyDescent="0.25">
      <c r="A9" s="191" t="s">
        <v>481</v>
      </c>
      <c r="B9" s="160" t="s">
        <v>84</v>
      </c>
      <c r="C9" s="11" t="s">
        <v>283</v>
      </c>
      <c r="D9" s="4">
        <v>1000</v>
      </c>
      <c r="E9" s="57">
        <f t="shared" ref="E9" si="2">D9-(D9*10/100)</f>
        <v>900</v>
      </c>
      <c r="F9" s="57">
        <f t="shared" ref="F9" si="3">D9-(D9*20/100)</f>
        <v>800</v>
      </c>
      <c r="G9" s="57">
        <f t="shared" ref="G9" si="4">D9-(D9*30/100)</f>
        <v>700</v>
      </c>
      <c r="H9" s="57">
        <f>D9-(D9*10/100)</f>
        <v>900</v>
      </c>
      <c r="I9" s="57">
        <f t="shared" ref="I9" si="5">H9-(H9*10/100)</f>
        <v>810</v>
      </c>
      <c r="J9" s="57">
        <f t="shared" ref="J9" si="6">H9-(H9*20/100)</f>
        <v>720</v>
      </c>
      <c r="K9" s="57">
        <f t="shared" ref="K9" si="7">H9-(H9*30/100)</f>
        <v>630</v>
      </c>
      <c r="L9" s="57">
        <f>D9-(D9*20/100)</f>
        <v>800</v>
      </c>
      <c r="M9" s="57">
        <f t="shared" ref="M9" si="8">L9-(L9*10/100)</f>
        <v>720</v>
      </c>
      <c r="N9" s="57">
        <f t="shared" ref="N9" si="9">L9-(L9*20/100)</f>
        <v>640</v>
      </c>
      <c r="O9" s="57">
        <f t="shared" ref="O9" si="10">L9-(L9*30/100)</f>
        <v>560</v>
      </c>
      <c r="P9" s="156" t="s">
        <v>153</v>
      </c>
      <c r="Q9" s="160" t="s">
        <v>25</v>
      </c>
      <c r="R9" s="104" t="s">
        <v>184</v>
      </c>
    </row>
    <row r="10" spans="1:18" ht="19.5" customHeight="1" thickBot="1" x14ac:dyDescent="0.25">
      <c r="A10" s="191"/>
      <c r="B10" s="160"/>
      <c r="C10" s="11" t="s">
        <v>284</v>
      </c>
      <c r="D10" s="57">
        <f t="shared" ref="D10:O10" si="11">D9*50/100</f>
        <v>500</v>
      </c>
      <c r="E10" s="57">
        <f t="shared" si="11"/>
        <v>450</v>
      </c>
      <c r="F10" s="57">
        <f t="shared" si="11"/>
        <v>400</v>
      </c>
      <c r="G10" s="57">
        <f t="shared" si="11"/>
        <v>350</v>
      </c>
      <c r="H10" s="57">
        <f t="shared" si="11"/>
        <v>450</v>
      </c>
      <c r="I10" s="57">
        <f t="shared" si="11"/>
        <v>405</v>
      </c>
      <c r="J10" s="57">
        <f t="shared" si="11"/>
        <v>360</v>
      </c>
      <c r="K10" s="57">
        <f t="shared" si="11"/>
        <v>315</v>
      </c>
      <c r="L10" s="57">
        <f t="shared" si="11"/>
        <v>400</v>
      </c>
      <c r="M10" s="57">
        <f t="shared" si="11"/>
        <v>360</v>
      </c>
      <c r="N10" s="57">
        <f t="shared" si="11"/>
        <v>320</v>
      </c>
      <c r="O10" s="57">
        <f t="shared" si="11"/>
        <v>280</v>
      </c>
      <c r="P10" s="156"/>
      <c r="Q10" s="160"/>
      <c r="R10" s="105"/>
    </row>
    <row r="11" spans="1:18" ht="33.75" customHeight="1" thickBot="1" x14ac:dyDescent="0.25">
      <c r="A11" s="43" t="s">
        <v>482</v>
      </c>
      <c r="B11" s="56" t="s">
        <v>46</v>
      </c>
      <c r="C11" s="84" t="s">
        <v>267</v>
      </c>
      <c r="D11" s="106">
        <v>2000</v>
      </c>
      <c r="E11" s="106"/>
      <c r="F11" s="106"/>
      <c r="G11" s="106"/>
      <c r="H11" s="106">
        <f t="shared" ref="H11:H14" si="12">D11-(D11*20/100)</f>
        <v>1600</v>
      </c>
      <c r="I11" s="106"/>
      <c r="J11" s="106"/>
      <c r="K11" s="106"/>
      <c r="L11" s="106">
        <f t="shared" ref="L11:L14" si="13">D11-(D11*40/100)</f>
        <v>1200</v>
      </c>
      <c r="M11" s="106"/>
      <c r="N11" s="106"/>
      <c r="O11" s="106"/>
      <c r="P11" s="46" t="s">
        <v>177</v>
      </c>
      <c r="Q11" s="45" t="s">
        <v>10</v>
      </c>
      <c r="R11" s="75" t="s">
        <v>185</v>
      </c>
    </row>
    <row r="12" spans="1:18" ht="42.75" customHeight="1" thickBot="1" x14ac:dyDescent="0.25">
      <c r="A12" s="55" t="s">
        <v>483</v>
      </c>
      <c r="B12" s="45" t="s">
        <v>86</v>
      </c>
      <c r="C12" s="11" t="s">
        <v>267</v>
      </c>
      <c r="D12" s="106">
        <v>50000</v>
      </c>
      <c r="E12" s="106"/>
      <c r="F12" s="106"/>
      <c r="G12" s="106"/>
      <c r="H12" s="106">
        <f t="shared" si="12"/>
        <v>40000</v>
      </c>
      <c r="I12" s="106"/>
      <c r="J12" s="106"/>
      <c r="K12" s="106"/>
      <c r="L12" s="106">
        <f t="shared" si="13"/>
        <v>30000</v>
      </c>
      <c r="M12" s="106"/>
      <c r="N12" s="106"/>
      <c r="O12" s="106"/>
      <c r="P12" s="46" t="s">
        <v>153</v>
      </c>
      <c r="Q12" s="45" t="s">
        <v>10</v>
      </c>
      <c r="R12" s="75" t="s">
        <v>186</v>
      </c>
    </row>
    <row r="13" spans="1:18" ht="37.5" customHeight="1" thickBot="1" x14ac:dyDescent="0.25">
      <c r="A13" s="55" t="s">
        <v>484</v>
      </c>
      <c r="B13" s="45" t="s">
        <v>117</v>
      </c>
      <c r="C13" s="11" t="s">
        <v>267</v>
      </c>
      <c r="D13" s="106">
        <v>50000</v>
      </c>
      <c r="E13" s="106"/>
      <c r="F13" s="106"/>
      <c r="G13" s="106"/>
      <c r="H13" s="106">
        <f t="shared" si="12"/>
        <v>40000</v>
      </c>
      <c r="I13" s="106"/>
      <c r="J13" s="106"/>
      <c r="K13" s="106"/>
      <c r="L13" s="106">
        <f t="shared" si="13"/>
        <v>30000</v>
      </c>
      <c r="M13" s="106"/>
      <c r="N13" s="106"/>
      <c r="O13" s="106"/>
      <c r="P13" s="46" t="s">
        <v>153</v>
      </c>
      <c r="Q13" s="45" t="s">
        <v>10</v>
      </c>
      <c r="R13" s="75" t="s">
        <v>186</v>
      </c>
    </row>
    <row r="14" spans="1:18" ht="59.25" customHeight="1" thickBot="1" x14ac:dyDescent="0.25">
      <c r="A14" s="55" t="s">
        <v>485</v>
      </c>
      <c r="B14" s="45" t="s">
        <v>88</v>
      </c>
      <c r="C14" s="11" t="s">
        <v>267</v>
      </c>
      <c r="D14" s="106">
        <v>30000</v>
      </c>
      <c r="E14" s="106"/>
      <c r="F14" s="106"/>
      <c r="G14" s="106"/>
      <c r="H14" s="106">
        <f t="shared" si="12"/>
        <v>24000</v>
      </c>
      <c r="I14" s="106"/>
      <c r="J14" s="106"/>
      <c r="K14" s="106"/>
      <c r="L14" s="106">
        <f t="shared" si="13"/>
        <v>18000</v>
      </c>
      <c r="M14" s="106"/>
      <c r="N14" s="106"/>
      <c r="O14" s="106"/>
      <c r="P14" s="6" t="s">
        <v>153</v>
      </c>
      <c r="Q14" s="45" t="s">
        <v>10</v>
      </c>
      <c r="R14" s="53" t="s">
        <v>187</v>
      </c>
    </row>
    <row r="15" spans="1:18" ht="44.25" thickBot="1" x14ac:dyDescent="0.25">
      <c r="A15" s="39" t="s">
        <v>486</v>
      </c>
      <c r="B15" s="45" t="s">
        <v>39</v>
      </c>
      <c r="C15" s="79" t="s">
        <v>267</v>
      </c>
      <c r="D15" s="106">
        <v>20000</v>
      </c>
      <c r="E15" s="106"/>
      <c r="F15" s="106"/>
      <c r="G15" s="106"/>
      <c r="H15" s="106">
        <f t="shared" ref="H15:H22" si="14">D15-(D15*20/100)</f>
        <v>16000</v>
      </c>
      <c r="I15" s="106"/>
      <c r="J15" s="106"/>
      <c r="K15" s="106"/>
      <c r="L15" s="106">
        <f t="shared" ref="L15:L22" si="15">D15-(D15*40/100)</f>
        <v>12000</v>
      </c>
      <c r="M15" s="106"/>
      <c r="N15" s="106"/>
      <c r="O15" s="106"/>
      <c r="P15" s="9" t="s">
        <v>153</v>
      </c>
      <c r="Q15" s="45" t="s">
        <v>10</v>
      </c>
      <c r="R15" s="75" t="s">
        <v>186</v>
      </c>
    </row>
    <row r="16" spans="1:18" ht="45.75" customHeight="1" thickBot="1" x14ac:dyDescent="0.25">
      <c r="A16" s="55" t="s">
        <v>487</v>
      </c>
      <c r="B16" s="45" t="s">
        <v>40</v>
      </c>
      <c r="C16" s="79" t="s">
        <v>267</v>
      </c>
      <c r="D16" s="106">
        <v>15000</v>
      </c>
      <c r="E16" s="106"/>
      <c r="F16" s="106"/>
      <c r="G16" s="106"/>
      <c r="H16" s="106">
        <f t="shared" si="14"/>
        <v>12000</v>
      </c>
      <c r="I16" s="106"/>
      <c r="J16" s="106"/>
      <c r="K16" s="106"/>
      <c r="L16" s="106">
        <f t="shared" si="15"/>
        <v>9000</v>
      </c>
      <c r="M16" s="106"/>
      <c r="N16" s="106"/>
      <c r="O16" s="106"/>
      <c r="P16" s="46" t="s">
        <v>153</v>
      </c>
      <c r="Q16" s="30" t="s">
        <v>10</v>
      </c>
      <c r="R16" s="75" t="s">
        <v>186</v>
      </c>
    </row>
    <row r="17" spans="1:18" ht="47.25" thickBot="1" x14ac:dyDescent="0.25">
      <c r="A17" s="43" t="s">
        <v>488</v>
      </c>
      <c r="B17" s="78" t="s">
        <v>73</v>
      </c>
      <c r="C17" s="85" t="s">
        <v>267</v>
      </c>
      <c r="D17" s="106">
        <v>5000</v>
      </c>
      <c r="E17" s="106"/>
      <c r="F17" s="106"/>
      <c r="G17" s="106"/>
      <c r="H17" s="106">
        <f t="shared" si="14"/>
        <v>4000</v>
      </c>
      <c r="I17" s="106"/>
      <c r="J17" s="106"/>
      <c r="K17" s="106"/>
      <c r="L17" s="106">
        <f t="shared" si="15"/>
        <v>3000</v>
      </c>
      <c r="M17" s="106"/>
      <c r="N17" s="106"/>
      <c r="O17" s="106"/>
      <c r="P17" s="46" t="s">
        <v>153</v>
      </c>
      <c r="Q17" s="30" t="s">
        <v>10</v>
      </c>
      <c r="R17" s="75" t="s">
        <v>188</v>
      </c>
    </row>
    <row r="18" spans="1:18" ht="44.25" thickBot="1" x14ac:dyDescent="0.25">
      <c r="A18" s="55" t="s">
        <v>489</v>
      </c>
      <c r="B18" s="78" t="s">
        <v>476</v>
      </c>
      <c r="C18" s="85" t="s">
        <v>267</v>
      </c>
      <c r="D18" s="106">
        <v>10000</v>
      </c>
      <c r="E18" s="106"/>
      <c r="F18" s="106"/>
      <c r="G18" s="106"/>
      <c r="H18" s="106">
        <f t="shared" si="14"/>
        <v>8000</v>
      </c>
      <c r="I18" s="106"/>
      <c r="J18" s="106"/>
      <c r="K18" s="106"/>
      <c r="L18" s="106">
        <f t="shared" si="15"/>
        <v>6000</v>
      </c>
      <c r="M18" s="106"/>
      <c r="N18" s="106"/>
      <c r="O18" s="106"/>
      <c r="P18" s="46" t="s">
        <v>164</v>
      </c>
      <c r="Q18" s="30" t="s">
        <v>10</v>
      </c>
      <c r="R18" s="53" t="s">
        <v>188</v>
      </c>
    </row>
    <row r="19" spans="1:18" ht="47.25" thickBot="1" x14ac:dyDescent="0.25">
      <c r="A19" s="67" t="s">
        <v>490</v>
      </c>
      <c r="B19" s="50" t="s">
        <v>178</v>
      </c>
      <c r="C19" s="83" t="s">
        <v>267</v>
      </c>
      <c r="D19" s="106">
        <v>15000</v>
      </c>
      <c r="E19" s="106"/>
      <c r="F19" s="106"/>
      <c r="G19" s="106"/>
      <c r="H19" s="106">
        <f t="shared" si="14"/>
        <v>12000</v>
      </c>
      <c r="I19" s="106"/>
      <c r="J19" s="106"/>
      <c r="K19" s="106"/>
      <c r="L19" s="106">
        <f t="shared" si="15"/>
        <v>9000</v>
      </c>
      <c r="M19" s="106"/>
      <c r="N19" s="106"/>
      <c r="O19" s="106"/>
      <c r="P19" s="10" t="s">
        <v>172</v>
      </c>
      <c r="Q19" s="45" t="s">
        <v>10</v>
      </c>
      <c r="R19" s="53" t="s">
        <v>189</v>
      </c>
    </row>
    <row r="20" spans="1:18" ht="47.25" thickBot="1" x14ac:dyDescent="0.25">
      <c r="A20" s="67" t="s">
        <v>491</v>
      </c>
      <c r="B20" s="50" t="s">
        <v>41</v>
      </c>
      <c r="C20" s="11" t="s">
        <v>267</v>
      </c>
      <c r="D20" s="106">
        <v>30000</v>
      </c>
      <c r="E20" s="106"/>
      <c r="F20" s="106"/>
      <c r="G20" s="106"/>
      <c r="H20" s="106">
        <f t="shared" si="14"/>
        <v>24000</v>
      </c>
      <c r="I20" s="106"/>
      <c r="J20" s="106"/>
      <c r="K20" s="106"/>
      <c r="L20" s="106">
        <f t="shared" si="15"/>
        <v>18000</v>
      </c>
      <c r="M20" s="106"/>
      <c r="N20" s="106"/>
      <c r="O20" s="106"/>
      <c r="P20" s="10" t="s">
        <v>172</v>
      </c>
      <c r="Q20" s="50" t="s">
        <v>10</v>
      </c>
      <c r="R20" s="53" t="s">
        <v>189</v>
      </c>
    </row>
    <row r="21" spans="1:18" ht="51.75" customHeight="1" thickBot="1" x14ac:dyDescent="0.25">
      <c r="A21" s="55" t="s">
        <v>492</v>
      </c>
      <c r="B21" s="56" t="s">
        <v>72</v>
      </c>
      <c r="C21" s="84" t="s">
        <v>267</v>
      </c>
      <c r="D21" s="106">
        <v>5000</v>
      </c>
      <c r="E21" s="106"/>
      <c r="F21" s="106"/>
      <c r="G21" s="106"/>
      <c r="H21" s="106">
        <f t="shared" si="14"/>
        <v>4000</v>
      </c>
      <c r="I21" s="106"/>
      <c r="J21" s="106"/>
      <c r="K21" s="106"/>
      <c r="L21" s="106">
        <f t="shared" si="15"/>
        <v>3000</v>
      </c>
      <c r="M21" s="106"/>
      <c r="N21" s="106"/>
      <c r="O21" s="106"/>
      <c r="P21" s="46" t="s">
        <v>131</v>
      </c>
      <c r="Q21" s="45" t="s">
        <v>10</v>
      </c>
      <c r="R21" s="53" t="s">
        <v>190</v>
      </c>
    </row>
    <row r="22" spans="1:18" ht="66.75" customHeight="1" thickBot="1" x14ac:dyDescent="0.25">
      <c r="A22" s="55" t="s">
        <v>493</v>
      </c>
      <c r="B22" s="78" t="s">
        <v>17</v>
      </c>
      <c r="C22" s="85" t="s">
        <v>267</v>
      </c>
      <c r="D22" s="106">
        <v>15000</v>
      </c>
      <c r="E22" s="106"/>
      <c r="F22" s="106"/>
      <c r="G22" s="106"/>
      <c r="H22" s="106">
        <f t="shared" si="14"/>
        <v>12000</v>
      </c>
      <c r="I22" s="106"/>
      <c r="J22" s="106"/>
      <c r="K22" s="106"/>
      <c r="L22" s="106">
        <f t="shared" si="15"/>
        <v>9000</v>
      </c>
      <c r="M22" s="106"/>
      <c r="N22" s="106"/>
      <c r="O22" s="106"/>
      <c r="P22" s="46" t="s">
        <v>172</v>
      </c>
      <c r="Q22" s="45" t="s">
        <v>10</v>
      </c>
      <c r="R22" s="53" t="s">
        <v>189</v>
      </c>
    </row>
    <row r="23" spans="1:18" ht="39.75" customHeight="1" thickBot="1" x14ac:dyDescent="0.25">
      <c r="A23" s="191" t="s">
        <v>494</v>
      </c>
      <c r="B23" s="224" t="s">
        <v>18</v>
      </c>
      <c r="C23" s="225" t="s">
        <v>267</v>
      </c>
      <c r="D23" s="194">
        <v>10000</v>
      </c>
      <c r="E23" s="195"/>
      <c r="F23" s="195"/>
      <c r="G23" s="196"/>
      <c r="H23" s="194">
        <f t="shared" ref="H23" si="16">D23-(D23*20/100)</f>
        <v>8000</v>
      </c>
      <c r="I23" s="195"/>
      <c r="J23" s="195"/>
      <c r="K23" s="196"/>
      <c r="L23" s="194">
        <f t="shared" ref="L23" si="17">D23-(D23*40/100)</f>
        <v>6000</v>
      </c>
      <c r="M23" s="195"/>
      <c r="N23" s="195"/>
      <c r="O23" s="196"/>
      <c r="P23" s="102" t="s">
        <v>172</v>
      </c>
      <c r="Q23" s="160" t="s">
        <v>156</v>
      </c>
      <c r="R23" s="171" t="s">
        <v>189</v>
      </c>
    </row>
    <row r="24" spans="1:18" ht="32.25" customHeight="1" thickBot="1" x14ac:dyDescent="0.25">
      <c r="A24" s="191"/>
      <c r="B24" s="224"/>
      <c r="C24" s="226"/>
      <c r="D24" s="197"/>
      <c r="E24" s="198"/>
      <c r="F24" s="198"/>
      <c r="G24" s="199"/>
      <c r="H24" s="197"/>
      <c r="I24" s="198"/>
      <c r="J24" s="198"/>
      <c r="K24" s="199"/>
      <c r="L24" s="197"/>
      <c r="M24" s="198"/>
      <c r="N24" s="198"/>
      <c r="O24" s="199"/>
      <c r="P24" s="103"/>
      <c r="Q24" s="160"/>
      <c r="R24" s="172"/>
    </row>
    <row r="25" spans="1:18" ht="39.75" customHeight="1" thickBot="1" x14ac:dyDescent="0.25">
      <c r="A25" s="191" t="s">
        <v>496</v>
      </c>
      <c r="B25" s="224" t="s">
        <v>65</v>
      </c>
      <c r="C25" s="4" t="s">
        <v>283</v>
      </c>
      <c r="D25" s="4">
        <v>2000</v>
      </c>
      <c r="E25" s="57">
        <f t="shared" ref="E25" si="18">D25-(D25*10/100)</f>
        <v>1800</v>
      </c>
      <c r="F25" s="57">
        <f t="shared" ref="F25" si="19">D25-(D25*20/100)</f>
        <v>1600</v>
      </c>
      <c r="G25" s="57">
        <f t="shared" ref="G25" si="20">D25-(D25*30/100)</f>
        <v>1400</v>
      </c>
      <c r="H25" s="57">
        <f>D25-(D25*10/100)</f>
        <v>1800</v>
      </c>
      <c r="I25" s="57">
        <f t="shared" ref="I25" si="21">H25-(H25*10/100)</f>
        <v>1620</v>
      </c>
      <c r="J25" s="57">
        <f t="shared" ref="J25" si="22">H25-(H25*20/100)</f>
        <v>1440</v>
      </c>
      <c r="K25" s="57">
        <f t="shared" ref="K25" si="23">H25-(H25*30/100)</f>
        <v>1260</v>
      </c>
      <c r="L25" s="57">
        <f>D25-(D25*20/100)</f>
        <v>1600</v>
      </c>
      <c r="M25" s="57">
        <f t="shared" ref="M25" si="24">L25-(L25*10/100)</f>
        <v>1440</v>
      </c>
      <c r="N25" s="57">
        <f t="shared" ref="N25" si="25">L25-(L25*20/100)</f>
        <v>1280</v>
      </c>
      <c r="O25" s="57">
        <f t="shared" ref="O25" si="26">L25-(L25*30/100)</f>
        <v>1120</v>
      </c>
      <c r="P25" s="156" t="s">
        <v>172</v>
      </c>
      <c r="Q25" s="160" t="s">
        <v>25</v>
      </c>
      <c r="R25" s="171" t="s">
        <v>189</v>
      </c>
    </row>
    <row r="26" spans="1:18" ht="24" thickBot="1" x14ac:dyDescent="0.25">
      <c r="A26" s="191"/>
      <c r="B26" s="224"/>
      <c r="C26" s="57" t="s">
        <v>284</v>
      </c>
      <c r="D26" s="57">
        <f t="shared" ref="D26:O26" si="27">D25*50/100</f>
        <v>1000</v>
      </c>
      <c r="E26" s="57">
        <f t="shared" si="27"/>
        <v>900</v>
      </c>
      <c r="F26" s="57">
        <f t="shared" si="27"/>
        <v>800</v>
      </c>
      <c r="G26" s="57">
        <f t="shared" si="27"/>
        <v>700</v>
      </c>
      <c r="H26" s="57">
        <f t="shared" si="27"/>
        <v>900</v>
      </c>
      <c r="I26" s="57">
        <f t="shared" si="27"/>
        <v>810</v>
      </c>
      <c r="J26" s="57">
        <f t="shared" si="27"/>
        <v>720</v>
      </c>
      <c r="K26" s="57">
        <f t="shared" si="27"/>
        <v>630</v>
      </c>
      <c r="L26" s="57">
        <f t="shared" si="27"/>
        <v>800</v>
      </c>
      <c r="M26" s="57">
        <f t="shared" si="27"/>
        <v>720</v>
      </c>
      <c r="N26" s="57">
        <f t="shared" si="27"/>
        <v>640</v>
      </c>
      <c r="O26" s="57">
        <f t="shared" si="27"/>
        <v>560</v>
      </c>
      <c r="P26" s="156"/>
      <c r="Q26" s="160"/>
      <c r="R26" s="172"/>
    </row>
    <row r="27" spans="1:18" ht="27.75" customHeight="1" thickBot="1" x14ac:dyDescent="0.25">
      <c r="A27" s="191" t="s">
        <v>497</v>
      </c>
      <c r="B27" s="224" t="s">
        <v>129</v>
      </c>
      <c r="C27" s="4" t="s">
        <v>283</v>
      </c>
      <c r="D27" s="4">
        <v>1000</v>
      </c>
      <c r="E27" s="57">
        <f t="shared" ref="E27" si="28">D27-(D27*10/100)</f>
        <v>900</v>
      </c>
      <c r="F27" s="57">
        <f t="shared" ref="F27" si="29">D27-(D27*20/100)</f>
        <v>800</v>
      </c>
      <c r="G27" s="57">
        <f t="shared" ref="G27" si="30">D27-(D27*30/100)</f>
        <v>700</v>
      </c>
      <c r="H27" s="57">
        <f>D27-(D27*10/100)</f>
        <v>900</v>
      </c>
      <c r="I27" s="57">
        <f t="shared" ref="I27" si="31">H27-(H27*10/100)</f>
        <v>810</v>
      </c>
      <c r="J27" s="57">
        <f t="shared" ref="J27" si="32">H27-(H27*20/100)</f>
        <v>720</v>
      </c>
      <c r="K27" s="57">
        <f t="shared" ref="K27" si="33">H27-(H27*30/100)</f>
        <v>630</v>
      </c>
      <c r="L27" s="57">
        <f>D27-(D27*20/100)</f>
        <v>800</v>
      </c>
      <c r="M27" s="57">
        <f t="shared" ref="M27" si="34">L27-(L27*10/100)</f>
        <v>720</v>
      </c>
      <c r="N27" s="57">
        <f t="shared" ref="N27" si="35">L27-(L27*20/100)</f>
        <v>640</v>
      </c>
      <c r="O27" s="57">
        <f t="shared" ref="O27" si="36">L27-(L27*30/100)</f>
        <v>560</v>
      </c>
      <c r="P27" s="156" t="s">
        <v>131</v>
      </c>
      <c r="Q27" s="160" t="s">
        <v>25</v>
      </c>
      <c r="R27" s="171" t="s">
        <v>189</v>
      </c>
    </row>
    <row r="28" spans="1:18" ht="24" thickBot="1" x14ac:dyDescent="0.25">
      <c r="A28" s="191"/>
      <c r="B28" s="224"/>
      <c r="C28" s="57" t="s">
        <v>284</v>
      </c>
      <c r="D28" s="57">
        <f>D27*50/100</f>
        <v>500</v>
      </c>
      <c r="E28" s="57">
        <f t="shared" ref="E28:O28" si="37">E27*50/100</f>
        <v>450</v>
      </c>
      <c r="F28" s="57">
        <f t="shared" si="37"/>
        <v>400</v>
      </c>
      <c r="G28" s="57">
        <f t="shared" si="37"/>
        <v>350</v>
      </c>
      <c r="H28" s="57">
        <f t="shared" si="37"/>
        <v>450</v>
      </c>
      <c r="I28" s="57">
        <f t="shared" si="37"/>
        <v>405</v>
      </c>
      <c r="J28" s="57">
        <f t="shared" si="37"/>
        <v>360</v>
      </c>
      <c r="K28" s="57">
        <f t="shared" si="37"/>
        <v>315</v>
      </c>
      <c r="L28" s="57">
        <f t="shared" si="37"/>
        <v>400</v>
      </c>
      <c r="M28" s="57">
        <f t="shared" si="37"/>
        <v>360</v>
      </c>
      <c r="N28" s="57">
        <f t="shared" si="37"/>
        <v>320</v>
      </c>
      <c r="O28" s="57">
        <f t="shared" si="37"/>
        <v>280</v>
      </c>
      <c r="P28" s="156"/>
      <c r="Q28" s="160"/>
      <c r="R28" s="172"/>
    </row>
    <row r="29" spans="1:18" ht="47.25" thickBot="1" x14ac:dyDescent="0.25">
      <c r="A29" s="55" t="s">
        <v>498</v>
      </c>
      <c r="B29" s="78" t="s">
        <v>495</v>
      </c>
      <c r="C29" s="78" t="s">
        <v>267</v>
      </c>
      <c r="D29" s="106">
        <v>15000</v>
      </c>
      <c r="E29" s="106"/>
      <c r="F29" s="106"/>
      <c r="G29" s="106"/>
      <c r="H29" s="106">
        <f t="shared" ref="H29:H34" si="38">D29-(D29*20/100)</f>
        <v>12000</v>
      </c>
      <c r="I29" s="106"/>
      <c r="J29" s="106"/>
      <c r="K29" s="106"/>
      <c r="L29" s="106">
        <f t="shared" ref="L29:L34" si="39">D29-(D29*40/100)</f>
        <v>9000</v>
      </c>
      <c r="M29" s="106"/>
      <c r="N29" s="106"/>
      <c r="O29" s="106"/>
      <c r="P29" s="46" t="s">
        <v>172</v>
      </c>
      <c r="Q29" s="45" t="s">
        <v>10</v>
      </c>
      <c r="R29" s="53" t="s">
        <v>189</v>
      </c>
    </row>
    <row r="30" spans="1:18" ht="66" thickBot="1" x14ac:dyDescent="0.25">
      <c r="A30" s="55" t="s">
        <v>499</v>
      </c>
      <c r="B30" s="76" t="s">
        <v>45</v>
      </c>
      <c r="C30" s="78" t="s">
        <v>267</v>
      </c>
      <c r="D30" s="106">
        <v>500</v>
      </c>
      <c r="E30" s="106"/>
      <c r="F30" s="106"/>
      <c r="G30" s="106"/>
      <c r="H30" s="106">
        <f t="shared" si="38"/>
        <v>400</v>
      </c>
      <c r="I30" s="106"/>
      <c r="J30" s="106"/>
      <c r="K30" s="106"/>
      <c r="L30" s="106">
        <f t="shared" si="39"/>
        <v>300</v>
      </c>
      <c r="M30" s="106"/>
      <c r="N30" s="106"/>
      <c r="O30" s="106"/>
      <c r="P30" s="46" t="s">
        <v>175</v>
      </c>
      <c r="Q30" s="45" t="s">
        <v>10</v>
      </c>
      <c r="R30" s="53" t="s">
        <v>188</v>
      </c>
    </row>
    <row r="31" spans="1:18" ht="24" customHeight="1" thickBot="1" x14ac:dyDescent="0.25">
      <c r="A31" s="67" t="s">
        <v>501</v>
      </c>
      <c r="B31" s="76" t="s">
        <v>500</v>
      </c>
      <c r="C31" s="78" t="s">
        <v>267</v>
      </c>
      <c r="D31" s="106">
        <v>2000</v>
      </c>
      <c r="E31" s="106"/>
      <c r="F31" s="106"/>
      <c r="G31" s="106"/>
      <c r="H31" s="106">
        <f t="shared" si="38"/>
        <v>1600</v>
      </c>
      <c r="I31" s="106"/>
      <c r="J31" s="106"/>
      <c r="K31" s="106"/>
      <c r="L31" s="106">
        <f t="shared" si="39"/>
        <v>1200</v>
      </c>
      <c r="M31" s="106"/>
      <c r="N31" s="106"/>
      <c r="O31" s="106"/>
      <c r="P31" s="52" t="s">
        <v>175</v>
      </c>
      <c r="Q31" s="50" t="s">
        <v>10</v>
      </c>
      <c r="R31" s="53" t="s">
        <v>188</v>
      </c>
    </row>
    <row r="32" spans="1:18" ht="69.75" customHeight="1" thickBot="1" x14ac:dyDescent="0.25">
      <c r="A32" s="67" t="s">
        <v>502</v>
      </c>
      <c r="B32" s="78" t="s">
        <v>504</v>
      </c>
      <c r="C32" s="78" t="s">
        <v>267</v>
      </c>
      <c r="D32" s="106">
        <v>10000</v>
      </c>
      <c r="E32" s="106"/>
      <c r="F32" s="106"/>
      <c r="G32" s="106"/>
      <c r="H32" s="106">
        <f t="shared" si="38"/>
        <v>8000</v>
      </c>
      <c r="I32" s="106"/>
      <c r="J32" s="106"/>
      <c r="K32" s="106"/>
      <c r="L32" s="106">
        <f t="shared" si="39"/>
        <v>6000</v>
      </c>
      <c r="M32" s="106"/>
      <c r="N32" s="106"/>
      <c r="O32" s="106"/>
      <c r="P32" s="46" t="s">
        <v>153</v>
      </c>
      <c r="Q32" s="30" t="s">
        <v>10</v>
      </c>
      <c r="R32" s="53" t="s">
        <v>192</v>
      </c>
    </row>
    <row r="33" spans="1:18" ht="84.75" customHeight="1" thickBot="1" x14ac:dyDescent="0.25">
      <c r="A33" s="67" t="s">
        <v>503</v>
      </c>
      <c r="B33" s="44" t="s">
        <v>74</v>
      </c>
      <c r="C33" s="78" t="s">
        <v>267</v>
      </c>
      <c r="D33" s="106">
        <v>5000</v>
      </c>
      <c r="E33" s="106"/>
      <c r="F33" s="106"/>
      <c r="G33" s="106"/>
      <c r="H33" s="106">
        <f t="shared" si="38"/>
        <v>4000</v>
      </c>
      <c r="I33" s="106"/>
      <c r="J33" s="106"/>
      <c r="K33" s="106"/>
      <c r="L33" s="106">
        <f t="shared" si="39"/>
        <v>3000</v>
      </c>
      <c r="M33" s="106"/>
      <c r="N33" s="106"/>
      <c r="O33" s="106"/>
      <c r="P33" s="46" t="s">
        <v>153</v>
      </c>
      <c r="Q33" s="30" t="s">
        <v>10</v>
      </c>
      <c r="R33" s="53" t="s">
        <v>192</v>
      </c>
    </row>
    <row r="34" spans="1:18" ht="15" customHeight="1" x14ac:dyDescent="0.2">
      <c r="A34" s="127" t="s">
        <v>505</v>
      </c>
      <c r="B34" s="129" t="s">
        <v>421</v>
      </c>
      <c r="C34" s="129" t="s">
        <v>267</v>
      </c>
      <c r="D34" s="141">
        <v>15000</v>
      </c>
      <c r="E34" s="141"/>
      <c r="F34" s="141"/>
      <c r="G34" s="141"/>
      <c r="H34" s="141">
        <f t="shared" si="38"/>
        <v>12000</v>
      </c>
      <c r="I34" s="141"/>
      <c r="J34" s="141"/>
      <c r="K34" s="141"/>
      <c r="L34" s="141">
        <f t="shared" si="39"/>
        <v>9000</v>
      </c>
      <c r="M34" s="141"/>
      <c r="N34" s="141"/>
      <c r="O34" s="141"/>
      <c r="P34" s="214" t="s">
        <v>131</v>
      </c>
      <c r="Q34" s="131" t="s">
        <v>10</v>
      </c>
      <c r="R34" s="124" t="s">
        <v>187</v>
      </c>
    </row>
    <row r="35" spans="1:18" ht="51" customHeight="1" thickBot="1" x14ac:dyDescent="0.25">
      <c r="A35" s="128"/>
      <c r="B35" s="130"/>
      <c r="C35" s="130"/>
      <c r="D35" s="142"/>
      <c r="E35" s="142"/>
      <c r="F35" s="142"/>
      <c r="G35" s="142"/>
      <c r="H35" s="142"/>
      <c r="I35" s="142"/>
      <c r="J35" s="142"/>
      <c r="K35" s="142"/>
      <c r="L35" s="142"/>
      <c r="M35" s="142"/>
      <c r="N35" s="142"/>
      <c r="O35" s="142"/>
      <c r="P35" s="215"/>
      <c r="Q35" s="132"/>
      <c r="R35" s="133"/>
    </row>
    <row r="36" spans="1:18" ht="47.25" customHeight="1" thickBot="1" x14ac:dyDescent="0.25">
      <c r="A36" s="211" t="s">
        <v>50</v>
      </c>
      <c r="B36" s="212"/>
      <c r="C36" s="212"/>
      <c r="D36" s="212"/>
      <c r="E36" s="212"/>
      <c r="F36" s="212"/>
      <c r="G36" s="212"/>
      <c r="H36" s="212"/>
      <c r="I36" s="212"/>
      <c r="J36" s="212"/>
      <c r="K36" s="212"/>
      <c r="L36" s="212"/>
      <c r="M36" s="212"/>
      <c r="N36" s="212"/>
      <c r="O36" s="212"/>
      <c r="P36" s="212"/>
      <c r="Q36" s="212"/>
      <c r="R36" s="212"/>
    </row>
    <row r="37" spans="1:18" ht="72" customHeight="1" thickBot="1" x14ac:dyDescent="0.25">
      <c r="A37" s="43" t="s">
        <v>506</v>
      </c>
      <c r="B37" s="76" t="s">
        <v>35</v>
      </c>
      <c r="C37" s="76" t="s">
        <v>267</v>
      </c>
      <c r="D37" s="106">
        <v>500</v>
      </c>
      <c r="E37" s="106"/>
      <c r="F37" s="106"/>
      <c r="G37" s="106"/>
      <c r="H37" s="106">
        <f t="shared" ref="H37:H42" si="40">D37-(D37*20/100)</f>
        <v>400</v>
      </c>
      <c r="I37" s="106"/>
      <c r="J37" s="106"/>
      <c r="K37" s="106"/>
      <c r="L37" s="106">
        <f t="shared" ref="L37:L42" si="41">D37-(D37*40/100)</f>
        <v>300</v>
      </c>
      <c r="M37" s="106"/>
      <c r="N37" s="106"/>
      <c r="O37" s="106"/>
      <c r="P37" s="46" t="s">
        <v>175</v>
      </c>
      <c r="Q37" s="45" t="s">
        <v>10</v>
      </c>
      <c r="R37" s="53" t="s">
        <v>192</v>
      </c>
    </row>
    <row r="38" spans="1:18" ht="70.5" thickBot="1" x14ac:dyDescent="0.25">
      <c r="A38" s="43" t="s">
        <v>507</v>
      </c>
      <c r="B38" s="3" t="s">
        <v>179</v>
      </c>
      <c r="C38" s="76" t="s">
        <v>267</v>
      </c>
      <c r="D38" s="106">
        <v>5000</v>
      </c>
      <c r="E38" s="106"/>
      <c r="F38" s="106"/>
      <c r="G38" s="106"/>
      <c r="H38" s="106">
        <f t="shared" si="40"/>
        <v>4000</v>
      </c>
      <c r="I38" s="106"/>
      <c r="J38" s="106"/>
      <c r="K38" s="106"/>
      <c r="L38" s="106">
        <f t="shared" si="41"/>
        <v>3000</v>
      </c>
      <c r="M38" s="106"/>
      <c r="N38" s="106"/>
      <c r="O38" s="106"/>
      <c r="P38" s="46" t="s">
        <v>135</v>
      </c>
      <c r="Q38" s="45" t="s">
        <v>27</v>
      </c>
      <c r="R38" s="53" t="s">
        <v>192</v>
      </c>
    </row>
    <row r="39" spans="1:18" ht="47.25" thickBot="1" x14ac:dyDescent="0.25">
      <c r="A39" s="43" t="s">
        <v>508</v>
      </c>
      <c r="B39" s="20" t="s">
        <v>99</v>
      </c>
      <c r="C39" s="76" t="s">
        <v>267</v>
      </c>
      <c r="D39" s="113">
        <v>5000</v>
      </c>
      <c r="E39" s="114"/>
      <c r="F39" s="114"/>
      <c r="G39" s="115"/>
      <c r="H39" s="114">
        <f t="shared" si="40"/>
        <v>4000</v>
      </c>
      <c r="I39" s="114"/>
      <c r="J39" s="114"/>
      <c r="K39" s="115"/>
      <c r="L39" s="113">
        <f t="shared" si="41"/>
        <v>3000</v>
      </c>
      <c r="M39" s="114"/>
      <c r="N39" s="114"/>
      <c r="O39" s="115"/>
      <c r="P39" s="56" t="s">
        <v>131</v>
      </c>
      <c r="Q39" s="56" t="s">
        <v>10</v>
      </c>
      <c r="R39" s="53" t="s">
        <v>193</v>
      </c>
    </row>
    <row r="40" spans="1:18" ht="44.25" thickBot="1" x14ac:dyDescent="0.25">
      <c r="A40" s="43" t="s">
        <v>509</v>
      </c>
      <c r="B40" s="44" t="s">
        <v>96</v>
      </c>
      <c r="C40" s="76" t="s">
        <v>267</v>
      </c>
      <c r="D40" s="106">
        <v>5000</v>
      </c>
      <c r="E40" s="106"/>
      <c r="F40" s="106"/>
      <c r="G40" s="106"/>
      <c r="H40" s="106">
        <f t="shared" si="40"/>
        <v>4000</v>
      </c>
      <c r="I40" s="106"/>
      <c r="J40" s="106"/>
      <c r="K40" s="106"/>
      <c r="L40" s="106">
        <f t="shared" si="41"/>
        <v>3000</v>
      </c>
      <c r="M40" s="106"/>
      <c r="N40" s="106"/>
      <c r="O40" s="106"/>
      <c r="P40" s="56" t="s">
        <v>131</v>
      </c>
      <c r="Q40" s="45" t="s">
        <v>10</v>
      </c>
      <c r="R40" s="53" t="s">
        <v>193</v>
      </c>
    </row>
    <row r="41" spans="1:18" ht="44.25" thickBot="1" x14ac:dyDescent="0.25">
      <c r="A41" s="43" t="s">
        <v>510</v>
      </c>
      <c r="B41" s="44" t="s">
        <v>180</v>
      </c>
      <c r="C41" s="76" t="s">
        <v>267</v>
      </c>
      <c r="D41" s="106">
        <v>20000</v>
      </c>
      <c r="E41" s="106"/>
      <c r="F41" s="106"/>
      <c r="G41" s="106"/>
      <c r="H41" s="106">
        <f t="shared" si="40"/>
        <v>16000</v>
      </c>
      <c r="I41" s="106"/>
      <c r="J41" s="106"/>
      <c r="K41" s="106"/>
      <c r="L41" s="106">
        <f t="shared" si="41"/>
        <v>12000</v>
      </c>
      <c r="M41" s="106"/>
      <c r="N41" s="106"/>
      <c r="O41" s="106"/>
      <c r="P41" s="46" t="s">
        <v>135</v>
      </c>
      <c r="Q41" s="45" t="s">
        <v>10</v>
      </c>
      <c r="R41" s="47" t="s">
        <v>194</v>
      </c>
    </row>
    <row r="42" spans="1:18" ht="44.25" thickBot="1" x14ac:dyDescent="0.25">
      <c r="A42" s="43" t="s">
        <v>511</v>
      </c>
      <c r="B42" s="44" t="s">
        <v>53</v>
      </c>
      <c r="C42" s="76" t="s">
        <v>267</v>
      </c>
      <c r="D42" s="106">
        <v>30000</v>
      </c>
      <c r="E42" s="106"/>
      <c r="F42" s="106"/>
      <c r="G42" s="106"/>
      <c r="H42" s="106">
        <f t="shared" si="40"/>
        <v>24000</v>
      </c>
      <c r="I42" s="106"/>
      <c r="J42" s="106"/>
      <c r="K42" s="106"/>
      <c r="L42" s="106">
        <f t="shared" si="41"/>
        <v>18000</v>
      </c>
      <c r="M42" s="106"/>
      <c r="N42" s="106"/>
      <c r="O42" s="106"/>
      <c r="P42" s="52" t="s">
        <v>135</v>
      </c>
      <c r="Q42" s="45" t="s">
        <v>10</v>
      </c>
      <c r="R42" s="47" t="s">
        <v>195</v>
      </c>
    </row>
  </sheetData>
  <mergeCells count="124">
    <mergeCell ref="D42:G42"/>
    <mergeCell ref="H42:K42"/>
    <mergeCell ref="L42:O42"/>
    <mergeCell ref="C23:C24"/>
    <mergeCell ref="A34:A35"/>
    <mergeCell ref="B34:B35"/>
    <mergeCell ref="C34:C35"/>
    <mergeCell ref="D34:G35"/>
    <mergeCell ref="H34:K35"/>
    <mergeCell ref="D23:G24"/>
    <mergeCell ref="H23:K24"/>
    <mergeCell ref="L23:O24"/>
    <mergeCell ref="D29:G29"/>
    <mergeCell ref="H29:K29"/>
    <mergeCell ref="L29:O29"/>
    <mergeCell ref="D30:G30"/>
    <mergeCell ref="H30:K30"/>
    <mergeCell ref="L30:O30"/>
    <mergeCell ref="D31:G31"/>
    <mergeCell ref="H31:K31"/>
    <mergeCell ref="L31:O31"/>
    <mergeCell ref="D32:G32"/>
    <mergeCell ref="H32:K32"/>
    <mergeCell ref="L32:O32"/>
    <mergeCell ref="P9:P10"/>
    <mergeCell ref="Q9:Q10"/>
    <mergeCell ref="R9:R10"/>
    <mergeCell ref="D12:G12"/>
    <mergeCell ref="H12:K12"/>
    <mergeCell ref="L12:O12"/>
    <mergeCell ref="D11:G11"/>
    <mergeCell ref="H11:K11"/>
    <mergeCell ref="L11:O11"/>
    <mergeCell ref="L6:O6"/>
    <mergeCell ref="D7:G7"/>
    <mergeCell ref="H7:K7"/>
    <mergeCell ref="L7:O7"/>
    <mergeCell ref="D8:G8"/>
    <mergeCell ref="H8:K8"/>
    <mergeCell ref="L8:O8"/>
    <mergeCell ref="A9:A10"/>
    <mergeCell ref="B9:B10"/>
    <mergeCell ref="A3:R3"/>
    <mergeCell ref="A2:R2"/>
    <mergeCell ref="A1:R1"/>
    <mergeCell ref="L18:O18"/>
    <mergeCell ref="D21:G21"/>
    <mergeCell ref="H21:K21"/>
    <mergeCell ref="L21:O21"/>
    <mergeCell ref="D19:G19"/>
    <mergeCell ref="H19:K19"/>
    <mergeCell ref="L19:O19"/>
    <mergeCell ref="H17:K17"/>
    <mergeCell ref="L17:O17"/>
    <mergeCell ref="R4:R5"/>
    <mergeCell ref="A4:A5"/>
    <mergeCell ref="B4:B5"/>
    <mergeCell ref="D4:G4"/>
    <mergeCell ref="H4:K4"/>
    <mergeCell ref="L4:O4"/>
    <mergeCell ref="Q4:Q5"/>
    <mergeCell ref="P4:P5"/>
    <mergeCell ref="C4:C5"/>
    <mergeCell ref="D6:G6"/>
    <mergeCell ref="D15:G15"/>
    <mergeCell ref="H6:K6"/>
    <mergeCell ref="H15:K15"/>
    <mergeCell ref="L15:O15"/>
    <mergeCell ref="D22:G22"/>
    <mergeCell ref="H22:K22"/>
    <mergeCell ref="L22:O22"/>
    <mergeCell ref="D18:G18"/>
    <mergeCell ref="H18:K18"/>
    <mergeCell ref="D13:G13"/>
    <mergeCell ref="H13:K13"/>
    <mergeCell ref="L13:O13"/>
    <mergeCell ref="D14:G14"/>
    <mergeCell ref="H14:K14"/>
    <mergeCell ref="L14:O14"/>
    <mergeCell ref="D20:G20"/>
    <mergeCell ref="H20:K20"/>
    <mergeCell ref="L20:O20"/>
    <mergeCell ref="D16:G16"/>
    <mergeCell ref="H16:K16"/>
    <mergeCell ref="L16:O16"/>
    <mergeCell ref="D17:G17"/>
    <mergeCell ref="P25:P26"/>
    <mergeCell ref="Q23:Q24"/>
    <mergeCell ref="A25:A26"/>
    <mergeCell ref="B25:B26"/>
    <mergeCell ref="Q25:Q26"/>
    <mergeCell ref="R27:R28"/>
    <mergeCell ref="R23:R24"/>
    <mergeCell ref="R25:R26"/>
    <mergeCell ref="P23:P24"/>
    <mergeCell ref="A27:A28"/>
    <mergeCell ref="B27:B28"/>
    <mergeCell ref="Q27:Q28"/>
    <mergeCell ref="A23:A24"/>
    <mergeCell ref="B23:B24"/>
    <mergeCell ref="P27:P28"/>
    <mergeCell ref="D41:G41"/>
    <mergeCell ref="H41:K41"/>
    <mergeCell ref="L41:O41"/>
    <mergeCell ref="D39:G39"/>
    <mergeCell ref="H39:K39"/>
    <mergeCell ref="L39:O39"/>
    <mergeCell ref="D40:G40"/>
    <mergeCell ref="H40:K40"/>
    <mergeCell ref="L40:O40"/>
    <mergeCell ref="D37:G37"/>
    <mergeCell ref="H37:K37"/>
    <mergeCell ref="L37:O37"/>
    <mergeCell ref="D38:G38"/>
    <mergeCell ref="H38:K38"/>
    <mergeCell ref="L38:O38"/>
    <mergeCell ref="D33:G33"/>
    <mergeCell ref="H33:K33"/>
    <mergeCell ref="L33:O33"/>
    <mergeCell ref="A36:R36"/>
    <mergeCell ref="L34:O35"/>
    <mergeCell ref="P34:P35"/>
    <mergeCell ref="Q34:Q35"/>
    <mergeCell ref="R34:R35"/>
  </mergeCells>
  <pageMargins left="0.7" right="0.7" top="0.75" bottom="0.75" header="0.3" footer="0.3"/>
  <pageSetup paperSize="9" scale="48"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المصنع المحلي</vt:lpstr>
      <vt:lpstr>مستودع الوكيل أو ممثل الشركة</vt:lpstr>
      <vt:lpstr>المستورد</vt:lpstr>
      <vt:lpstr>  المستودع الموزع</vt:lpstr>
      <vt:lpstr>  منفذ البيع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Enforcement Department</dc:creator>
  <cp:lastModifiedBy>Hafsa T. Almanea</cp:lastModifiedBy>
  <cp:lastPrinted>2024-03-05T09:28:39Z</cp:lastPrinted>
  <dcterms:created xsi:type="dcterms:W3CDTF">2023-05-20T13:56:50Z</dcterms:created>
  <dcterms:modified xsi:type="dcterms:W3CDTF">2026-05-17T07:58:13Z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{"SFDA Production Policy Server (8c03fa3dfc99a77338dbfc773d179b293ec1c758)":{"ClassificationDisplayName":"Restricted - مقيد","ClassificationMode":"ClassificationMode_UserDriven","LabelId":"3","Version":"1"}}</vt:lpwstr>
  </property>
  <property fmtid="{D5CDD505-2E9C-101B-9397-08002B2CF9AE}" pid="3" name="SecloreClassificationDisplayName_8c03fa3dfc99a77338dbfc773d179b293ec1c758">
    <vt:lpwstr>Restricted - مقيد</vt:lpwstr>
  </property>
  <property fmtid="{D5CDD505-2E9C-101B-9397-08002B2CF9AE}" pid="4" name="SecloreClassificationFooterTextValue">
    <vt:lpwstr>Restricted - مقيد</vt:lpwstr>
  </property>
  <property fmtid="{D5CDD505-2E9C-101B-9397-08002B2CF9AE}" pid="5" name="SecloreClassificationFooterColorHex">
    <vt:lpwstr>#f0c231</vt:lpwstr>
  </property>
  <property fmtid="{D5CDD505-2E9C-101B-9397-08002B2CF9AE}" pid="6" name="SecloreClassificationFooterFontSize">
    <vt:lpwstr>12</vt:lpwstr>
  </property>
  <property fmtid="{D5CDD505-2E9C-101B-9397-08002B2CF9AE}" pid="7" name="SecloreClassificationFooterAlignment">
    <vt:lpwstr>Center</vt:lpwstr>
  </property>
</Properties>
</file>