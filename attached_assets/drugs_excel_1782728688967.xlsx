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okanazi\Desktop\جدول تصنيف المخالفات الجديد\اسانيد النظام\"/>
    </mc:Choice>
  </mc:AlternateContent>
  <bookViews>
    <workbookView xWindow="-105" yWindow="-105" windowWidth="23250" windowHeight="12450" tabRatio="583" activeTab="4"/>
  </bookViews>
  <sheets>
    <sheet name="مصانع" sheetId="4" r:id="rId1"/>
    <sheet name="مستودعات" sheetId="8" r:id="rId2"/>
    <sheet name="مكتب علمي" sheetId="11" r:id="rId3"/>
    <sheet name="مركز الاستشارات الدوائية " sheetId="10" r:id="rId4"/>
    <sheet name="مركز التحليل" sheetId="12" r:id="rId5"/>
  </sheets>
  <definedNames>
    <definedName name="_xlnm._FilterDatabase" localSheetId="3" hidden="1">'مركز الاستشارات الدوائية '!$A$4:$U$57</definedName>
    <definedName name="_xlnm._FilterDatabase" localSheetId="4" hidden="1">'مركز التحليل'!$A$5:$T$38</definedName>
    <definedName name="_xlnm._FilterDatabase" localSheetId="1" hidden="1">مستودعات!$A$1:$R$159</definedName>
    <definedName name="_xlnm._FilterDatabase" localSheetId="0" hidden="1">مصانع!$A$5:$R$139</definedName>
    <definedName name="_xlnm._FilterDatabase" localSheetId="2" hidden="1">'مكتب علمي'!$A$4:$U$86</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0" i="11" l="1"/>
  <c r="O69" i="11"/>
  <c r="O70" i="11" s="1"/>
  <c r="N69" i="11"/>
  <c r="N70" i="11" s="1"/>
  <c r="L69" i="11"/>
  <c r="M69" i="11" s="1"/>
  <c r="M70" i="11" s="1"/>
  <c r="H69" i="11"/>
  <c r="K69" i="11" s="1"/>
  <c r="K70" i="11" s="1"/>
  <c r="G69" i="11"/>
  <c r="G70" i="11" s="1"/>
  <c r="F69" i="11"/>
  <c r="F70" i="11" s="1"/>
  <c r="E69" i="11"/>
  <c r="E70" i="11" s="1"/>
  <c r="D18" i="11"/>
  <c r="O17" i="11"/>
  <c r="O18" i="11" s="1"/>
  <c r="N17" i="11"/>
  <c r="N18" i="11" s="1"/>
  <c r="L17" i="11"/>
  <c r="M17" i="11" s="1"/>
  <c r="M18" i="11" s="1"/>
  <c r="H17" i="11"/>
  <c r="K17" i="11" s="1"/>
  <c r="K18" i="11" s="1"/>
  <c r="G17" i="11"/>
  <c r="G18" i="11" s="1"/>
  <c r="F17" i="11"/>
  <c r="F18" i="11" s="1"/>
  <c r="E17" i="11"/>
  <c r="E18" i="11" s="1"/>
  <c r="D13" i="11"/>
  <c r="O12" i="11"/>
  <c r="O13" i="11" s="1"/>
  <c r="N12" i="11"/>
  <c r="N13" i="11" s="1"/>
  <c r="M12" i="11"/>
  <c r="M13" i="11" s="1"/>
  <c r="L12" i="11"/>
  <c r="L13" i="11" s="1"/>
  <c r="H12" i="11"/>
  <c r="J12" i="11" s="1"/>
  <c r="J13" i="11" s="1"/>
  <c r="G12" i="11"/>
  <c r="G13" i="11" s="1"/>
  <c r="F12" i="11"/>
  <c r="F13" i="11" s="1"/>
  <c r="E12" i="11"/>
  <c r="E13" i="11" s="1"/>
  <c r="O151" i="8"/>
  <c r="D151" i="8"/>
  <c r="O150" i="8"/>
  <c r="N150" i="8"/>
  <c r="N151" i="8" s="1"/>
  <c r="L150" i="8"/>
  <c r="M150" i="8" s="1"/>
  <c r="M151" i="8" s="1"/>
  <c r="H150" i="8"/>
  <c r="K150" i="8" s="1"/>
  <c r="K151" i="8" s="1"/>
  <c r="G150" i="8"/>
  <c r="G151" i="8" s="1"/>
  <c r="F150" i="8"/>
  <c r="F151" i="8" s="1"/>
  <c r="E150" i="8"/>
  <c r="E151" i="8" s="1"/>
  <c r="H70" i="11" l="1"/>
  <c r="I69" i="11"/>
  <c r="I70" i="11" s="1"/>
  <c r="J69" i="11"/>
  <c r="J70" i="11" s="1"/>
  <c r="L70" i="11"/>
  <c r="H18" i="11"/>
  <c r="L18" i="11"/>
  <c r="I17" i="11"/>
  <c r="I18" i="11" s="1"/>
  <c r="J17" i="11"/>
  <c r="J18" i="11" s="1"/>
  <c r="I12" i="11"/>
  <c r="I13" i="11" s="1"/>
  <c r="K12" i="11"/>
  <c r="K13" i="11" s="1"/>
  <c r="H13" i="11"/>
  <c r="L151" i="8"/>
  <c r="H151" i="8"/>
  <c r="I150" i="8"/>
  <c r="I151" i="8" s="1"/>
  <c r="J150" i="8"/>
  <c r="J151" i="8" s="1"/>
  <c r="D17" i="8" l="1"/>
  <c r="O16" i="8"/>
  <c r="O17" i="8" s="1"/>
  <c r="N16" i="8"/>
  <c r="N17" i="8" s="1"/>
  <c r="L16" i="8"/>
  <c r="L17" i="8" s="1"/>
  <c r="H16" i="8"/>
  <c r="K16" i="8" s="1"/>
  <c r="K17" i="8" s="1"/>
  <c r="G16" i="8"/>
  <c r="G17" i="8" s="1"/>
  <c r="F16" i="8"/>
  <c r="F17" i="8" s="1"/>
  <c r="E16" i="8"/>
  <c r="E17" i="8" s="1"/>
  <c r="D134" i="4"/>
  <c r="O133" i="4"/>
  <c r="O134" i="4" s="1"/>
  <c r="M133" i="4"/>
  <c r="M134" i="4" s="1"/>
  <c r="L133" i="4"/>
  <c r="N133" i="4" s="1"/>
  <c r="N134" i="4" s="1"/>
  <c r="H133" i="4"/>
  <c r="H134" i="4" s="1"/>
  <c r="G133" i="4"/>
  <c r="G134" i="4" s="1"/>
  <c r="F133" i="4"/>
  <c r="F134" i="4" s="1"/>
  <c r="E133" i="4"/>
  <c r="E134" i="4" s="1"/>
  <c r="M16" i="8" l="1"/>
  <c r="M17" i="8" s="1"/>
  <c r="H17" i="8"/>
  <c r="I16" i="8"/>
  <c r="I17" i="8" s="1"/>
  <c r="J16" i="8"/>
  <c r="J17" i="8" s="1"/>
  <c r="K133" i="4"/>
  <c r="K134" i="4" s="1"/>
  <c r="I133" i="4"/>
  <c r="I134" i="4" s="1"/>
  <c r="J133" i="4"/>
  <c r="J134" i="4" s="1"/>
  <c r="L134" i="4"/>
  <c r="D25" i="4"/>
  <c r="L24" i="4"/>
  <c r="O24" i="4" s="1"/>
  <c r="O25" i="4" s="1"/>
  <c r="K24" i="4"/>
  <c r="K25" i="4" s="1"/>
  <c r="J24" i="4"/>
  <c r="J25" i="4" s="1"/>
  <c r="H24" i="4"/>
  <c r="I24" i="4" s="1"/>
  <c r="I25" i="4" s="1"/>
  <c r="G24" i="4"/>
  <c r="G25" i="4" s="1"/>
  <c r="F24" i="4"/>
  <c r="F25" i="4" s="1"/>
  <c r="E24" i="4"/>
  <c r="E25" i="4" s="1"/>
  <c r="D19" i="4"/>
  <c r="L18" i="4"/>
  <c r="O18" i="4" s="1"/>
  <c r="O19" i="4" s="1"/>
  <c r="H18" i="4"/>
  <c r="K18" i="4" s="1"/>
  <c r="K19" i="4" s="1"/>
  <c r="G18" i="4"/>
  <c r="G19" i="4" s="1"/>
  <c r="F18" i="4"/>
  <c r="F19" i="4" s="1"/>
  <c r="E18" i="4"/>
  <c r="E19" i="4" s="1"/>
  <c r="L25" i="4" l="1"/>
  <c r="M24" i="4"/>
  <c r="M25" i="4" s="1"/>
  <c r="N24" i="4"/>
  <c r="N25" i="4" s="1"/>
  <c r="H25" i="4"/>
  <c r="L19" i="4"/>
  <c r="M18" i="4"/>
  <c r="M19" i="4" s="1"/>
  <c r="N18" i="4"/>
  <c r="N19" i="4" s="1"/>
  <c r="H19" i="4"/>
  <c r="I18" i="4"/>
  <c r="I19" i="4" s="1"/>
  <c r="J18" i="4"/>
  <c r="J19" i="4" s="1"/>
  <c r="L122" i="8" l="1"/>
  <c r="H122" i="8"/>
  <c r="L100" i="8"/>
  <c r="H100" i="8"/>
  <c r="L99" i="8"/>
  <c r="H99" i="8"/>
  <c r="L84" i="11"/>
  <c r="H84" i="11"/>
  <c r="L55" i="10" l="1"/>
  <c r="H55" i="10"/>
  <c r="L23" i="12"/>
  <c r="H23" i="12"/>
  <c r="L58" i="4"/>
  <c r="H58" i="4"/>
  <c r="H57" i="4" l="1"/>
  <c r="L57" i="4"/>
  <c r="L61" i="10" l="1"/>
  <c r="H61" i="10"/>
  <c r="L42" i="4" l="1"/>
  <c r="H42" i="4"/>
  <c r="L57" i="8" l="1"/>
  <c r="H57" i="8"/>
  <c r="L46" i="4"/>
  <c r="H46" i="4"/>
  <c r="L73" i="11" l="1"/>
  <c r="H73" i="11"/>
  <c r="D42" i="11" l="1"/>
  <c r="L41" i="11"/>
  <c r="O41" i="11" s="1"/>
  <c r="O42" i="11" s="1"/>
  <c r="H41" i="11"/>
  <c r="J41" i="11" s="1"/>
  <c r="J42" i="11" s="1"/>
  <c r="G41" i="11"/>
  <c r="G42" i="11" s="1"/>
  <c r="F41" i="11"/>
  <c r="F42" i="11" s="1"/>
  <c r="E41" i="11"/>
  <c r="E42" i="11" s="1"/>
  <c r="L154" i="8"/>
  <c r="H154" i="8"/>
  <c r="D128" i="8"/>
  <c r="L127" i="8"/>
  <c r="O127" i="8" s="1"/>
  <c r="O128" i="8" s="1"/>
  <c r="H127" i="8"/>
  <c r="K127" i="8" s="1"/>
  <c r="K128" i="8" s="1"/>
  <c r="G127" i="8"/>
  <c r="G128" i="8" s="1"/>
  <c r="F127" i="8"/>
  <c r="F128" i="8" s="1"/>
  <c r="E127" i="8"/>
  <c r="E128" i="8" s="1"/>
  <c r="D110" i="8"/>
  <c r="L109" i="8"/>
  <c r="L110" i="8" s="1"/>
  <c r="H109" i="8"/>
  <c r="I109" i="8" s="1"/>
  <c r="I110" i="8" s="1"/>
  <c r="G109" i="8"/>
  <c r="G110" i="8" s="1"/>
  <c r="F109" i="8"/>
  <c r="F110" i="8" s="1"/>
  <c r="E109" i="8"/>
  <c r="E110" i="8" s="1"/>
  <c r="H101" i="8"/>
  <c r="L101" i="8"/>
  <c r="D96" i="8"/>
  <c r="L95" i="8"/>
  <c r="N95" i="8" s="1"/>
  <c r="N96" i="8" s="1"/>
  <c r="H95" i="8"/>
  <c r="H96" i="8" s="1"/>
  <c r="G95" i="8"/>
  <c r="G96" i="8" s="1"/>
  <c r="F95" i="8"/>
  <c r="F96" i="8" s="1"/>
  <c r="E95" i="8"/>
  <c r="E96" i="8" s="1"/>
  <c r="L70" i="8"/>
  <c r="H70" i="8"/>
  <c r="L20" i="8"/>
  <c r="H20" i="8"/>
  <c r="D110" i="4"/>
  <c r="L109" i="4"/>
  <c r="O109" i="4" s="1"/>
  <c r="O110" i="4" s="1"/>
  <c r="H109" i="4"/>
  <c r="I109" i="4" s="1"/>
  <c r="I110" i="4" s="1"/>
  <c r="G109" i="4"/>
  <c r="G110" i="4" s="1"/>
  <c r="F109" i="4"/>
  <c r="F110" i="4" s="1"/>
  <c r="E109" i="4"/>
  <c r="E110" i="4" s="1"/>
  <c r="K95" i="8" l="1"/>
  <c r="K96" i="8" s="1"/>
  <c r="J95" i="8"/>
  <c r="J96" i="8" s="1"/>
  <c r="J109" i="4"/>
  <c r="J110" i="4" s="1"/>
  <c r="M109" i="8"/>
  <c r="M110" i="8" s="1"/>
  <c r="N109" i="8"/>
  <c r="N110" i="8" s="1"/>
  <c r="I95" i="8"/>
  <c r="I96" i="8" s="1"/>
  <c r="O109" i="8"/>
  <c r="O110" i="8" s="1"/>
  <c r="K41" i="11"/>
  <c r="K42" i="11" s="1"/>
  <c r="L42" i="11"/>
  <c r="M41" i="11"/>
  <c r="M42" i="11" s="1"/>
  <c r="N41" i="11"/>
  <c r="N42" i="11" s="1"/>
  <c r="H42" i="11"/>
  <c r="I41" i="11"/>
  <c r="I42" i="11" s="1"/>
  <c r="L128" i="8"/>
  <c r="M127" i="8"/>
  <c r="M128" i="8" s="1"/>
  <c r="N127" i="8"/>
  <c r="N128" i="8" s="1"/>
  <c r="H128" i="8"/>
  <c r="I127" i="8"/>
  <c r="I128" i="8" s="1"/>
  <c r="J127" i="8"/>
  <c r="J128" i="8" s="1"/>
  <c r="J109" i="8"/>
  <c r="J110" i="8" s="1"/>
  <c r="K109" i="8"/>
  <c r="K110" i="8" s="1"/>
  <c r="H110" i="8"/>
  <c r="O95" i="8"/>
  <c r="O96" i="8" s="1"/>
  <c r="L96" i="8"/>
  <c r="M95" i="8"/>
  <c r="M96" i="8" s="1"/>
  <c r="K109" i="4"/>
  <c r="K110" i="4" s="1"/>
  <c r="L110" i="4"/>
  <c r="M109" i="4"/>
  <c r="M110" i="4" s="1"/>
  <c r="N109" i="4"/>
  <c r="N110" i="4" s="1"/>
  <c r="H110" i="4"/>
  <c r="D93" i="4"/>
  <c r="L92" i="4"/>
  <c r="O92" i="4" s="1"/>
  <c r="O93" i="4" s="1"/>
  <c r="H92" i="4"/>
  <c r="K92" i="4" s="1"/>
  <c r="K93" i="4" s="1"/>
  <c r="G92" i="4"/>
  <c r="G93" i="4" s="1"/>
  <c r="F92" i="4"/>
  <c r="F93" i="4" s="1"/>
  <c r="E92" i="4"/>
  <c r="E93" i="4" s="1"/>
  <c r="L93" i="4" l="1"/>
  <c r="M92" i="4"/>
  <c r="M93" i="4" s="1"/>
  <c r="N92" i="4"/>
  <c r="N93" i="4" s="1"/>
  <c r="H93" i="4"/>
  <c r="I92" i="4"/>
  <c r="I93" i="4" s="1"/>
  <c r="J92" i="4"/>
  <c r="J93" i="4" s="1"/>
  <c r="L85" i="4"/>
  <c r="H85" i="4"/>
  <c r="D83" i="4" l="1"/>
  <c r="L82" i="4"/>
  <c r="O82" i="4" s="1"/>
  <c r="O83" i="4" s="1"/>
  <c r="H82" i="4"/>
  <c r="J82" i="4" s="1"/>
  <c r="J83" i="4" s="1"/>
  <c r="G82" i="4"/>
  <c r="G83" i="4" s="1"/>
  <c r="F82" i="4"/>
  <c r="F83" i="4" s="1"/>
  <c r="E82" i="4"/>
  <c r="E83" i="4" s="1"/>
  <c r="K82" i="4" l="1"/>
  <c r="K83" i="4" s="1"/>
  <c r="L83" i="4"/>
  <c r="M82" i="4"/>
  <c r="M83" i="4" s="1"/>
  <c r="N82" i="4"/>
  <c r="N83" i="4" s="1"/>
  <c r="H83" i="4"/>
  <c r="I82" i="4"/>
  <c r="I83" i="4" s="1"/>
  <c r="L137" i="4"/>
  <c r="H137" i="4"/>
  <c r="G137" i="4"/>
  <c r="F137" i="4"/>
  <c r="E137" i="4"/>
  <c r="L12" i="4"/>
  <c r="H12" i="4"/>
  <c r="D31" i="11" l="1"/>
  <c r="L30" i="11"/>
  <c r="O30" i="11" s="1"/>
  <c r="O31" i="11" s="1"/>
  <c r="H30" i="11"/>
  <c r="K30" i="11" s="1"/>
  <c r="K31" i="11" s="1"/>
  <c r="G30" i="11"/>
  <c r="G31" i="11" s="1"/>
  <c r="F30" i="11"/>
  <c r="F31" i="11" s="1"/>
  <c r="E30" i="11"/>
  <c r="E31" i="11" s="1"/>
  <c r="D36" i="8"/>
  <c r="L35" i="8"/>
  <c r="O35" i="8" s="1"/>
  <c r="O36" i="8" s="1"/>
  <c r="H35" i="8"/>
  <c r="I35" i="8" s="1"/>
  <c r="I36" i="8" s="1"/>
  <c r="G35" i="8"/>
  <c r="G36" i="8" s="1"/>
  <c r="F35" i="8"/>
  <c r="F36" i="8" s="1"/>
  <c r="E35" i="8"/>
  <c r="E36" i="8" s="1"/>
  <c r="J35" i="8" l="1"/>
  <c r="J36" i="8" s="1"/>
  <c r="K35" i="8"/>
  <c r="K36" i="8" s="1"/>
  <c r="L31" i="11"/>
  <c r="M30" i="11"/>
  <c r="M31" i="11" s="1"/>
  <c r="N30" i="11"/>
  <c r="N31" i="11" s="1"/>
  <c r="H31" i="11"/>
  <c r="I30" i="11"/>
  <c r="I31" i="11" s="1"/>
  <c r="J30" i="11"/>
  <c r="J31" i="11" s="1"/>
  <c r="L36" i="8"/>
  <c r="M35" i="8"/>
  <c r="M36" i="8" s="1"/>
  <c r="N35" i="8"/>
  <c r="N36" i="8" s="1"/>
  <c r="H36" i="8"/>
  <c r="L90" i="11" l="1"/>
  <c r="H90" i="11"/>
  <c r="H91" i="11"/>
  <c r="L91" i="11"/>
  <c r="L59" i="8" l="1"/>
  <c r="H59" i="8"/>
  <c r="L48" i="4"/>
  <c r="H48" i="4"/>
  <c r="L24" i="12" l="1"/>
  <c r="H24" i="12"/>
  <c r="E6" i="10" l="1"/>
  <c r="F6" i="10"/>
  <c r="G6" i="10"/>
  <c r="H6" i="10"/>
  <c r="K6" i="10" s="1"/>
  <c r="L6" i="10"/>
  <c r="M6" i="10" s="1"/>
  <c r="O6" i="10" l="1"/>
  <c r="N6" i="10"/>
  <c r="J6" i="10"/>
  <c r="I6" i="10"/>
  <c r="H44" i="8"/>
  <c r="L44" i="8"/>
  <c r="L41" i="12" l="1"/>
  <c r="H41" i="12"/>
  <c r="D40" i="12"/>
  <c r="L39" i="12"/>
  <c r="M39" i="12" s="1"/>
  <c r="M40" i="12" s="1"/>
  <c r="H39" i="12"/>
  <c r="I39" i="12" s="1"/>
  <c r="I40" i="12" s="1"/>
  <c r="G39" i="12"/>
  <c r="G40" i="12" s="1"/>
  <c r="F39" i="12"/>
  <c r="F40" i="12" s="1"/>
  <c r="E39" i="12"/>
  <c r="E40" i="12" s="1"/>
  <c r="D38" i="12"/>
  <c r="L37" i="12"/>
  <c r="L38" i="12" s="1"/>
  <c r="H37" i="12"/>
  <c r="H38" i="12" s="1"/>
  <c r="G37" i="12"/>
  <c r="G38" i="12" s="1"/>
  <c r="F37" i="12"/>
  <c r="F38" i="12" s="1"/>
  <c r="E37" i="12"/>
  <c r="E38" i="12" s="1"/>
  <c r="D36" i="12"/>
  <c r="L35" i="12"/>
  <c r="M35" i="12" s="1"/>
  <c r="M36" i="12" s="1"/>
  <c r="H35" i="12"/>
  <c r="K35" i="12" s="1"/>
  <c r="K36" i="12" s="1"/>
  <c r="G35" i="12"/>
  <c r="G36" i="12" s="1"/>
  <c r="F35" i="12"/>
  <c r="F36" i="12" s="1"/>
  <c r="E35" i="12"/>
  <c r="E36" i="12" s="1"/>
  <c r="D34" i="12"/>
  <c r="L33" i="12"/>
  <c r="L34" i="12" s="1"/>
  <c r="H33" i="12"/>
  <c r="H34" i="12" s="1"/>
  <c r="G33" i="12"/>
  <c r="G34" i="12" s="1"/>
  <c r="F33" i="12"/>
  <c r="F34" i="12" s="1"/>
  <c r="E33" i="12"/>
  <c r="E34" i="12" s="1"/>
  <c r="L32" i="12"/>
  <c r="H32" i="12"/>
  <c r="L31" i="12"/>
  <c r="H31" i="12"/>
  <c r="L30" i="12"/>
  <c r="H30" i="12"/>
  <c r="L29" i="12"/>
  <c r="H29" i="12"/>
  <c r="D28" i="12"/>
  <c r="L27" i="12"/>
  <c r="H27" i="12"/>
  <c r="I27" i="12" s="1"/>
  <c r="I28" i="12" s="1"/>
  <c r="G27" i="12"/>
  <c r="G28" i="12" s="1"/>
  <c r="F27" i="12"/>
  <c r="F28" i="12" s="1"/>
  <c r="E27" i="12"/>
  <c r="E28" i="12" s="1"/>
  <c r="L26" i="12"/>
  <c r="H26" i="12"/>
  <c r="L25" i="12"/>
  <c r="H25" i="12"/>
  <c r="D19" i="12"/>
  <c r="L18" i="12"/>
  <c r="O18" i="12" s="1"/>
  <c r="O19" i="12" s="1"/>
  <c r="H18" i="12"/>
  <c r="I18" i="12" s="1"/>
  <c r="I19" i="12" s="1"/>
  <c r="G18" i="12"/>
  <c r="G19" i="12" s="1"/>
  <c r="F18" i="12"/>
  <c r="F19" i="12" s="1"/>
  <c r="E18" i="12"/>
  <c r="E19" i="12" s="1"/>
  <c r="D17" i="12"/>
  <c r="L16" i="12"/>
  <c r="N16" i="12" s="1"/>
  <c r="N17" i="12" s="1"/>
  <c r="H16" i="12"/>
  <c r="H17" i="12" s="1"/>
  <c r="G16" i="12"/>
  <c r="G17" i="12" s="1"/>
  <c r="F16" i="12"/>
  <c r="F17" i="12" s="1"/>
  <c r="E16" i="12"/>
  <c r="E17" i="12" s="1"/>
  <c r="D15" i="12"/>
  <c r="L14" i="12"/>
  <c r="M14" i="12" s="1"/>
  <c r="M15" i="12" s="1"/>
  <c r="H14" i="12"/>
  <c r="I14" i="12" s="1"/>
  <c r="I15" i="12" s="1"/>
  <c r="G14" i="12"/>
  <c r="G15" i="12" s="1"/>
  <c r="F14" i="12"/>
  <c r="F15" i="12" s="1"/>
  <c r="E14" i="12"/>
  <c r="E15" i="12" s="1"/>
  <c r="D13" i="12"/>
  <c r="L12" i="12"/>
  <c r="L13" i="12" s="1"/>
  <c r="H12" i="12"/>
  <c r="I12" i="12" s="1"/>
  <c r="I13" i="12" s="1"/>
  <c r="G12" i="12"/>
  <c r="G13" i="12" s="1"/>
  <c r="F12" i="12"/>
  <c r="F13" i="12" s="1"/>
  <c r="E12" i="12"/>
  <c r="E13" i="12" s="1"/>
  <c r="D11" i="12"/>
  <c r="L10" i="12"/>
  <c r="O10" i="12" s="1"/>
  <c r="O11" i="12" s="1"/>
  <c r="H10" i="12"/>
  <c r="K10" i="12" s="1"/>
  <c r="K11" i="12" s="1"/>
  <c r="G10" i="12"/>
  <c r="G11" i="12" s="1"/>
  <c r="F10" i="12"/>
  <c r="F11" i="12" s="1"/>
  <c r="E10" i="12"/>
  <c r="E11" i="12" s="1"/>
  <c r="L9" i="12"/>
  <c r="H9" i="12"/>
  <c r="D8" i="12"/>
  <c r="L7" i="12"/>
  <c r="L8" i="12" s="1"/>
  <c r="H7" i="12"/>
  <c r="H8" i="12" s="1"/>
  <c r="G7" i="12"/>
  <c r="G8" i="12" s="1"/>
  <c r="F7" i="12"/>
  <c r="F8" i="12" s="1"/>
  <c r="E7" i="12"/>
  <c r="E8" i="12" s="1"/>
  <c r="L6" i="12"/>
  <c r="H6" i="12"/>
  <c r="O33" i="12" l="1"/>
  <c r="O34" i="12" s="1"/>
  <c r="K18" i="12"/>
  <c r="K19" i="12" s="1"/>
  <c r="H19" i="12"/>
  <c r="O14" i="12"/>
  <c r="O15" i="12" s="1"/>
  <c r="J37" i="12"/>
  <c r="J38" i="12" s="1"/>
  <c r="O12" i="12"/>
  <c r="O13" i="12" s="1"/>
  <c r="L11" i="12"/>
  <c r="N10" i="12"/>
  <c r="N11" i="12" s="1"/>
  <c r="N12" i="12"/>
  <c r="N13" i="12" s="1"/>
  <c r="N14" i="12"/>
  <c r="N15" i="12" s="1"/>
  <c r="N39" i="12"/>
  <c r="N40" i="12" s="1"/>
  <c r="O39" i="12"/>
  <c r="O40" i="12" s="1"/>
  <c r="K7" i="12"/>
  <c r="K8" i="12" s="1"/>
  <c r="K37" i="12"/>
  <c r="K38" i="12" s="1"/>
  <c r="K16" i="12"/>
  <c r="K17" i="12" s="1"/>
  <c r="L19" i="12"/>
  <c r="M7" i="12"/>
  <c r="M8" i="12" s="1"/>
  <c r="I10" i="12"/>
  <c r="I11" i="12" s="1"/>
  <c r="I33" i="12"/>
  <c r="I34" i="12" s="1"/>
  <c r="N18" i="12"/>
  <c r="N19" i="12" s="1"/>
  <c r="M37" i="12"/>
  <c r="M38" i="12" s="1"/>
  <c r="O7" i="12"/>
  <c r="O8" i="12" s="1"/>
  <c r="J14" i="12"/>
  <c r="J15" i="12" s="1"/>
  <c r="I16" i="12"/>
  <c r="I17" i="12" s="1"/>
  <c r="M10" i="12"/>
  <c r="M11" i="12" s="1"/>
  <c r="M12" i="12"/>
  <c r="M13" i="12" s="1"/>
  <c r="L15" i="12"/>
  <c r="J16" i="12"/>
  <c r="J17" i="12" s="1"/>
  <c r="J18" i="12"/>
  <c r="J19" i="12" s="1"/>
  <c r="N33" i="12"/>
  <c r="N34" i="12" s="1"/>
  <c r="O35" i="12"/>
  <c r="O36" i="12" s="1"/>
  <c r="I37" i="12"/>
  <c r="I38" i="12" s="1"/>
  <c r="J12" i="12"/>
  <c r="J13" i="12" s="1"/>
  <c r="H11" i="12"/>
  <c r="O16" i="12"/>
  <c r="O17" i="12" s="1"/>
  <c r="M18" i="12"/>
  <c r="M19" i="12" s="1"/>
  <c r="N7" i="12"/>
  <c r="N8" i="12" s="1"/>
  <c r="J10" i="12"/>
  <c r="J11" i="12" s="1"/>
  <c r="K12" i="12"/>
  <c r="K13" i="12" s="1"/>
  <c r="H13" i="12"/>
  <c r="M33" i="12"/>
  <c r="M34" i="12" s="1"/>
  <c r="N35" i="12"/>
  <c r="N36" i="12" s="1"/>
  <c r="O37" i="12"/>
  <c r="O38" i="12" s="1"/>
  <c r="I7" i="12"/>
  <c r="I8" i="12" s="1"/>
  <c r="K14" i="12"/>
  <c r="K15" i="12" s="1"/>
  <c r="I35" i="12"/>
  <c r="I36" i="12" s="1"/>
  <c r="H36" i="12"/>
  <c r="J7" i="12"/>
  <c r="J8" i="12" s="1"/>
  <c r="H15" i="12"/>
  <c r="L17" i="12"/>
  <c r="K27" i="12"/>
  <c r="K28" i="12" s="1"/>
  <c r="H28" i="12"/>
  <c r="J33" i="12"/>
  <c r="J34" i="12" s="1"/>
  <c r="K33" i="12"/>
  <c r="K34" i="12" s="1"/>
  <c r="J35" i="12"/>
  <c r="J36" i="12" s="1"/>
  <c r="M27" i="12"/>
  <c r="M28" i="12" s="1"/>
  <c r="O27" i="12"/>
  <c r="O28" i="12" s="1"/>
  <c r="N27" i="12"/>
  <c r="N28" i="12" s="1"/>
  <c r="M16" i="12"/>
  <c r="M17" i="12" s="1"/>
  <c r="L28" i="12"/>
  <c r="K39" i="12"/>
  <c r="K40" i="12" s="1"/>
  <c r="J39" i="12"/>
  <c r="J40" i="12" s="1"/>
  <c r="H40" i="12"/>
  <c r="J27" i="12"/>
  <c r="J28" i="12" s="1"/>
  <c r="L36" i="12"/>
  <c r="L40" i="12"/>
  <c r="N37" i="12"/>
  <c r="N38" i="12" s="1"/>
  <c r="E88" i="4"/>
  <c r="F88" i="4"/>
  <c r="G88" i="4"/>
  <c r="H88" i="4"/>
  <c r="K88" i="4" s="1"/>
  <c r="L88" i="4"/>
  <c r="M88" i="4" s="1"/>
  <c r="N88" i="4" l="1"/>
  <c r="O88" i="4"/>
  <c r="J88" i="4"/>
  <c r="I88" i="4"/>
  <c r="L53" i="8"/>
  <c r="H53" i="8"/>
  <c r="L52" i="8"/>
  <c r="H52" i="8"/>
  <c r="H68" i="8"/>
  <c r="L68" i="8"/>
  <c r="H69" i="8"/>
  <c r="L69" i="8"/>
  <c r="H54" i="8"/>
  <c r="L54" i="8"/>
  <c r="H55" i="8"/>
  <c r="L55" i="8"/>
  <c r="H56" i="8"/>
  <c r="L56" i="8"/>
  <c r="H58" i="8"/>
  <c r="L58" i="8"/>
  <c r="H60" i="8"/>
  <c r="L60" i="8"/>
  <c r="H61" i="8"/>
  <c r="L61" i="8"/>
  <c r="H62" i="8"/>
  <c r="L62" i="8"/>
  <c r="H63" i="8"/>
  <c r="L63" i="8"/>
  <c r="H64" i="8"/>
  <c r="L64" i="8"/>
  <c r="H65" i="8"/>
  <c r="L65" i="8"/>
  <c r="H66" i="8"/>
  <c r="L66" i="8"/>
  <c r="H45" i="4" l="1"/>
  <c r="L45" i="4"/>
  <c r="E36" i="4" l="1"/>
  <c r="E37" i="4" s="1"/>
  <c r="F36" i="4"/>
  <c r="F37" i="4" s="1"/>
  <c r="G36" i="4"/>
  <c r="G37" i="4" s="1"/>
  <c r="H36" i="4"/>
  <c r="K36" i="4" s="1"/>
  <c r="K37" i="4" s="1"/>
  <c r="L36" i="4"/>
  <c r="N36" i="4" s="1"/>
  <c r="N37" i="4" s="1"/>
  <c r="D37" i="4"/>
  <c r="M36" i="4" l="1"/>
  <c r="M37" i="4" s="1"/>
  <c r="O36" i="4"/>
  <c r="O37" i="4" s="1"/>
  <c r="J36" i="4"/>
  <c r="J37" i="4" s="1"/>
  <c r="L37" i="4"/>
  <c r="H37" i="4"/>
  <c r="I36" i="4"/>
  <c r="I37" i="4" s="1"/>
  <c r="L50" i="4"/>
  <c r="H50" i="4"/>
  <c r="L49" i="4"/>
  <c r="H49" i="4"/>
  <c r="L47" i="4"/>
  <c r="H47" i="4"/>
  <c r="L43" i="10"/>
  <c r="L96" i="11" l="1"/>
  <c r="H96" i="11"/>
  <c r="L95" i="11"/>
  <c r="H95" i="11"/>
  <c r="L94" i="11"/>
  <c r="H94" i="11"/>
  <c r="L93" i="11"/>
  <c r="H93" i="11"/>
  <c r="L92" i="11"/>
  <c r="H92" i="11"/>
  <c r="D24" i="8" l="1"/>
  <c r="G23" i="8"/>
  <c r="G24" i="8" s="1"/>
  <c r="F23" i="8"/>
  <c r="F24" i="8" s="1"/>
  <c r="E23" i="8"/>
  <c r="E24" i="8" s="1"/>
  <c r="L60" i="10" l="1"/>
  <c r="H60" i="10"/>
  <c r="D59" i="10"/>
  <c r="L58" i="10"/>
  <c r="O58" i="10" s="1"/>
  <c r="O59" i="10" s="1"/>
  <c r="H58" i="10"/>
  <c r="K58" i="10" s="1"/>
  <c r="K59" i="10" s="1"/>
  <c r="G58" i="10"/>
  <c r="G59" i="10" s="1"/>
  <c r="F58" i="10"/>
  <c r="F59" i="10" s="1"/>
  <c r="E58" i="10"/>
  <c r="E59" i="10" s="1"/>
  <c r="D89" i="11"/>
  <c r="L88" i="11"/>
  <c r="L89" i="11" s="1"/>
  <c r="H88" i="11"/>
  <c r="K88" i="11" s="1"/>
  <c r="K89" i="11" s="1"/>
  <c r="G88" i="11"/>
  <c r="G89" i="11" s="1"/>
  <c r="F88" i="11"/>
  <c r="F89" i="11" s="1"/>
  <c r="E88" i="11"/>
  <c r="E89" i="11" s="1"/>
  <c r="L159" i="8"/>
  <c r="H159" i="8"/>
  <c r="D158" i="8"/>
  <c r="L157" i="8"/>
  <c r="M157" i="8" s="1"/>
  <c r="M158" i="8" s="1"/>
  <c r="H157" i="8"/>
  <c r="K157" i="8" s="1"/>
  <c r="K158" i="8" s="1"/>
  <c r="G157" i="8"/>
  <c r="G158" i="8" s="1"/>
  <c r="F157" i="8"/>
  <c r="F158" i="8" s="1"/>
  <c r="E157" i="8"/>
  <c r="E158" i="8" s="1"/>
  <c r="L142" i="4"/>
  <c r="H142" i="4"/>
  <c r="D141" i="4"/>
  <c r="L140" i="4"/>
  <c r="M140" i="4" s="1"/>
  <c r="M141" i="4" s="1"/>
  <c r="H140" i="4"/>
  <c r="J140" i="4" s="1"/>
  <c r="J141" i="4" s="1"/>
  <c r="G140" i="4"/>
  <c r="G141" i="4" s="1"/>
  <c r="F140" i="4"/>
  <c r="F141" i="4" s="1"/>
  <c r="E140" i="4"/>
  <c r="E141" i="4" s="1"/>
  <c r="H59" i="10" l="1"/>
  <c r="L59" i="10"/>
  <c r="I58" i="10"/>
  <c r="I59" i="10" s="1"/>
  <c r="M58" i="10"/>
  <c r="M59" i="10" s="1"/>
  <c r="N58" i="10"/>
  <c r="N59" i="10" s="1"/>
  <c r="J58" i="10"/>
  <c r="J59" i="10" s="1"/>
  <c r="H89" i="11"/>
  <c r="N88" i="11"/>
  <c r="N89" i="11" s="1"/>
  <c r="M88" i="11"/>
  <c r="M89" i="11" s="1"/>
  <c r="O88" i="11"/>
  <c r="O89" i="11" s="1"/>
  <c r="I88" i="11"/>
  <c r="I89" i="11" s="1"/>
  <c r="J88" i="11"/>
  <c r="J89" i="11" s="1"/>
  <c r="H158" i="8"/>
  <c r="N157" i="8"/>
  <c r="N158" i="8" s="1"/>
  <c r="O157" i="8"/>
  <c r="O158" i="8" s="1"/>
  <c r="L158" i="8"/>
  <c r="I157" i="8"/>
  <c r="I158" i="8" s="1"/>
  <c r="J157" i="8"/>
  <c r="J158" i="8" s="1"/>
  <c r="K140" i="4"/>
  <c r="K141" i="4" s="1"/>
  <c r="H141" i="4"/>
  <c r="N140" i="4"/>
  <c r="N141" i="4" s="1"/>
  <c r="O140" i="4"/>
  <c r="O141" i="4" s="1"/>
  <c r="L141" i="4"/>
  <c r="I140" i="4"/>
  <c r="I141" i="4" s="1"/>
  <c r="L22" i="10"/>
  <c r="H22" i="10"/>
  <c r="L35" i="11"/>
  <c r="H35" i="11"/>
  <c r="L104" i="8"/>
  <c r="H104" i="8"/>
  <c r="L134" i="8" l="1"/>
  <c r="H134" i="8"/>
  <c r="L116" i="4"/>
  <c r="H116" i="4"/>
  <c r="L137" i="8" l="1"/>
  <c r="H137" i="8"/>
  <c r="L136" i="8"/>
  <c r="H136" i="8"/>
  <c r="L135" i="8"/>
  <c r="H135" i="8"/>
  <c r="L119" i="4"/>
  <c r="H119" i="4"/>
  <c r="L118" i="4"/>
  <c r="H118" i="4"/>
  <c r="L117" i="4"/>
  <c r="H117" i="4"/>
  <c r="L87" i="11" l="1"/>
  <c r="H87" i="11"/>
  <c r="L86" i="11"/>
  <c r="H86" i="11"/>
  <c r="L85" i="11"/>
  <c r="H85" i="11"/>
  <c r="G84" i="11"/>
  <c r="F84" i="11"/>
  <c r="E84" i="11"/>
  <c r="L83" i="11"/>
  <c r="H83" i="11"/>
  <c r="L82" i="11"/>
  <c r="H82" i="11"/>
  <c r="D81" i="11"/>
  <c r="L80" i="11"/>
  <c r="L81" i="11" s="1"/>
  <c r="H80" i="11"/>
  <c r="K80" i="11" s="1"/>
  <c r="K81" i="11" s="1"/>
  <c r="G80" i="11"/>
  <c r="G81" i="11" s="1"/>
  <c r="F80" i="11"/>
  <c r="F81" i="11" s="1"/>
  <c r="E80" i="11"/>
  <c r="E81" i="11" s="1"/>
  <c r="D79" i="11"/>
  <c r="L78" i="11"/>
  <c r="O78" i="11" s="1"/>
  <c r="O79" i="11" s="1"/>
  <c r="H78" i="11"/>
  <c r="J78" i="11" s="1"/>
  <c r="J79" i="11" s="1"/>
  <c r="G78" i="11"/>
  <c r="G79" i="11" s="1"/>
  <c r="F78" i="11"/>
  <c r="F79" i="11" s="1"/>
  <c r="E78" i="11"/>
  <c r="E79" i="11" s="1"/>
  <c r="D77" i="11"/>
  <c r="L76" i="11"/>
  <c r="N76" i="11" s="1"/>
  <c r="N77" i="11" s="1"/>
  <c r="H76" i="11"/>
  <c r="H77" i="11" s="1"/>
  <c r="G76" i="11"/>
  <c r="G77" i="11" s="1"/>
  <c r="F76" i="11"/>
  <c r="F77" i="11" s="1"/>
  <c r="E76" i="11"/>
  <c r="E77" i="11" s="1"/>
  <c r="D57" i="10"/>
  <c r="L56" i="10"/>
  <c r="L57" i="10" s="1"/>
  <c r="H56" i="10"/>
  <c r="J56" i="10" s="1"/>
  <c r="J57" i="10" s="1"/>
  <c r="G56" i="10"/>
  <c r="G57" i="10" s="1"/>
  <c r="F56" i="10"/>
  <c r="F57" i="10" s="1"/>
  <c r="E56" i="10"/>
  <c r="E57" i="10" s="1"/>
  <c r="D54" i="10"/>
  <c r="L53" i="10"/>
  <c r="L54" i="10" s="1"/>
  <c r="H53" i="10"/>
  <c r="H54" i="10" s="1"/>
  <c r="G53" i="10"/>
  <c r="G54" i="10" s="1"/>
  <c r="F53" i="10"/>
  <c r="F54" i="10" s="1"/>
  <c r="E53" i="10"/>
  <c r="E54" i="10" s="1"/>
  <c r="H81" i="11" l="1"/>
  <c r="J76" i="11"/>
  <c r="J77" i="11" s="1"/>
  <c r="H79" i="11"/>
  <c r="K76" i="11"/>
  <c r="K77" i="11" s="1"/>
  <c r="O76" i="11"/>
  <c r="O77" i="11" s="1"/>
  <c r="K78" i="11"/>
  <c r="K79" i="11" s="1"/>
  <c r="I80" i="11"/>
  <c r="I81" i="11" s="1"/>
  <c r="J80" i="11"/>
  <c r="J81" i="11" s="1"/>
  <c r="L77" i="11"/>
  <c r="I78" i="11"/>
  <c r="I79" i="11" s="1"/>
  <c r="L79" i="11"/>
  <c r="I76" i="11"/>
  <c r="I77" i="11" s="1"/>
  <c r="M80" i="11"/>
  <c r="M81" i="11" s="1"/>
  <c r="M78" i="11"/>
  <c r="M79" i="11" s="1"/>
  <c r="N80" i="11"/>
  <c r="N81" i="11" s="1"/>
  <c r="M76" i="11"/>
  <c r="M77" i="11" s="1"/>
  <c r="N78" i="11"/>
  <c r="N79" i="11" s="1"/>
  <c r="O80" i="11"/>
  <c r="O81" i="11" s="1"/>
  <c r="K56" i="10"/>
  <c r="K57" i="10" s="1"/>
  <c r="N53" i="10"/>
  <c r="N54" i="10" s="1"/>
  <c r="H57" i="10"/>
  <c r="I53" i="10"/>
  <c r="I54" i="10" s="1"/>
  <c r="N56" i="10"/>
  <c r="N57" i="10" s="1"/>
  <c r="J53" i="10"/>
  <c r="J54" i="10" s="1"/>
  <c r="K53" i="10"/>
  <c r="K54" i="10" s="1"/>
  <c r="M56" i="10"/>
  <c r="M57" i="10" s="1"/>
  <c r="M53" i="10"/>
  <c r="M54" i="10" s="1"/>
  <c r="O56" i="10"/>
  <c r="O57" i="10" s="1"/>
  <c r="O53" i="10"/>
  <c r="O54" i="10" s="1"/>
  <c r="I56" i="10"/>
  <c r="I57" i="10" s="1"/>
  <c r="D19" i="8" l="1"/>
  <c r="E8" i="8"/>
  <c r="E9" i="8" s="1"/>
  <c r="F8" i="8"/>
  <c r="F9" i="8" s="1"/>
  <c r="G8" i="8"/>
  <c r="G9" i="8" s="1"/>
  <c r="H8" i="8"/>
  <c r="L8" i="8"/>
  <c r="M8" i="8" s="1"/>
  <c r="M9" i="8" s="1"/>
  <c r="D9" i="8"/>
  <c r="L94" i="8"/>
  <c r="H94" i="8"/>
  <c r="H7" i="8"/>
  <c r="L7" i="8"/>
  <c r="H12" i="8"/>
  <c r="L12" i="8"/>
  <c r="E64" i="11"/>
  <c r="E65" i="11" s="1"/>
  <c r="F64" i="11"/>
  <c r="F65" i="11" s="1"/>
  <c r="G64" i="11"/>
  <c r="G65" i="11" s="1"/>
  <c r="H64" i="11"/>
  <c r="I64" i="11" s="1"/>
  <c r="I65" i="11" s="1"/>
  <c r="L64" i="11"/>
  <c r="O64" i="11" s="1"/>
  <c r="O65" i="11" s="1"/>
  <c r="D65" i="11"/>
  <c r="E66" i="11"/>
  <c r="E67" i="11" s="1"/>
  <c r="F66" i="11"/>
  <c r="F67" i="11" s="1"/>
  <c r="G66" i="11"/>
  <c r="G67" i="11" s="1"/>
  <c r="H66" i="11"/>
  <c r="J66" i="11" s="1"/>
  <c r="J67" i="11" s="1"/>
  <c r="L66" i="11"/>
  <c r="M66" i="11" s="1"/>
  <c r="M67" i="11" s="1"/>
  <c r="D67" i="11"/>
  <c r="H68" i="11"/>
  <c r="L68" i="11"/>
  <c r="E71" i="11"/>
  <c r="E72" i="11" s="1"/>
  <c r="F71" i="11"/>
  <c r="F72" i="11" s="1"/>
  <c r="G71" i="11"/>
  <c r="G72" i="11" s="1"/>
  <c r="H71" i="11"/>
  <c r="I71" i="11" s="1"/>
  <c r="I72" i="11" s="1"/>
  <c r="L71" i="11"/>
  <c r="M71" i="11" s="1"/>
  <c r="M72" i="11" s="1"/>
  <c r="D72" i="11"/>
  <c r="L63" i="11"/>
  <c r="H63" i="11"/>
  <c r="H114" i="4"/>
  <c r="L114" i="4"/>
  <c r="H115" i="4"/>
  <c r="L115" i="4"/>
  <c r="H64" i="4"/>
  <c r="L64" i="4"/>
  <c r="H65" i="4"/>
  <c r="L65" i="4"/>
  <c r="H66" i="4"/>
  <c r="L66" i="4"/>
  <c r="H67" i="4"/>
  <c r="L67" i="4"/>
  <c r="H68" i="4"/>
  <c r="L68" i="4"/>
  <c r="H69" i="4"/>
  <c r="L69" i="4"/>
  <c r="H70" i="4"/>
  <c r="L70" i="4"/>
  <c r="H71" i="4"/>
  <c r="L71" i="4"/>
  <c r="H72" i="4"/>
  <c r="L72" i="4"/>
  <c r="H73" i="4"/>
  <c r="L73" i="4"/>
  <c r="H74" i="4"/>
  <c r="L74" i="4"/>
  <c r="H75" i="4"/>
  <c r="L75" i="4"/>
  <c r="H76" i="4"/>
  <c r="L76" i="4"/>
  <c r="I8" i="8" l="1"/>
  <c r="I9" i="8" s="1"/>
  <c r="J8" i="8"/>
  <c r="J9" i="8" s="1"/>
  <c r="K8" i="8"/>
  <c r="K9" i="8" s="1"/>
  <c r="H9" i="8"/>
  <c r="H72" i="11"/>
  <c r="M64" i="11"/>
  <c r="M65" i="11" s="1"/>
  <c r="K71" i="11"/>
  <c r="K72" i="11" s="1"/>
  <c r="J71" i="11"/>
  <c r="J72" i="11" s="1"/>
  <c r="N66" i="11"/>
  <c r="N67" i="11" s="1"/>
  <c r="H65" i="11"/>
  <c r="O66" i="11"/>
  <c r="O67" i="11" s="1"/>
  <c r="N64" i="11"/>
  <c r="N65" i="11" s="1"/>
  <c r="L72" i="11"/>
  <c r="L65" i="11"/>
  <c r="O71" i="11"/>
  <c r="O72" i="11" s="1"/>
  <c r="N71" i="11"/>
  <c r="N72" i="11" s="1"/>
  <c r="H67" i="11"/>
  <c r="I66" i="11"/>
  <c r="I67" i="11" s="1"/>
  <c r="L67" i="11"/>
  <c r="O8" i="8"/>
  <c r="O9" i="8" s="1"/>
  <c r="L9" i="8"/>
  <c r="N8" i="8"/>
  <c r="N9" i="8" s="1"/>
  <c r="K64" i="11"/>
  <c r="K65" i="11" s="1"/>
  <c r="J64" i="11"/>
  <c r="J65" i="11" s="1"/>
  <c r="K66" i="11"/>
  <c r="K67" i="11" s="1"/>
  <c r="E10" i="4"/>
  <c r="E11" i="4" s="1"/>
  <c r="F10" i="4"/>
  <c r="F11" i="4" s="1"/>
  <c r="G10" i="4"/>
  <c r="G11" i="4" s="1"/>
  <c r="H10" i="4"/>
  <c r="I10" i="4" s="1"/>
  <c r="I11" i="4" s="1"/>
  <c r="L10" i="4"/>
  <c r="O10" i="4" s="1"/>
  <c r="O11" i="4" s="1"/>
  <c r="D11" i="4"/>
  <c r="L11" i="4" l="1"/>
  <c r="N10" i="4"/>
  <c r="N11" i="4" s="1"/>
  <c r="H11" i="4"/>
  <c r="M10" i="4"/>
  <c r="M11" i="4" s="1"/>
  <c r="K10" i="4"/>
  <c r="K11" i="4" s="1"/>
  <c r="J10" i="4"/>
  <c r="J11" i="4" s="1"/>
  <c r="L138" i="4"/>
  <c r="L139" i="4" s="1"/>
  <c r="H138" i="4"/>
  <c r="H139" i="4" s="1"/>
  <c r="L135" i="4"/>
  <c r="L136" i="4" s="1"/>
  <c r="H135" i="4"/>
  <c r="H136" i="4" s="1"/>
  <c r="L130" i="4"/>
  <c r="L131" i="4" s="1"/>
  <c r="H130" i="4"/>
  <c r="H131" i="4" s="1"/>
  <c r="L128" i="4"/>
  <c r="L129" i="4" s="1"/>
  <c r="H128" i="4"/>
  <c r="H129" i="4" s="1"/>
  <c r="L120" i="4"/>
  <c r="L121" i="4" s="1"/>
  <c r="H120" i="4"/>
  <c r="H121" i="4" s="1"/>
  <c r="L107" i="4"/>
  <c r="L108" i="4" s="1"/>
  <c r="H107" i="4"/>
  <c r="H108" i="4" s="1"/>
  <c r="L105" i="4"/>
  <c r="O105" i="4" s="1"/>
  <c r="O106" i="4" s="1"/>
  <c r="H105" i="4"/>
  <c r="H106" i="4" s="1"/>
  <c r="L100" i="4"/>
  <c r="L101" i="4" s="1"/>
  <c r="H100" i="4"/>
  <c r="H101" i="4" s="1"/>
  <c r="L98" i="4"/>
  <c r="L99" i="4" s="1"/>
  <c r="H98" i="4"/>
  <c r="H99" i="4" s="1"/>
  <c r="L89" i="4"/>
  <c r="I89" i="4"/>
  <c r="L80" i="4"/>
  <c r="L81" i="4" s="1"/>
  <c r="H80" i="4"/>
  <c r="I80" i="4" s="1"/>
  <c r="I81" i="4" s="1"/>
  <c r="L77" i="4"/>
  <c r="L78" i="4" s="1"/>
  <c r="H77" i="4"/>
  <c r="H78" i="4" s="1"/>
  <c r="L62" i="4"/>
  <c r="L63" i="4" s="1"/>
  <c r="H62" i="4"/>
  <c r="H63" i="4" s="1"/>
  <c r="L34" i="4"/>
  <c r="L35" i="4" s="1"/>
  <c r="H34" i="4"/>
  <c r="H35" i="4" s="1"/>
  <c r="L30" i="4"/>
  <c r="O30" i="4" s="1"/>
  <c r="O31" i="4" s="1"/>
  <c r="H30" i="4"/>
  <c r="H31" i="4" s="1"/>
  <c r="L28" i="4"/>
  <c r="L29" i="4" s="1"/>
  <c r="H28" i="4"/>
  <c r="H29" i="4" s="1"/>
  <c r="L26" i="4"/>
  <c r="L27" i="4" s="1"/>
  <c r="H26" i="4"/>
  <c r="H27" i="4" s="1"/>
  <c r="L20" i="4"/>
  <c r="L21" i="4" s="1"/>
  <c r="H20" i="4"/>
  <c r="H21" i="4" s="1"/>
  <c r="L15" i="4"/>
  <c r="L16" i="4" s="1"/>
  <c r="H15" i="4"/>
  <c r="H16" i="4" s="1"/>
  <c r="L13" i="4"/>
  <c r="L14" i="4" s="1"/>
  <c r="H13" i="4"/>
  <c r="H14" i="4" s="1"/>
  <c r="L8" i="4"/>
  <c r="L9" i="4" s="1"/>
  <c r="H8" i="4"/>
  <c r="H9" i="4" s="1"/>
  <c r="L155" i="8"/>
  <c r="L156" i="8" s="1"/>
  <c r="H155" i="8"/>
  <c r="H156" i="8" s="1"/>
  <c r="L152" i="8"/>
  <c r="L153" i="8" s="1"/>
  <c r="H152" i="8"/>
  <c r="J152" i="8" s="1"/>
  <c r="J153" i="8" s="1"/>
  <c r="L147" i="8"/>
  <c r="N147" i="8" s="1"/>
  <c r="N148" i="8" s="1"/>
  <c r="H147" i="8"/>
  <c r="H148" i="8" s="1"/>
  <c r="L145" i="8"/>
  <c r="L146" i="8" s="1"/>
  <c r="H145" i="8"/>
  <c r="I145" i="8" s="1"/>
  <c r="I146" i="8" s="1"/>
  <c r="L138" i="8"/>
  <c r="L139" i="8" s="1"/>
  <c r="H138" i="8"/>
  <c r="I138" i="8" s="1"/>
  <c r="I139" i="8" s="1"/>
  <c r="L125" i="8"/>
  <c r="L126" i="8" s="1"/>
  <c r="H125" i="8"/>
  <c r="J125" i="8" s="1"/>
  <c r="J126" i="8" s="1"/>
  <c r="L123" i="8"/>
  <c r="L124" i="8" s="1"/>
  <c r="H123" i="8"/>
  <c r="K123" i="8" s="1"/>
  <c r="K124" i="8" s="1"/>
  <c r="L117" i="8"/>
  <c r="L118" i="8" s="1"/>
  <c r="H117" i="8"/>
  <c r="H118" i="8" s="1"/>
  <c r="L115" i="8"/>
  <c r="M115" i="8" s="1"/>
  <c r="M116" i="8" s="1"/>
  <c r="H115" i="8"/>
  <c r="I115" i="8" s="1"/>
  <c r="I116" i="8" s="1"/>
  <c r="L105" i="8"/>
  <c r="L106" i="8" s="1"/>
  <c r="H105" i="8"/>
  <c r="I105" i="8" s="1"/>
  <c r="I106" i="8" s="1"/>
  <c r="L97" i="8"/>
  <c r="L98" i="8" s="1"/>
  <c r="H97" i="8"/>
  <c r="J97" i="8" s="1"/>
  <c r="J98" i="8" s="1"/>
  <c r="L92" i="8"/>
  <c r="L93" i="8" s="1"/>
  <c r="H92" i="8"/>
  <c r="J92" i="8" s="1"/>
  <c r="J93" i="8" s="1"/>
  <c r="L77" i="8"/>
  <c r="L78" i="8" s="1"/>
  <c r="H77" i="8"/>
  <c r="J77" i="8" s="1"/>
  <c r="J78" i="8" s="1"/>
  <c r="L75" i="8"/>
  <c r="L76" i="8" s="1"/>
  <c r="H75" i="8"/>
  <c r="I75" i="8" s="1"/>
  <c r="I76" i="8" s="1"/>
  <c r="L42" i="8"/>
  <c r="L43" i="8" s="1"/>
  <c r="H42" i="8"/>
  <c r="J42" i="8" s="1"/>
  <c r="J43" i="8" s="1"/>
  <c r="L40" i="8"/>
  <c r="L41" i="8" s="1"/>
  <c r="H40" i="8"/>
  <c r="J40" i="8" s="1"/>
  <c r="J41" i="8" s="1"/>
  <c r="L33" i="8"/>
  <c r="L34" i="8" s="1"/>
  <c r="H33" i="8"/>
  <c r="J33" i="8" s="1"/>
  <c r="J34" i="8" s="1"/>
  <c r="L29" i="8"/>
  <c r="L30" i="8" s="1"/>
  <c r="H29" i="8"/>
  <c r="J29" i="8" s="1"/>
  <c r="J30" i="8" s="1"/>
  <c r="L27" i="8"/>
  <c r="N27" i="8" s="1"/>
  <c r="N28" i="8" s="1"/>
  <c r="H27" i="8"/>
  <c r="H28" i="8" s="1"/>
  <c r="L25" i="8"/>
  <c r="L26" i="8" s="1"/>
  <c r="H25" i="8"/>
  <c r="H26" i="8" s="1"/>
  <c r="L23" i="8"/>
  <c r="L24" i="8" s="1"/>
  <c r="H23" i="8"/>
  <c r="H24" i="8" s="1"/>
  <c r="L21" i="8"/>
  <c r="N21" i="8" s="1"/>
  <c r="N22" i="8" s="1"/>
  <c r="H21" i="8"/>
  <c r="J21" i="8" s="1"/>
  <c r="J22" i="8" s="1"/>
  <c r="L18" i="8"/>
  <c r="L19" i="8" s="1"/>
  <c r="H18" i="8"/>
  <c r="H19" i="8" s="1"/>
  <c r="L13" i="8"/>
  <c r="N13" i="8" s="1"/>
  <c r="N14" i="8" s="1"/>
  <c r="H13" i="8"/>
  <c r="K13" i="8" s="1"/>
  <c r="K14" i="8" s="1"/>
  <c r="L10" i="8"/>
  <c r="L11" i="8" s="1"/>
  <c r="H10" i="8"/>
  <c r="I10" i="8" s="1"/>
  <c r="I11" i="8" s="1"/>
  <c r="L74" i="11"/>
  <c r="L75" i="11" s="1"/>
  <c r="H74" i="11"/>
  <c r="H75" i="11" s="1"/>
  <c r="L58" i="11"/>
  <c r="M58" i="11" s="1"/>
  <c r="M59" i="11" s="1"/>
  <c r="H58" i="11"/>
  <c r="K58" i="11" s="1"/>
  <c r="K59" i="11" s="1"/>
  <c r="L54" i="11"/>
  <c r="L55" i="11" s="1"/>
  <c r="H54" i="11"/>
  <c r="H55" i="11" s="1"/>
  <c r="L49" i="11"/>
  <c r="M49" i="11" s="1"/>
  <c r="M50" i="11" s="1"/>
  <c r="H49" i="11"/>
  <c r="K49" i="11" s="1"/>
  <c r="K50" i="11" s="1"/>
  <c r="L47" i="11"/>
  <c r="L48" i="11" s="1"/>
  <c r="H47" i="11"/>
  <c r="J47" i="11" s="1"/>
  <c r="J48" i="11" s="1"/>
  <c r="L37" i="11"/>
  <c r="L38" i="11" s="1"/>
  <c r="H37" i="11"/>
  <c r="K37" i="11" s="1"/>
  <c r="K38" i="11" s="1"/>
  <c r="L28" i="11"/>
  <c r="L29" i="11" s="1"/>
  <c r="H28" i="11"/>
  <c r="J28" i="11" s="1"/>
  <c r="J29" i="11" s="1"/>
  <c r="L25" i="11"/>
  <c r="L26" i="11" s="1"/>
  <c r="H25" i="11"/>
  <c r="K25" i="11" s="1"/>
  <c r="K26" i="11" s="1"/>
  <c r="L23" i="11"/>
  <c r="M23" i="11" s="1"/>
  <c r="M24" i="11" s="1"/>
  <c r="H23" i="11"/>
  <c r="I23" i="11" s="1"/>
  <c r="I24" i="11" s="1"/>
  <c r="L21" i="11"/>
  <c r="L22" i="11" s="1"/>
  <c r="H21" i="11"/>
  <c r="H22" i="11" s="1"/>
  <c r="L19" i="11"/>
  <c r="L20" i="11" s="1"/>
  <c r="H19" i="11"/>
  <c r="I19" i="11" s="1"/>
  <c r="I20" i="11" s="1"/>
  <c r="L14" i="11"/>
  <c r="O14" i="11" s="1"/>
  <c r="O15" i="11" s="1"/>
  <c r="H14" i="11"/>
  <c r="H15" i="11" s="1"/>
  <c r="L9" i="11"/>
  <c r="N9" i="11" s="1"/>
  <c r="N10" i="11" s="1"/>
  <c r="H9" i="11"/>
  <c r="H10" i="11" s="1"/>
  <c r="L7" i="11"/>
  <c r="L8" i="11" s="1"/>
  <c r="H7" i="11"/>
  <c r="K7" i="11" s="1"/>
  <c r="K8" i="11" s="1"/>
  <c r="H11" i="11"/>
  <c r="L51" i="10"/>
  <c r="M51" i="10" s="1"/>
  <c r="M52" i="10" s="1"/>
  <c r="H51" i="10"/>
  <c r="H52" i="10" s="1"/>
  <c r="L49" i="10"/>
  <c r="L50" i="10" s="1"/>
  <c r="H49" i="10"/>
  <c r="H50" i="10" s="1"/>
  <c r="L47" i="10"/>
  <c r="L48" i="10" s="1"/>
  <c r="H47" i="10"/>
  <c r="I47" i="10" s="1"/>
  <c r="I48" i="10" s="1"/>
  <c r="L37" i="10"/>
  <c r="O37" i="10" s="1"/>
  <c r="O38" i="10" s="1"/>
  <c r="H37" i="10"/>
  <c r="H38" i="10" s="1"/>
  <c r="L32" i="10"/>
  <c r="O32" i="10" s="1"/>
  <c r="O33" i="10" s="1"/>
  <c r="H32" i="10"/>
  <c r="K32" i="10" s="1"/>
  <c r="K33" i="10" s="1"/>
  <c r="L30" i="10"/>
  <c r="N30" i="10" s="1"/>
  <c r="N31" i="10" s="1"/>
  <c r="H30" i="10"/>
  <c r="H31" i="10" s="1"/>
  <c r="L17" i="10"/>
  <c r="N17" i="10" s="1"/>
  <c r="N18" i="10" s="1"/>
  <c r="H17" i="10"/>
  <c r="H18" i="10" s="1"/>
  <c r="L15" i="10"/>
  <c r="N15" i="10" s="1"/>
  <c r="N16" i="10" s="1"/>
  <c r="H15" i="10"/>
  <c r="H16" i="10" s="1"/>
  <c r="L13" i="10"/>
  <c r="L14" i="10" s="1"/>
  <c r="H13" i="10"/>
  <c r="H14" i="10" s="1"/>
  <c r="L11" i="10"/>
  <c r="N11" i="10" s="1"/>
  <c r="N12" i="10" s="1"/>
  <c r="H11" i="10"/>
  <c r="H12" i="10" s="1"/>
  <c r="L9" i="10"/>
  <c r="L10" i="10" s="1"/>
  <c r="H9" i="10"/>
  <c r="H10" i="10" s="1"/>
  <c r="L148" i="8" l="1"/>
  <c r="J147" i="8"/>
  <c r="J148" i="8" s="1"/>
  <c r="K147" i="8"/>
  <c r="K148" i="8" s="1"/>
  <c r="N18" i="8"/>
  <c r="N19" i="8" s="1"/>
  <c r="O18" i="8"/>
  <c r="O19" i="8" s="1"/>
  <c r="L15" i="11"/>
  <c r="L31" i="4"/>
  <c r="N20" i="4"/>
  <c r="N21" i="4" s="1"/>
  <c r="K30" i="4"/>
  <c r="K31" i="4" s="1"/>
  <c r="L106" i="4"/>
  <c r="J135" i="4"/>
  <c r="J136" i="4" s="1"/>
  <c r="J138" i="4"/>
  <c r="J139" i="4" s="1"/>
  <c r="J105" i="4"/>
  <c r="J106" i="4" s="1"/>
  <c r="N130" i="4"/>
  <c r="N131" i="4" s="1"/>
  <c r="N120" i="4"/>
  <c r="N121" i="4" s="1"/>
  <c r="I135" i="4"/>
  <c r="I136" i="4" s="1"/>
  <c r="I138" i="4"/>
  <c r="I139" i="4" s="1"/>
  <c r="K135" i="4"/>
  <c r="K136" i="4" s="1"/>
  <c r="K138" i="4"/>
  <c r="K139" i="4" s="1"/>
  <c r="M135" i="4"/>
  <c r="M136" i="4" s="1"/>
  <c r="M138" i="4"/>
  <c r="M139" i="4" s="1"/>
  <c r="N135" i="4"/>
  <c r="N136" i="4" s="1"/>
  <c r="N138" i="4"/>
  <c r="N139" i="4" s="1"/>
  <c r="O135" i="4"/>
  <c r="O136" i="4" s="1"/>
  <c r="O138" i="4"/>
  <c r="O139" i="4" s="1"/>
  <c r="I130" i="4"/>
  <c r="I131" i="4" s="1"/>
  <c r="J130" i="4"/>
  <c r="J131" i="4" s="1"/>
  <c r="K130" i="4"/>
  <c r="K131" i="4" s="1"/>
  <c r="M130" i="4"/>
  <c r="M131" i="4" s="1"/>
  <c r="O130" i="4"/>
  <c r="O131" i="4" s="1"/>
  <c r="I128" i="4"/>
  <c r="I129" i="4" s="1"/>
  <c r="J128" i="4"/>
  <c r="J129" i="4" s="1"/>
  <c r="K128" i="4"/>
  <c r="K129" i="4" s="1"/>
  <c r="M128" i="4"/>
  <c r="M129" i="4" s="1"/>
  <c r="N128" i="4"/>
  <c r="N129" i="4" s="1"/>
  <c r="O128" i="4"/>
  <c r="O129" i="4" s="1"/>
  <c r="I120" i="4"/>
  <c r="I121" i="4" s="1"/>
  <c r="J120" i="4"/>
  <c r="J121" i="4" s="1"/>
  <c r="K120" i="4"/>
  <c r="K121" i="4" s="1"/>
  <c r="M120" i="4"/>
  <c r="M121" i="4" s="1"/>
  <c r="O120" i="4"/>
  <c r="O121" i="4" s="1"/>
  <c r="I107" i="4"/>
  <c r="I108" i="4" s="1"/>
  <c r="J107" i="4"/>
  <c r="J108" i="4" s="1"/>
  <c r="K107" i="4"/>
  <c r="K108" i="4" s="1"/>
  <c r="M107" i="4"/>
  <c r="M108" i="4" s="1"/>
  <c r="N107" i="4"/>
  <c r="N108" i="4" s="1"/>
  <c r="O107" i="4"/>
  <c r="O108" i="4" s="1"/>
  <c r="I105" i="4"/>
  <c r="I106" i="4" s="1"/>
  <c r="M105" i="4"/>
  <c r="M106" i="4" s="1"/>
  <c r="K105" i="4"/>
  <c r="K106" i="4" s="1"/>
  <c r="N105" i="4"/>
  <c r="N106" i="4" s="1"/>
  <c r="I98" i="4"/>
  <c r="I99" i="4" s="1"/>
  <c r="I100" i="4"/>
  <c r="I101" i="4" s="1"/>
  <c r="J98" i="4"/>
  <c r="J99" i="4" s="1"/>
  <c r="J100" i="4"/>
  <c r="J101" i="4" s="1"/>
  <c r="K98" i="4"/>
  <c r="K99" i="4" s="1"/>
  <c r="K100" i="4"/>
  <c r="K101" i="4" s="1"/>
  <c r="M98" i="4"/>
  <c r="M99" i="4" s="1"/>
  <c r="M100" i="4"/>
  <c r="M101" i="4" s="1"/>
  <c r="N98" i="4"/>
  <c r="N99" i="4" s="1"/>
  <c r="N100" i="4"/>
  <c r="N101" i="4" s="1"/>
  <c r="O98" i="4"/>
  <c r="O99" i="4" s="1"/>
  <c r="O100" i="4"/>
  <c r="O101" i="4" s="1"/>
  <c r="M89" i="4"/>
  <c r="N89" i="4"/>
  <c r="K89" i="4"/>
  <c r="O89" i="4"/>
  <c r="J89" i="4"/>
  <c r="H89" i="4"/>
  <c r="J80" i="4"/>
  <c r="J81" i="4" s="1"/>
  <c r="K80" i="4"/>
  <c r="K81" i="4" s="1"/>
  <c r="M80" i="4"/>
  <c r="M81" i="4" s="1"/>
  <c r="N80" i="4"/>
  <c r="N81" i="4" s="1"/>
  <c r="O80" i="4"/>
  <c r="O81" i="4" s="1"/>
  <c r="H81" i="4"/>
  <c r="I77" i="4"/>
  <c r="I78" i="4" s="1"/>
  <c r="J77" i="4"/>
  <c r="J78" i="4" s="1"/>
  <c r="K77" i="4"/>
  <c r="K78" i="4" s="1"/>
  <c r="M77" i="4"/>
  <c r="M78" i="4" s="1"/>
  <c r="N77" i="4"/>
  <c r="N78" i="4" s="1"/>
  <c r="O77" i="4"/>
  <c r="O78" i="4" s="1"/>
  <c r="I62" i="4"/>
  <c r="I63" i="4" s="1"/>
  <c r="J62" i="4"/>
  <c r="J63" i="4" s="1"/>
  <c r="K62" i="4"/>
  <c r="K63" i="4" s="1"/>
  <c r="M62" i="4"/>
  <c r="M63" i="4" s="1"/>
  <c r="N62" i="4"/>
  <c r="N63" i="4" s="1"/>
  <c r="O62" i="4"/>
  <c r="O63" i="4" s="1"/>
  <c r="I34" i="4"/>
  <c r="I35" i="4" s="1"/>
  <c r="J34" i="4"/>
  <c r="J35" i="4" s="1"/>
  <c r="K34" i="4"/>
  <c r="K35" i="4" s="1"/>
  <c r="M34" i="4"/>
  <c r="M35" i="4" s="1"/>
  <c r="N34" i="4"/>
  <c r="N35" i="4" s="1"/>
  <c r="O34" i="4"/>
  <c r="O35" i="4" s="1"/>
  <c r="I30" i="4"/>
  <c r="I31" i="4" s="1"/>
  <c r="J30" i="4"/>
  <c r="J31" i="4" s="1"/>
  <c r="M30" i="4"/>
  <c r="M31" i="4" s="1"/>
  <c r="N30" i="4"/>
  <c r="N31" i="4" s="1"/>
  <c r="I28" i="4"/>
  <c r="I29" i="4" s="1"/>
  <c r="J28" i="4"/>
  <c r="J29" i="4" s="1"/>
  <c r="K28" i="4"/>
  <c r="K29" i="4" s="1"/>
  <c r="M28" i="4"/>
  <c r="M29" i="4" s="1"/>
  <c r="N28" i="4"/>
  <c r="N29" i="4" s="1"/>
  <c r="O28" i="4"/>
  <c r="O29" i="4" s="1"/>
  <c r="M26" i="4"/>
  <c r="M27" i="4" s="1"/>
  <c r="I26" i="4"/>
  <c r="I27" i="4" s="1"/>
  <c r="N26" i="4"/>
  <c r="N27" i="4" s="1"/>
  <c r="K26" i="4"/>
  <c r="K27" i="4" s="1"/>
  <c r="O26" i="4"/>
  <c r="O27" i="4" s="1"/>
  <c r="J26" i="4"/>
  <c r="J27" i="4" s="1"/>
  <c r="I20" i="4"/>
  <c r="I21" i="4" s="1"/>
  <c r="J20" i="4"/>
  <c r="J21" i="4" s="1"/>
  <c r="K20" i="4"/>
  <c r="K21" i="4" s="1"/>
  <c r="M20" i="4"/>
  <c r="M21" i="4" s="1"/>
  <c r="O20" i="4"/>
  <c r="O21" i="4" s="1"/>
  <c r="I15" i="4"/>
  <c r="I16" i="4" s="1"/>
  <c r="J15" i="4"/>
  <c r="J16" i="4" s="1"/>
  <c r="K15" i="4"/>
  <c r="K16" i="4" s="1"/>
  <c r="M15" i="4"/>
  <c r="M16" i="4" s="1"/>
  <c r="N15" i="4"/>
  <c r="N16" i="4" s="1"/>
  <c r="O15" i="4"/>
  <c r="O16" i="4" s="1"/>
  <c r="I13" i="4"/>
  <c r="I14" i="4" s="1"/>
  <c r="J13" i="4"/>
  <c r="J14" i="4" s="1"/>
  <c r="K13" i="4"/>
  <c r="K14" i="4" s="1"/>
  <c r="M13" i="4"/>
  <c r="M14" i="4" s="1"/>
  <c r="N13" i="4"/>
  <c r="N14" i="4" s="1"/>
  <c r="O13" i="4"/>
  <c r="O14" i="4" s="1"/>
  <c r="I8" i="4"/>
  <c r="I9" i="4" s="1"/>
  <c r="J8" i="4"/>
  <c r="J9" i="4" s="1"/>
  <c r="K8" i="4"/>
  <c r="K9" i="4" s="1"/>
  <c r="M8" i="4"/>
  <c r="M9" i="4" s="1"/>
  <c r="N8" i="4"/>
  <c r="N9" i="4" s="1"/>
  <c r="O8" i="4"/>
  <c r="O9" i="4" s="1"/>
  <c r="I155" i="8"/>
  <c r="I156" i="8" s="1"/>
  <c r="J155" i="8"/>
  <c r="J156" i="8" s="1"/>
  <c r="K155" i="8"/>
  <c r="K156" i="8" s="1"/>
  <c r="M155" i="8"/>
  <c r="M156" i="8" s="1"/>
  <c r="N155" i="8"/>
  <c r="N156" i="8" s="1"/>
  <c r="O155" i="8"/>
  <c r="O156" i="8" s="1"/>
  <c r="I152" i="8"/>
  <c r="I153" i="8" s="1"/>
  <c r="M152" i="8"/>
  <c r="M153" i="8" s="1"/>
  <c r="N152" i="8"/>
  <c r="N153" i="8" s="1"/>
  <c r="K152" i="8"/>
  <c r="K153" i="8" s="1"/>
  <c r="O152" i="8"/>
  <c r="O153" i="8" s="1"/>
  <c r="H153" i="8"/>
  <c r="I147" i="8"/>
  <c r="I148" i="8" s="1"/>
  <c r="M147" i="8"/>
  <c r="M148" i="8" s="1"/>
  <c r="O147" i="8"/>
  <c r="O148" i="8" s="1"/>
  <c r="M145" i="8"/>
  <c r="M146" i="8" s="1"/>
  <c r="N145" i="8"/>
  <c r="N146" i="8" s="1"/>
  <c r="J145" i="8"/>
  <c r="J146" i="8" s="1"/>
  <c r="O145" i="8"/>
  <c r="O146" i="8" s="1"/>
  <c r="K145" i="8"/>
  <c r="K146" i="8" s="1"/>
  <c r="H146" i="8"/>
  <c r="J138" i="8"/>
  <c r="J139" i="8" s="1"/>
  <c r="K138" i="8"/>
  <c r="K139" i="8" s="1"/>
  <c r="M138" i="8"/>
  <c r="M139" i="8" s="1"/>
  <c r="N138" i="8"/>
  <c r="N139" i="8" s="1"/>
  <c r="O138" i="8"/>
  <c r="O139" i="8" s="1"/>
  <c r="H139" i="8"/>
  <c r="K125" i="8"/>
  <c r="K126" i="8" s="1"/>
  <c r="M125" i="8"/>
  <c r="M126" i="8" s="1"/>
  <c r="I125" i="8"/>
  <c r="I126" i="8" s="1"/>
  <c r="N125" i="8"/>
  <c r="N126" i="8" s="1"/>
  <c r="O125" i="8"/>
  <c r="O126" i="8" s="1"/>
  <c r="H126" i="8"/>
  <c r="N123" i="8"/>
  <c r="N124" i="8" s="1"/>
  <c r="I123" i="8"/>
  <c r="I124" i="8" s="1"/>
  <c r="O123" i="8"/>
  <c r="O124" i="8" s="1"/>
  <c r="J123" i="8"/>
  <c r="J124" i="8" s="1"/>
  <c r="H124" i="8"/>
  <c r="M123" i="8"/>
  <c r="M124" i="8" s="1"/>
  <c r="I117" i="8"/>
  <c r="I118" i="8" s="1"/>
  <c r="J117" i="8"/>
  <c r="J118" i="8" s="1"/>
  <c r="K117" i="8"/>
  <c r="K118" i="8" s="1"/>
  <c r="M117" i="8"/>
  <c r="M118" i="8" s="1"/>
  <c r="N117" i="8"/>
  <c r="N118" i="8" s="1"/>
  <c r="O117" i="8"/>
  <c r="O118" i="8" s="1"/>
  <c r="J115" i="8"/>
  <c r="J116" i="8" s="1"/>
  <c r="N115" i="8"/>
  <c r="N116" i="8" s="1"/>
  <c r="O115" i="8"/>
  <c r="O116" i="8" s="1"/>
  <c r="H116" i="8"/>
  <c r="K115" i="8"/>
  <c r="K116" i="8" s="1"/>
  <c r="L116" i="8"/>
  <c r="J105" i="8"/>
  <c r="J106" i="8" s="1"/>
  <c r="K105" i="8"/>
  <c r="K106" i="8" s="1"/>
  <c r="M105" i="8"/>
  <c r="M106" i="8" s="1"/>
  <c r="N105" i="8"/>
  <c r="N106" i="8" s="1"/>
  <c r="O105" i="8"/>
  <c r="O106" i="8" s="1"/>
  <c r="H106" i="8"/>
  <c r="I97" i="8"/>
  <c r="I98" i="8" s="1"/>
  <c r="M97" i="8"/>
  <c r="M98" i="8" s="1"/>
  <c r="N97" i="8"/>
  <c r="N98" i="8" s="1"/>
  <c r="O97" i="8"/>
  <c r="O98" i="8" s="1"/>
  <c r="K97" i="8"/>
  <c r="K98" i="8" s="1"/>
  <c r="H98" i="8"/>
  <c r="I92" i="8"/>
  <c r="I93" i="8" s="1"/>
  <c r="K92" i="8"/>
  <c r="K93" i="8" s="1"/>
  <c r="M92" i="8"/>
  <c r="M93" i="8" s="1"/>
  <c r="N92" i="8"/>
  <c r="N93" i="8" s="1"/>
  <c r="O92" i="8"/>
  <c r="O93" i="8" s="1"/>
  <c r="H93" i="8"/>
  <c r="K77" i="8"/>
  <c r="K78" i="8" s="1"/>
  <c r="M77" i="8"/>
  <c r="M78" i="8" s="1"/>
  <c r="N77" i="8"/>
  <c r="N78" i="8" s="1"/>
  <c r="I77" i="8"/>
  <c r="I78" i="8" s="1"/>
  <c r="O77" i="8"/>
  <c r="O78" i="8" s="1"/>
  <c r="H78" i="8"/>
  <c r="J75" i="8"/>
  <c r="J76" i="8" s="1"/>
  <c r="K75" i="8"/>
  <c r="K76" i="8" s="1"/>
  <c r="M75" i="8"/>
  <c r="M76" i="8" s="1"/>
  <c r="N75" i="8"/>
  <c r="N76" i="8" s="1"/>
  <c r="O75" i="8"/>
  <c r="O76" i="8" s="1"/>
  <c r="H76" i="8"/>
  <c r="M40" i="8"/>
  <c r="M41" i="8" s="1"/>
  <c r="M42" i="8"/>
  <c r="M43" i="8" s="1"/>
  <c r="I42" i="8"/>
  <c r="I43" i="8" s="1"/>
  <c r="K40" i="8"/>
  <c r="K41" i="8" s="1"/>
  <c r="N40" i="8"/>
  <c r="N41" i="8" s="1"/>
  <c r="N42" i="8"/>
  <c r="N43" i="8" s="1"/>
  <c r="O40" i="8"/>
  <c r="O41" i="8" s="1"/>
  <c r="O42" i="8"/>
  <c r="O43" i="8" s="1"/>
  <c r="H41" i="8"/>
  <c r="H43" i="8"/>
  <c r="I40" i="8"/>
  <c r="I41" i="8" s="1"/>
  <c r="K42" i="8"/>
  <c r="K43" i="8" s="1"/>
  <c r="H34" i="8"/>
  <c r="N33" i="8"/>
  <c r="N34" i="8" s="1"/>
  <c r="I33" i="8"/>
  <c r="I34" i="8" s="1"/>
  <c r="M33" i="8"/>
  <c r="M34" i="8" s="1"/>
  <c r="O33" i="8"/>
  <c r="O34" i="8" s="1"/>
  <c r="K33" i="8"/>
  <c r="K34" i="8" s="1"/>
  <c r="M29" i="8"/>
  <c r="M30" i="8" s="1"/>
  <c r="N29" i="8"/>
  <c r="N30" i="8" s="1"/>
  <c r="K29" i="8"/>
  <c r="K30" i="8" s="1"/>
  <c r="O29" i="8"/>
  <c r="O30" i="8" s="1"/>
  <c r="I29" i="8"/>
  <c r="I30" i="8" s="1"/>
  <c r="H30" i="8"/>
  <c r="J27" i="8"/>
  <c r="J28" i="8" s="1"/>
  <c r="K27" i="8"/>
  <c r="K28" i="8" s="1"/>
  <c r="M27" i="8"/>
  <c r="M28" i="8" s="1"/>
  <c r="I27" i="8"/>
  <c r="I28" i="8" s="1"/>
  <c r="O27" i="8"/>
  <c r="O28" i="8" s="1"/>
  <c r="L28" i="8"/>
  <c r="J25" i="8"/>
  <c r="J26" i="8" s="1"/>
  <c r="M25" i="8"/>
  <c r="M26" i="8" s="1"/>
  <c r="N25" i="8"/>
  <c r="N26" i="8" s="1"/>
  <c r="I25" i="8"/>
  <c r="I26" i="8" s="1"/>
  <c r="K25" i="8"/>
  <c r="K26" i="8" s="1"/>
  <c r="O25" i="8"/>
  <c r="O26" i="8" s="1"/>
  <c r="I23" i="8"/>
  <c r="I24" i="8" s="1"/>
  <c r="J23" i="8"/>
  <c r="J24" i="8" s="1"/>
  <c r="K23" i="8"/>
  <c r="K24" i="8" s="1"/>
  <c r="M23" i="8"/>
  <c r="M24" i="8" s="1"/>
  <c r="N23" i="8"/>
  <c r="N24" i="8" s="1"/>
  <c r="O23" i="8"/>
  <c r="O24" i="8" s="1"/>
  <c r="K21" i="8"/>
  <c r="K22" i="8" s="1"/>
  <c r="M21" i="8"/>
  <c r="M22" i="8" s="1"/>
  <c r="I21" i="8"/>
  <c r="I22" i="8" s="1"/>
  <c r="O21" i="8"/>
  <c r="O22" i="8" s="1"/>
  <c r="H22" i="8"/>
  <c r="L22" i="8"/>
  <c r="I18" i="8"/>
  <c r="I19" i="8" s="1"/>
  <c r="J18" i="8"/>
  <c r="J19" i="8" s="1"/>
  <c r="K18" i="8"/>
  <c r="K19" i="8" s="1"/>
  <c r="M18" i="8"/>
  <c r="M19" i="8" s="1"/>
  <c r="I13" i="8"/>
  <c r="I14" i="8" s="1"/>
  <c r="M13" i="8"/>
  <c r="M14" i="8" s="1"/>
  <c r="H14" i="8"/>
  <c r="J13" i="8"/>
  <c r="J14" i="8" s="1"/>
  <c r="O13" i="8"/>
  <c r="O14" i="8" s="1"/>
  <c r="L14" i="8"/>
  <c r="J10" i="8"/>
  <c r="J11" i="8" s="1"/>
  <c r="K10" i="8"/>
  <c r="K11" i="8" s="1"/>
  <c r="M10" i="8"/>
  <c r="M11" i="8" s="1"/>
  <c r="O10" i="8"/>
  <c r="O11" i="8" s="1"/>
  <c r="H11" i="8"/>
  <c r="N10" i="8"/>
  <c r="N11" i="8" s="1"/>
  <c r="I74" i="11"/>
  <c r="I75" i="11" s="1"/>
  <c r="K74" i="11"/>
  <c r="K75" i="11" s="1"/>
  <c r="M74" i="11"/>
  <c r="M75" i="11" s="1"/>
  <c r="N74" i="11"/>
  <c r="N75" i="11" s="1"/>
  <c r="J74" i="11"/>
  <c r="J75" i="11" s="1"/>
  <c r="O74" i="11"/>
  <c r="O75" i="11" s="1"/>
  <c r="J58" i="11"/>
  <c r="J59" i="11" s="1"/>
  <c r="N58" i="11"/>
  <c r="N59" i="11" s="1"/>
  <c r="O58" i="11"/>
  <c r="O59" i="11" s="1"/>
  <c r="H59" i="11"/>
  <c r="I58" i="11"/>
  <c r="I59" i="11" s="1"/>
  <c r="L59" i="11"/>
  <c r="I54" i="11"/>
  <c r="I55" i="11" s="1"/>
  <c r="J54" i="11"/>
  <c r="J55" i="11" s="1"/>
  <c r="K54" i="11"/>
  <c r="K55" i="11" s="1"/>
  <c r="M54" i="11"/>
  <c r="M55" i="11" s="1"/>
  <c r="N54" i="11"/>
  <c r="N55" i="11" s="1"/>
  <c r="O54" i="11"/>
  <c r="O55" i="11" s="1"/>
  <c r="I49" i="11"/>
  <c r="I50" i="11" s="1"/>
  <c r="I47" i="11"/>
  <c r="I48" i="11" s="1"/>
  <c r="K47" i="11"/>
  <c r="K48" i="11" s="1"/>
  <c r="O49" i="11"/>
  <c r="O50" i="11" s="1"/>
  <c r="H48" i="11"/>
  <c r="H50" i="11"/>
  <c r="O47" i="11"/>
  <c r="O48" i="11" s="1"/>
  <c r="N47" i="11"/>
  <c r="N48" i="11" s="1"/>
  <c r="N49" i="11"/>
  <c r="N50" i="11" s="1"/>
  <c r="M47" i="11"/>
  <c r="M48" i="11" s="1"/>
  <c r="L50" i="11"/>
  <c r="J49" i="11"/>
  <c r="J50" i="11" s="1"/>
  <c r="I37" i="11"/>
  <c r="I38" i="11" s="1"/>
  <c r="M37" i="11"/>
  <c r="M38" i="11" s="1"/>
  <c r="N37" i="11"/>
  <c r="N38" i="11" s="1"/>
  <c r="O37" i="11"/>
  <c r="O38" i="11" s="1"/>
  <c r="J37" i="11"/>
  <c r="J38" i="11" s="1"/>
  <c r="H38" i="11"/>
  <c r="I28" i="11"/>
  <c r="I29" i="11" s="1"/>
  <c r="O28" i="11"/>
  <c r="O29" i="11" s="1"/>
  <c r="K28" i="11"/>
  <c r="K29" i="11" s="1"/>
  <c r="N28" i="11"/>
  <c r="N29" i="11" s="1"/>
  <c r="H29" i="11"/>
  <c r="M28" i="11"/>
  <c r="M29" i="11" s="1"/>
  <c r="J25" i="11"/>
  <c r="J26" i="11" s="1"/>
  <c r="M25" i="11"/>
  <c r="M26" i="11" s="1"/>
  <c r="O25" i="11"/>
  <c r="O26" i="11" s="1"/>
  <c r="H26" i="11"/>
  <c r="N25" i="11"/>
  <c r="N26" i="11" s="1"/>
  <c r="I25" i="11"/>
  <c r="I26" i="11" s="1"/>
  <c r="J23" i="11"/>
  <c r="J24" i="11" s="1"/>
  <c r="K23" i="11"/>
  <c r="K24" i="11" s="1"/>
  <c r="O23" i="11"/>
  <c r="O24" i="11" s="1"/>
  <c r="H24" i="11"/>
  <c r="L24" i="11"/>
  <c r="N23" i="11"/>
  <c r="N24" i="11" s="1"/>
  <c r="M21" i="11"/>
  <c r="M22" i="11" s="1"/>
  <c r="I21" i="11"/>
  <c r="I22" i="11" s="1"/>
  <c r="J21" i="11"/>
  <c r="J22" i="11" s="1"/>
  <c r="K21" i="11"/>
  <c r="K22" i="11" s="1"/>
  <c r="O21" i="11"/>
  <c r="O22" i="11" s="1"/>
  <c r="N21" i="11"/>
  <c r="N22" i="11" s="1"/>
  <c r="M19" i="11"/>
  <c r="M20" i="11" s="1"/>
  <c r="H20" i="11"/>
  <c r="J19" i="11"/>
  <c r="J20" i="11" s="1"/>
  <c r="K19" i="11"/>
  <c r="K20" i="11" s="1"/>
  <c r="N19" i="11"/>
  <c r="N20" i="11" s="1"/>
  <c r="O19" i="11"/>
  <c r="O20" i="11" s="1"/>
  <c r="I14" i="11"/>
  <c r="I15" i="11" s="1"/>
  <c r="M14" i="11"/>
  <c r="M15" i="11" s="1"/>
  <c r="J14" i="11"/>
  <c r="J15" i="11" s="1"/>
  <c r="K14" i="11"/>
  <c r="K15" i="11" s="1"/>
  <c r="N14" i="11"/>
  <c r="N15" i="11" s="1"/>
  <c r="J9" i="11"/>
  <c r="J10" i="11" s="1"/>
  <c r="K9" i="11"/>
  <c r="K10" i="11" s="1"/>
  <c r="I9" i="11"/>
  <c r="I10" i="11" s="1"/>
  <c r="M9" i="11"/>
  <c r="M10" i="11" s="1"/>
  <c r="O9" i="11"/>
  <c r="O10" i="11" s="1"/>
  <c r="L10" i="11"/>
  <c r="N7" i="11"/>
  <c r="N8" i="11" s="1"/>
  <c r="J7" i="11"/>
  <c r="J8" i="11" s="1"/>
  <c r="O7" i="11"/>
  <c r="O8" i="11" s="1"/>
  <c r="H8" i="11"/>
  <c r="I7" i="11"/>
  <c r="I8" i="11" s="1"/>
  <c r="M7" i="11"/>
  <c r="M8" i="11" s="1"/>
  <c r="N51" i="10"/>
  <c r="N52" i="10" s="1"/>
  <c r="L52" i="10"/>
  <c r="I51" i="10"/>
  <c r="I52" i="10" s="1"/>
  <c r="K51" i="10"/>
  <c r="K52" i="10" s="1"/>
  <c r="O51" i="10"/>
  <c r="O52" i="10" s="1"/>
  <c r="J51" i="10"/>
  <c r="J52" i="10" s="1"/>
  <c r="K49" i="10"/>
  <c r="K50" i="10" s="1"/>
  <c r="I49" i="10"/>
  <c r="I50" i="10" s="1"/>
  <c r="J49" i="10"/>
  <c r="J50" i="10" s="1"/>
  <c r="M49" i="10"/>
  <c r="M50" i="10" s="1"/>
  <c r="O49" i="10"/>
  <c r="O50" i="10" s="1"/>
  <c r="N49" i="10"/>
  <c r="N50" i="10" s="1"/>
  <c r="J47" i="10"/>
  <c r="J48" i="10" s="1"/>
  <c r="K47" i="10"/>
  <c r="K48" i="10" s="1"/>
  <c r="M47" i="10"/>
  <c r="M48" i="10" s="1"/>
  <c r="H48" i="10"/>
  <c r="O47" i="10"/>
  <c r="O48" i="10" s="1"/>
  <c r="N47" i="10"/>
  <c r="N48" i="10" s="1"/>
  <c r="J37" i="10"/>
  <c r="J38" i="10" s="1"/>
  <c r="I37" i="10"/>
  <c r="I38" i="10" s="1"/>
  <c r="K37" i="10"/>
  <c r="K38" i="10" s="1"/>
  <c r="N37" i="10"/>
  <c r="N38" i="10" s="1"/>
  <c r="L38" i="10"/>
  <c r="M37" i="10"/>
  <c r="M38" i="10" s="1"/>
  <c r="J32" i="10"/>
  <c r="J33" i="10" s="1"/>
  <c r="H33" i="10"/>
  <c r="M32" i="10"/>
  <c r="M33" i="10" s="1"/>
  <c r="N32" i="10"/>
  <c r="N33" i="10" s="1"/>
  <c r="L33" i="10"/>
  <c r="I32" i="10"/>
  <c r="I33" i="10" s="1"/>
  <c r="J30" i="10"/>
  <c r="J31" i="10" s="1"/>
  <c r="K30" i="10"/>
  <c r="K31" i="10" s="1"/>
  <c r="M30" i="10"/>
  <c r="M31" i="10" s="1"/>
  <c r="O30" i="10"/>
  <c r="O31" i="10" s="1"/>
  <c r="L31" i="10"/>
  <c r="I30" i="10"/>
  <c r="I31" i="10" s="1"/>
  <c r="M17" i="10"/>
  <c r="M18" i="10" s="1"/>
  <c r="O17" i="10"/>
  <c r="O18" i="10" s="1"/>
  <c r="L18" i="10"/>
  <c r="I17" i="10"/>
  <c r="I18" i="10" s="1"/>
  <c r="J17" i="10"/>
  <c r="J18" i="10" s="1"/>
  <c r="K17" i="10"/>
  <c r="K18" i="10" s="1"/>
  <c r="I15" i="10"/>
  <c r="I16" i="10" s="1"/>
  <c r="O15" i="10"/>
  <c r="O16" i="10" s="1"/>
  <c r="K15" i="10"/>
  <c r="K16" i="10" s="1"/>
  <c r="J15" i="10"/>
  <c r="J16" i="10" s="1"/>
  <c r="M15" i="10"/>
  <c r="M16" i="10" s="1"/>
  <c r="L16" i="10"/>
  <c r="I13" i="10"/>
  <c r="I14" i="10" s="1"/>
  <c r="J13" i="10"/>
  <c r="J14" i="10" s="1"/>
  <c r="K13" i="10"/>
  <c r="K14" i="10" s="1"/>
  <c r="M13" i="10"/>
  <c r="M14" i="10" s="1"/>
  <c r="N13" i="10"/>
  <c r="N14" i="10" s="1"/>
  <c r="O13" i="10"/>
  <c r="O14" i="10" s="1"/>
  <c r="M11" i="10"/>
  <c r="M12" i="10" s="1"/>
  <c r="O11" i="10"/>
  <c r="O12" i="10" s="1"/>
  <c r="L12" i="10"/>
  <c r="I11" i="10"/>
  <c r="I12" i="10" s="1"/>
  <c r="J11" i="10"/>
  <c r="J12" i="10" s="1"/>
  <c r="K11" i="10"/>
  <c r="K12" i="10" s="1"/>
  <c r="I9" i="10"/>
  <c r="I10" i="10" s="1"/>
  <c r="J9" i="10"/>
  <c r="J10" i="10" s="1"/>
  <c r="K9" i="10"/>
  <c r="K10" i="10" s="1"/>
  <c r="M9" i="10"/>
  <c r="M10" i="10" s="1"/>
  <c r="N9" i="10"/>
  <c r="N10" i="10" s="1"/>
  <c r="O9" i="10"/>
  <c r="O10" i="10" s="1"/>
  <c r="D14" i="10"/>
  <c r="L132" i="4" l="1"/>
  <c r="H132" i="4"/>
  <c r="L127" i="4"/>
  <c r="H127" i="4"/>
  <c r="L126" i="4"/>
  <c r="H126" i="4"/>
  <c r="L125" i="4"/>
  <c r="H125" i="4"/>
  <c r="L124" i="4"/>
  <c r="H124" i="4"/>
  <c r="L123" i="4"/>
  <c r="H123" i="4"/>
  <c r="L122" i="4"/>
  <c r="H122" i="4"/>
  <c r="L104" i="4"/>
  <c r="H104" i="4"/>
  <c r="L103" i="4"/>
  <c r="H103" i="4"/>
  <c r="L102" i="4"/>
  <c r="H102" i="4"/>
  <c r="L97" i="4"/>
  <c r="H97" i="4"/>
  <c r="L96" i="4"/>
  <c r="H96" i="4"/>
  <c r="L95" i="4"/>
  <c r="H95" i="4"/>
  <c r="L94" i="4"/>
  <c r="H94" i="4"/>
  <c r="L91" i="4"/>
  <c r="H91" i="4"/>
  <c r="L90" i="4"/>
  <c r="H90" i="4"/>
  <c r="L79" i="4"/>
  <c r="H79" i="4"/>
  <c r="L87" i="4"/>
  <c r="H87" i="4"/>
  <c r="L86" i="4"/>
  <c r="H86" i="4"/>
  <c r="L84" i="4"/>
  <c r="H84" i="4"/>
  <c r="L61" i="4"/>
  <c r="H61" i="4"/>
  <c r="L60" i="4"/>
  <c r="H60" i="4"/>
  <c r="L59" i="4"/>
  <c r="H59" i="4"/>
  <c r="L56" i="4"/>
  <c r="H56" i="4"/>
  <c r="L55" i="4"/>
  <c r="H55" i="4"/>
  <c r="L54" i="4"/>
  <c r="H54" i="4"/>
  <c r="L53" i="4"/>
  <c r="H53" i="4"/>
  <c r="L52" i="4"/>
  <c r="H52" i="4"/>
  <c r="L51" i="4"/>
  <c r="H51" i="4"/>
  <c r="L44" i="4"/>
  <c r="H44" i="4"/>
  <c r="L43" i="4"/>
  <c r="H43" i="4"/>
  <c r="L38" i="4"/>
  <c r="H38" i="4"/>
  <c r="L33" i="4"/>
  <c r="H33" i="4"/>
  <c r="L32" i="4"/>
  <c r="H32" i="4"/>
  <c r="L23" i="4"/>
  <c r="H23" i="4"/>
  <c r="L22" i="4"/>
  <c r="H22" i="4"/>
  <c r="L17" i="4"/>
  <c r="H17" i="4"/>
  <c r="L7" i="4"/>
  <c r="H7" i="4"/>
  <c r="L6" i="4"/>
  <c r="H6" i="4"/>
  <c r="L149" i="8"/>
  <c r="H149" i="8"/>
  <c r="L144" i="8"/>
  <c r="H144" i="8"/>
  <c r="L143" i="8"/>
  <c r="H143" i="8"/>
  <c r="L142" i="8"/>
  <c r="H142" i="8"/>
  <c r="L141" i="8"/>
  <c r="H141" i="8"/>
  <c r="L140" i="8"/>
  <c r="H140" i="8"/>
  <c r="L133" i="8"/>
  <c r="H133" i="8"/>
  <c r="L132" i="8"/>
  <c r="H132" i="8"/>
  <c r="L121" i="8"/>
  <c r="H121" i="8"/>
  <c r="L120" i="8"/>
  <c r="H120" i="8"/>
  <c r="L119" i="8"/>
  <c r="H119" i="8"/>
  <c r="L114" i="8"/>
  <c r="H114" i="8"/>
  <c r="L113" i="8"/>
  <c r="H113" i="8"/>
  <c r="L112" i="8"/>
  <c r="H112" i="8"/>
  <c r="L111" i="8"/>
  <c r="H111" i="8"/>
  <c r="L108" i="8"/>
  <c r="H108" i="8"/>
  <c r="L107" i="8"/>
  <c r="H107" i="8"/>
  <c r="L46" i="8"/>
  <c r="H46" i="8"/>
  <c r="L103" i="8"/>
  <c r="H103" i="8"/>
  <c r="L102" i="8"/>
  <c r="H102" i="8"/>
  <c r="L91" i="8"/>
  <c r="H91" i="8"/>
  <c r="L90" i="8"/>
  <c r="H90" i="8"/>
  <c r="L89" i="8"/>
  <c r="H89" i="8"/>
  <c r="L88" i="8"/>
  <c r="H88" i="8"/>
  <c r="L87" i="8"/>
  <c r="H87" i="8"/>
  <c r="L86" i="8"/>
  <c r="H86" i="8"/>
  <c r="L85" i="8"/>
  <c r="H85" i="8"/>
  <c r="L84" i="8"/>
  <c r="H84" i="8"/>
  <c r="L83" i="8"/>
  <c r="H83" i="8"/>
  <c r="L82" i="8"/>
  <c r="H82" i="8"/>
  <c r="L81" i="8"/>
  <c r="H81" i="8"/>
  <c r="L80" i="8"/>
  <c r="H80" i="8"/>
  <c r="L79" i="8"/>
  <c r="H79" i="8"/>
  <c r="L74" i="8"/>
  <c r="H74" i="8"/>
  <c r="L73" i="8"/>
  <c r="H73" i="8"/>
  <c r="L72" i="8"/>
  <c r="H72" i="8"/>
  <c r="L71" i="8"/>
  <c r="H71" i="8"/>
  <c r="L67" i="8"/>
  <c r="H67" i="8"/>
  <c r="L51" i="8"/>
  <c r="H51" i="8"/>
  <c r="L50" i="8"/>
  <c r="H50" i="8"/>
  <c r="L49" i="8"/>
  <c r="H49" i="8"/>
  <c r="L48" i="8"/>
  <c r="H48" i="8"/>
  <c r="L47" i="8"/>
  <c r="H47" i="8"/>
  <c r="L45" i="8"/>
  <c r="H45" i="8"/>
  <c r="L32" i="8"/>
  <c r="H32" i="8"/>
  <c r="L31" i="8"/>
  <c r="H31" i="8"/>
  <c r="L15" i="8"/>
  <c r="H15" i="8"/>
  <c r="L6" i="8"/>
  <c r="H6" i="8"/>
  <c r="L62" i="11"/>
  <c r="H62" i="11"/>
  <c r="L61" i="11"/>
  <c r="H61" i="11"/>
  <c r="L60" i="11"/>
  <c r="H60" i="11"/>
  <c r="L57" i="11"/>
  <c r="H57" i="11"/>
  <c r="L56" i="11"/>
  <c r="H56" i="11"/>
  <c r="L53" i="11"/>
  <c r="H53" i="11"/>
  <c r="L52" i="11"/>
  <c r="H52" i="11"/>
  <c r="L51" i="11"/>
  <c r="H51" i="11"/>
  <c r="L46" i="11"/>
  <c r="H46" i="11"/>
  <c r="L45" i="11"/>
  <c r="H45" i="11"/>
  <c r="L44" i="11"/>
  <c r="H44" i="11"/>
  <c r="L43" i="11"/>
  <c r="H43" i="11"/>
  <c r="L40" i="11"/>
  <c r="H40" i="11"/>
  <c r="L39" i="11"/>
  <c r="H39" i="11"/>
  <c r="L36" i="11"/>
  <c r="H36" i="11"/>
  <c r="L27" i="11"/>
  <c r="H27" i="11"/>
  <c r="L16" i="11"/>
  <c r="H16" i="11"/>
  <c r="L11" i="11"/>
  <c r="L6" i="11"/>
  <c r="H6" i="11"/>
  <c r="L46" i="10"/>
  <c r="H46" i="10"/>
  <c r="L45" i="10"/>
  <c r="H45" i="10"/>
  <c r="L44" i="10"/>
  <c r="H44" i="10"/>
  <c r="H43" i="10"/>
  <c r="L40" i="10"/>
  <c r="H40" i="10"/>
  <c r="L39" i="10"/>
  <c r="H39" i="10"/>
  <c r="L36" i="10"/>
  <c r="H36" i="10"/>
  <c r="L35" i="10"/>
  <c r="H35" i="10"/>
  <c r="L34" i="10"/>
  <c r="H34" i="10"/>
  <c r="L29" i="10"/>
  <c r="H29" i="10"/>
  <c r="L28" i="10"/>
  <c r="H28" i="10"/>
  <c r="L27" i="10"/>
  <c r="H27" i="10"/>
  <c r="L26" i="10"/>
  <c r="H26" i="10"/>
  <c r="L25" i="10"/>
  <c r="H25" i="10"/>
  <c r="L24" i="10"/>
  <c r="H24" i="10"/>
  <c r="L23" i="10"/>
  <c r="H23" i="10"/>
  <c r="L8" i="10"/>
  <c r="H8" i="10"/>
  <c r="L5" i="10"/>
  <c r="H5" i="10"/>
  <c r="D75" i="11" l="1"/>
  <c r="G74" i="11"/>
  <c r="G75" i="11" s="1"/>
  <c r="F74" i="11"/>
  <c r="F75" i="11" s="1"/>
  <c r="E74" i="11"/>
  <c r="E75" i="11" s="1"/>
  <c r="D136" i="4"/>
  <c r="G135" i="4"/>
  <c r="G136" i="4" s="1"/>
  <c r="F135" i="4"/>
  <c r="F136" i="4" s="1"/>
  <c r="E135" i="4"/>
  <c r="E136" i="4" s="1"/>
  <c r="G132" i="4"/>
  <c r="F132" i="4"/>
  <c r="E132" i="4"/>
  <c r="D131" i="4"/>
  <c r="G130" i="4"/>
  <c r="G131" i="4" s="1"/>
  <c r="F130" i="4"/>
  <c r="F131" i="4" s="1"/>
  <c r="E130" i="4"/>
  <c r="E131" i="4" s="1"/>
  <c r="D129" i="4"/>
  <c r="G128" i="4"/>
  <c r="G129" i="4" s="1"/>
  <c r="F128" i="4"/>
  <c r="F129" i="4" s="1"/>
  <c r="E128" i="4"/>
  <c r="E129" i="4" s="1"/>
  <c r="D59" i="11" l="1"/>
  <c r="G58" i="11"/>
  <c r="G59" i="11" s="1"/>
  <c r="F58" i="11"/>
  <c r="F59" i="11" s="1"/>
  <c r="E58" i="11"/>
  <c r="E59" i="11" s="1"/>
  <c r="D29" i="11"/>
  <c r="G28" i="11"/>
  <c r="G29" i="11" s="1"/>
  <c r="F28" i="11"/>
  <c r="F29" i="11" s="1"/>
  <c r="E28" i="11"/>
  <c r="E29" i="11" s="1"/>
  <c r="D139" i="8"/>
  <c r="G138" i="8"/>
  <c r="G139" i="8" s="1"/>
  <c r="F138" i="8"/>
  <c r="F139" i="8" s="1"/>
  <c r="E138" i="8"/>
  <c r="E139" i="8" s="1"/>
  <c r="D34" i="8"/>
  <c r="G33" i="8"/>
  <c r="G34" i="8" s="1"/>
  <c r="F33" i="8"/>
  <c r="F34" i="8" s="1"/>
  <c r="E33" i="8"/>
  <c r="E34" i="8" s="1"/>
  <c r="D121" i="4"/>
  <c r="G120" i="4"/>
  <c r="G121" i="4" s="1"/>
  <c r="F120" i="4"/>
  <c r="F121" i="4" s="1"/>
  <c r="E120" i="4"/>
  <c r="E121" i="4" s="1"/>
  <c r="D12" i="10"/>
  <c r="G11" i="10"/>
  <c r="G12" i="10" s="1"/>
  <c r="F11" i="10"/>
  <c r="F12" i="10" s="1"/>
  <c r="E11" i="10"/>
  <c r="E12" i="10" s="1"/>
  <c r="D10" i="11"/>
  <c r="G9" i="11"/>
  <c r="G10" i="11" s="1"/>
  <c r="F9" i="11"/>
  <c r="F10" i="11" s="1"/>
  <c r="E9" i="11"/>
  <c r="E10" i="11" s="1"/>
  <c r="D126" i="8"/>
  <c r="G125" i="8"/>
  <c r="G126" i="8" s="1"/>
  <c r="F125" i="8"/>
  <c r="F126" i="8" s="1"/>
  <c r="E125" i="8"/>
  <c r="E126" i="8" s="1"/>
  <c r="D11" i="8"/>
  <c r="G10" i="8"/>
  <c r="G11" i="8" s="1"/>
  <c r="F10" i="8"/>
  <c r="F11" i="8" s="1"/>
  <c r="E10" i="8"/>
  <c r="E11" i="8" s="1"/>
  <c r="D108" i="4"/>
  <c r="G107" i="4"/>
  <c r="G108" i="4" s="1"/>
  <c r="F107" i="4"/>
  <c r="F108" i="4" s="1"/>
  <c r="E107" i="4"/>
  <c r="E108" i="4" s="1"/>
  <c r="D35" i="4" l="1"/>
  <c r="G34" i="4"/>
  <c r="G35" i="4" s="1"/>
  <c r="F34" i="4"/>
  <c r="F35" i="4" s="1"/>
  <c r="E34" i="4"/>
  <c r="E35" i="4" s="1"/>
  <c r="D50" i="10" l="1"/>
  <c r="G49" i="10"/>
  <c r="G50" i="10" s="1"/>
  <c r="F49" i="10"/>
  <c r="F50" i="10" s="1"/>
  <c r="E49" i="10"/>
  <c r="E50" i="10" s="1"/>
  <c r="D41" i="8" l="1"/>
  <c r="G40" i="8"/>
  <c r="G41" i="8" s="1"/>
  <c r="F40" i="8"/>
  <c r="F41" i="8" s="1"/>
  <c r="E40" i="8"/>
  <c r="E41" i="8" s="1"/>
  <c r="D43" i="8"/>
  <c r="G42" i="8"/>
  <c r="G43" i="8" s="1"/>
  <c r="F42" i="8"/>
  <c r="F43" i="8" s="1"/>
  <c r="E42" i="8"/>
  <c r="E43" i="8" s="1"/>
  <c r="D55" i="11" l="1"/>
  <c r="G54" i="11"/>
  <c r="G55" i="11" s="1"/>
  <c r="F54" i="11"/>
  <c r="F55" i="11" s="1"/>
  <c r="E54" i="11"/>
  <c r="E55" i="11" s="1"/>
  <c r="D50" i="11"/>
  <c r="G49" i="11"/>
  <c r="G50" i="11" s="1"/>
  <c r="F49" i="11"/>
  <c r="F50" i="11" s="1"/>
  <c r="E49" i="11"/>
  <c r="E50" i="11" s="1"/>
  <c r="D48" i="11"/>
  <c r="G47" i="11"/>
  <c r="G48" i="11" s="1"/>
  <c r="F47" i="11"/>
  <c r="F48" i="11" s="1"/>
  <c r="E47" i="11"/>
  <c r="E48" i="11" s="1"/>
  <c r="D38" i="11"/>
  <c r="G37" i="11"/>
  <c r="G38" i="11" s="1"/>
  <c r="F37" i="11"/>
  <c r="F38" i="11" s="1"/>
  <c r="E37" i="11"/>
  <c r="E38" i="11" s="1"/>
  <c r="D26" i="11"/>
  <c r="G25" i="11"/>
  <c r="G26" i="11" s="1"/>
  <c r="F25" i="11"/>
  <c r="F26" i="11" s="1"/>
  <c r="E25" i="11"/>
  <c r="E26" i="11" s="1"/>
  <c r="D24" i="11"/>
  <c r="G23" i="11"/>
  <c r="G24" i="11" s="1"/>
  <c r="F23" i="11"/>
  <c r="F24" i="11" s="1"/>
  <c r="E23" i="11"/>
  <c r="E24" i="11" s="1"/>
  <c r="D22" i="11"/>
  <c r="G21" i="11"/>
  <c r="G22" i="11" s="1"/>
  <c r="F21" i="11"/>
  <c r="F22" i="11" s="1"/>
  <c r="E21" i="11"/>
  <c r="E22" i="11" s="1"/>
  <c r="D20" i="11"/>
  <c r="G19" i="11"/>
  <c r="G20" i="11" s="1"/>
  <c r="F19" i="11"/>
  <c r="F20" i="11" s="1"/>
  <c r="E19" i="11"/>
  <c r="E20" i="11" s="1"/>
  <c r="D15" i="11"/>
  <c r="G14" i="11"/>
  <c r="G15" i="11" s="1"/>
  <c r="F14" i="11"/>
  <c r="F15" i="11" s="1"/>
  <c r="E14" i="11"/>
  <c r="E15" i="11" s="1"/>
  <c r="D8" i="11"/>
  <c r="G7" i="11"/>
  <c r="G8" i="11" s="1"/>
  <c r="F7" i="11"/>
  <c r="F8" i="11" s="1"/>
  <c r="E7" i="11"/>
  <c r="E8" i="11" s="1"/>
  <c r="D38" i="10"/>
  <c r="G37" i="10"/>
  <c r="G38" i="10" s="1"/>
  <c r="F37" i="10"/>
  <c r="F38" i="10" s="1"/>
  <c r="E37" i="10"/>
  <c r="E38" i="10" s="1"/>
  <c r="D33" i="10"/>
  <c r="G32" i="10"/>
  <c r="G33" i="10" s="1"/>
  <c r="F32" i="10"/>
  <c r="F33" i="10" s="1"/>
  <c r="E32" i="10"/>
  <c r="E33" i="10" s="1"/>
  <c r="D31" i="10"/>
  <c r="G30" i="10"/>
  <c r="G31" i="10" s="1"/>
  <c r="F30" i="10"/>
  <c r="F31" i="10" s="1"/>
  <c r="E30" i="10"/>
  <c r="E31" i="10" s="1"/>
  <c r="D52" i="10"/>
  <c r="G51" i="10"/>
  <c r="G52" i="10" s="1"/>
  <c r="F51" i="10"/>
  <c r="F52" i="10" s="1"/>
  <c r="E51" i="10"/>
  <c r="E52" i="10" s="1"/>
  <c r="D18" i="10"/>
  <c r="G17" i="10"/>
  <c r="G18" i="10" s="1"/>
  <c r="F17" i="10"/>
  <c r="F18" i="10" s="1"/>
  <c r="E17" i="10"/>
  <c r="E18" i="10" s="1"/>
  <c r="D48" i="10"/>
  <c r="G47" i="10"/>
  <c r="G48" i="10" s="1"/>
  <c r="F47" i="10"/>
  <c r="F48" i="10" s="1"/>
  <c r="E47" i="10"/>
  <c r="E48" i="10" s="1"/>
  <c r="D16" i="10"/>
  <c r="G15" i="10"/>
  <c r="G16" i="10" s="1"/>
  <c r="F15" i="10"/>
  <c r="F16" i="10" s="1"/>
  <c r="E15" i="10"/>
  <c r="E16" i="10" s="1"/>
  <c r="G13" i="10"/>
  <c r="G14" i="10" s="1"/>
  <c r="F13" i="10"/>
  <c r="F14" i="10" s="1"/>
  <c r="E13" i="10"/>
  <c r="E14" i="10" s="1"/>
  <c r="D10" i="10"/>
  <c r="G9" i="10"/>
  <c r="G10" i="10" s="1"/>
  <c r="F9" i="10"/>
  <c r="F10" i="10" s="1"/>
  <c r="E9" i="10"/>
  <c r="E10" i="10" s="1"/>
  <c r="D7" i="10"/>
  <c r="L7" i="10"/>
  <c r="I7" i="10"/>
  <c r="G7" i="10"/>
  <c r="F7" i="10"/>
  <c r="E7" i="10"/>
  <c r="D124" i="8"/>
  <c r="G123" i="8"/>
  <c r="G124" i="8" s="1"/>
  <c r="F123" i="8"/>
  <c r="F124" i="8" s="1"/>
  <c r="E123" i="8"/>
  <c r="E124" i="8" s="1"/>
  <c r="D118" i="8"/>
  <c r="G117" i="8"/>
  <c r="G118" i="8" s="1"/>
  <c r="F117" i="8"/>
  <c r="F118" i="8" s="1"/>
  <c r="E117" i="8"/>
  <c r="E118" i="8" s="1"/>
  <c r="D116" i="8"/>
  <c r="G115" i="8"/>
  <c r="G116" i="8" s="1"/>
  <c r="F115" i="8"/>
  <c r="F116" i="8" s="1"/>
  <c r="E115" i="8"/>
  <c r="E116" i="8" s="1"/>
  <c r="D106" i="8"/>
  <c r="G105" i="8"/>
  <c r="G106" i="8" s="1"/>
  <c r="F105" i="8"/>
  <c r="F106" i="8" s="1"/>
  <c r="E105" i="8"/>
  <c r="E106" i="8" s="1"/>
  <c r="D98" i="8"/>
  <c r="G97" i="8"/>
  <c r="G98" i="8" s="1"/>
  <c r="F97" i="8"/>
  <c r="F98" i="8" s="1"/>
  <c r="E97" i="8"/>
  <c r="E98" i="8" s="1"/>
  <c r="D93" i="8"/>
  <c r="G92" i="8"/>
  <c r="G93" i="8" s="1"/>
  <c r="F92" i="8"/>
  <c r="F93" i="8" s="1"/>
  <c r="E92" i="8"/>
  <c r="E93" i="8" s="1"/>
  <c r="D78" i="8"/>
  <c r="G77" i="8"/>
  <c r="G78" i="8" s="1"/>
  <c r="F77" i="8"/>
  <c r="F78" i="8" s="1"/>
  <c r="E77" i="8"/>
  <c r="E78" i="8" s="1"/>
  <c r="D76" i="8"/>
  <c r="G75" i="8"/>
  <c r="G76" i="8" s="1"/>
  <c r="F75" i="8"/>
  <c r="F76" i="8" s="1"/>
  <c r="E75" i="8"/>
  <c r="E76" i="8" s="1"/>
  <c r="D156" i="8"/>
  <c r="G155" i="8"/>
  <c r="G156" i="8" s="1"/>
  <c r="F155" i="8"/>
  <c r="F156" i="8" s="1"/>
  <c r="E155" i="8"/>
  <c r="E156" i="8" s="1"/>
  <c r="D153" i="8"/>
  <c r="G152" i="8"/>
  <c r="G153" i="8" s="1"/>
  <c r="F152" i="8"/>
  <c r="F153" i="8" s="1"/>
  <c r="E152" i="8"/>
  <c r="E153" i="8" s="1"/>
  <c r="D30" i="8"/>
  <c r="G29" i="8"/>
  <c r="G30" i="8" s="1"/>
  <c r="F29" i="8"/>
  <c r="F30" i="8" s="1"/>
  <c r="E29" i="8"/>
  <c r="E30" i="8" s="1"/>
  <c r="D148" i="8"/>
  <c r="G147" i="8"/>
  <c r="G148" i="8" s="1"/>
  <c r="F147" i="8"/>
  <c r="F148" i="8" s="1"/>
  <c r="E147" i="8"/>
  <c r="E148" i="8" s="1"/>
  <c r="D146" i="8"/>
  <c r="G145" i="8"/>
  <c r="G146" i="8" s="1"/>
  <c r="F145" i="8"/>
  <c r="F146" i="8" s="1"/>
  <c r="E145" i="8"/>
  <c r="E146" i="8" s="1"/>
  <c r="D28" i="8"/>
  <c r="G27" i="8"/>
  <c r="G28" i="8" s="1"/>
  <c r="F27" i="8"/>
  <c r="F28" i="8" s="1"/>
  <c r="E27" i="8"/>
  <c r="E28" i="8" s="1"/>
  <c r="D26" i="8"/>
  <c r="G25" i="8"/>
  <c r="G26" i="8" s="1"/>
  <c r="F25" i="8"/>
  <c r="F26" i="8" s="1"/>
  <c r="E25" i="8"/>
  <c r="E26" i="8" s="1"/>
  <c r="D22" i="8"/>
  <c r="G21" i="8"/>
  <c r="G22" i="8" s="1"/>
  <c r="F21" i="8"/>
  <c r="F22" i="8" s="1"/>
  <c r="E21" i="8"/>
  <c r="E22" i="8" s="1"/>
  <c r="G18" i="8"/>
  <c r="G19" i="8" s="1"/>
  <c r="F18" i="8"/>
  <c r="F19" i="8" s="1"/>
  <c r="E18" i="8"/>
  <c r="E19" i="8" s="1"/>
  <c r="D14" i="8"/>
  <c r="G13" i="8"/>
  <c r="G14" i="8" s="1"/>
  <c r="F13" i="8"/>
  <c r="F14" i="8" s="1"/>
  <c r="E13" i="8"/>
  <c r="E14" i="8" s="1"/>
  <c r="J7" i="10" l="1"/>
  <c r="K7" i="10"/>
  <c r="M7" i="10"/>
  <c r="N7" i="10"/>
  <c r="O7" i="10"/>
  <c r="H7" i="10"/>
  <c r="D101" i="4" l="1"/>
  <c r="G100" i="4"/>
  <c r="G101" i="4" s="1"/>
  <c r="F100" i="4"/>
  <c r="F101" i="4" s="1"/>
  <c r="E100" i="4"/>
  <c r="E101" i="4" s="1"/>
  <c r="D81" i="4" l="1"/>
  <c r="G80" i="4"/>
  <c r="G81" i="4" s="1"/>
  <c r="F80" i="4"/>
  <c r="F81" i="4" s="1"/>
  <c r="E80" i="4"/>
  <c r="E81" i="4" s="1"/>
  <c r="D139" i="4" l="1"/>
  <c r="D63" i="4"/>
  <c r="D78" i="4"/>
  <c r="D89" i="4"/>
  <c r="D99" i="4"/>
  <c r="D106" i="4"/>
  <c r="G105" i="4"/>
  <c r="G106" i="4" s="1"/>
  <c r="F105" i="4"/>
  <c r="F106" i="4" s="1"/>
  <c r="E105" i="4"/>
  <c r="E106" i="4" s="1"/>
  <c r="G98" i="4"/>
  <c r="G99" i="4" s="1"/>
  <c r="F98" i="4"/>
  <c r="F99" i="4" s="1"/>
  <c r="E98" i="4"/>
  <c r="E99" i="4" s="1"/>
  <c r="G89" i="4"/>
  <c r="F89" i="4"/>
  <c r="E89" i="4"/>
  <c r="G77" i="4"/>
  <c r="G78" i="4" s="1"/>
  <c r="F77" i="4"/>
  <c r="F78" i="4" s="1"/>
  <c r="E77" i="4"/>
  <c r="E78" i="4" s="1"/>
  <c r="G62" i="4"/>
  <c r="G63" i="4" s="1"/>
  <c r="F62" i="4"/>
  <c r="F63" i="4" s="1"/>
  <c r="E62" i="4"/>
  <c r="E63" i="4" s="1"/>
  <c r="G138" i="4"/>
  <c r="G139" i="4" s="1"/>
  <c r="F138" i="4"/>
  <c r="F139" i="4" s="1"/>
  <c r="E138" i="4"/>
  <c r="E139" i="4" s="1"/>
  <c r="D31" i="4"/>
  <c r="D29" i="4"/>
  <c r="D27" i="4"/>
  <c r="G30" i="4"/>
  <c r="G31" i="4" s="1"/>
  <c r="F30" i="4"/>
  <c r="F31" i="4" s="1"/>
  <c r="E30" i="4"/>
  <c r="E31" i="4" s="1"/>
  <c r="G28" i="4"/>
  <c r="G29" i="4" s="1"/>
  <c r="F28" i="4"/>
  <c r="F29" i="4" s="1"/>
  <c r="E28" i="4"/>
  <c r="E29" i="4" s="1"/>
  <c r="G26" i="4"/>
  <c r="G27" i="4" s="1"/>
  <c r="F26" i="4"/>
  <c r="F27" i="4" s="1"/>
  <c r="E26" i="4"/>
  <c r="E27" i="4" s="1"/>
  <c r="D21" i="4"/>
  <c r="G15" i="4"/>
  <c r="G16" i="4" s="1"/>
  <c r="F15" i="4"/>
  <c r="F16" i="4" s="1"/>
  <c r="E15" i="4"/>
  <c r="E16" i="4" s="1"/>
  <c r="D16" i="4"/>
  <c r="G20" i="4"/>
  <c r="G21" i="4" s="1"/>
  <c r="F20" i="4"/>
  <c r="F21" i="4" s="1"/>
  <c r="E20" i="4"/>
  <c r="E21" i="4" s="1"/>
  <c r="D14" i="4"/>
  <c r="G13" i="4"/>
  <c r="G14" i="4" s="1"/>
  <c r="F13" i="4"/>
  <c r="F14" i="4" s="1"/>
  <c r="E13" i="4"/>
  <c r="E14" i="4" s="1"/>
  <c r="D9" i="4"/>
  <c r="G8" i="4"/>
  <c r="G9" i="4" s="1"/>
  <c r="F8" i="4"/>
  <c r="F9" i="4" s="1"/>
  <c r="E8" i="4"/>
  <c r="E9" i="4" s="1"/>
  <c r="D42" i="10"/>
  <c r="F41" i="10"/>
  <c r="F42" i="10" s="1"/>
  <c r="E41" i="10"/>
  <c r="E42" i="10" s="1"/>
  <c r="L41" i="10"/>
  <c r="M41" i="10" s="1"/>
  <c r="M42" i="10" s="1"/>
  <c r="H41" i="10"/>
  <c r="J41" i="10" s="1"/>
  <c r="J42" i="10" s="1"/>
  <c r="G41" i="10"/>
  <c r="G42" i="10" s="1"/>
  <c r="O41" i="10" l="1"/>
  <c r="O42" i="10" s="1"/>
  <c r="L42" i="10"/>
  <c r="N41" i="10"/>
  <c r="N42" i="10" s="1"/>
  <c r="H42" i="10"/>
  <c r="I41" i="10"/>
  <c r="I42" i="10" s="1"/>
  <c r="K41" i="10"/>
  <c r="K42" i="10" s="1"/>
</calcChain>
</file>

<file path=xl/sharedStrings.xml><?xml version="1.0" encoding="utf-8"?>
<sst xmlns="http://schemas.openxmlformats.org/spreadsheetml/2006/main" count="2417" uniqueCount="771">
  <si>
    <t>منشآت صغيرة/متناهية الصغر</t>
  </si>
  <si>
    <t>منشآت متوسطة</t>
  </si>
  <si>
    <t>منشآت كبيرة</t>
  </si>
  <si>
    <t>المخالفة</t>
  </si>
  <si>
    <t>م</t>
  </si>
  <si>
    <t>فئة (د)</t>
  </si>
  <si>
    <t>فئة (ج)</t>
  </si>
  <si>
    <t>فئة (ب)</t>
  </si>
  <si>
    <t>فئة (أ)</t>
  </si>
  <si>
    <t>لا ينطبق</t>
  </si>
  <si>
    <t>ينطبق</t>
  </si>
  <si>
    <t>حصول الممارسين الصحيين المرخصين على منشأة صيدلية على أي منفعة مادية أو عينية مـن شركات أو وكلاء أو موزعين أو مستودعات بقصد الترويج أو التسويق أو توجيه المريض لمستحضر باسم تجاري محدد.</t>
  </si>
  <si>
    <t>عدم التزام مقدم طلب التسجيل بالشروط التي منحت بموجبها شهادة التسجيل.</t>
  </si>
  <si>
    <t>لم تقدم المنشأة الصيدلية أو وكيلها طلب تجديد تسجيل المستحضر فور انتهاء صلاحية شهادة تسجيل المستحضر.</t>
  </si>
  <si>
    <t>عدم توزيع مقاييس الحرارة بالمستودع وثلاجة التبريد بشكل مناسب وفق الخريطة الحرارية.</t>
  </si>
  <si>
    <t>عدم وجود ثلاجة تبريد أو ثلاجة تجميد لتخزين المستحضرات التي يتطلب تخزينها حسب توصية الشركة الصانعة في حال تداول المنشأة لتلك المستحضرات.</t>
  </si>
  <si>
    <t>ثالثًا : المكتب العلمي</t>
  </si>
  <si>
    <t xml:space="preserve"> لاينطبق</t>
  </si>
  <si>
    <t>لا يتطبق</t>
  </si>
  <si>
    <t>توزيع أو تداول العينات المجانية للأدوية المخدرة أو الخاضعة للرقابة.</t>
  </si>
  <si>
    <t>عدم التزام الممارسين الصحيين العاملين في المنشأة الصيدلية بنظام مزاولة المهن الصحية ولائحته التنفيذية</t>
  </si>
  <si>
    <t>عدم وجود نظام إلكتروني متكامل مع نظام التتبع الإلكتروني المعتمد من الهيئة.</t>
  </si>
  <si>
    <t>تشغيل المنشأة الصيدلية لصيادلة أو فنيي صيادلة أو غيرهم من الممارسين الصحيين قبل حصولهم على ترخيص مزاولة المهنة من الجهة المختصة.</t>
  </si>
  <si>
    <t>تشغيل المنشأة الصيدلية لصيادلة أو فنيي صيادلة أو غيرهم من الممارسين الصحيين بترخيص مزاولة مهنة منتهي.</t>
  </si>
  <si>
    <t>بيع المستحضر بسعر أعلى من السعر المحدد من الهيئة.</t>
  </si>
  <si>
    <t>عدم الالتزام باستبدال أي كمية من المستحضرات المباعة إذا لم يتبق على صلاحيتها إلا شهر واحد فقط.</t>
  </si>
  <si>
    <t>عدم الحصول على موافقة الهيئة قبل نشر أي حملة توعية بالأمراض أوالتثقيف الصحي والموجهة للجمهور</t>
  </si>
  <si>
    <t>إقامة حملات توعية بالأمراض والتثقيف الصحي دون الالتزام بالشروط والضوابط المعتمدة لدى الهيئة.</t>
  </si>
  <si>
    <t>أولا : مصنع المستحضرات الصيدلانية والعشبية</t>
  </si>
  <si>
    <t xml:space="preserve">ممارسة النشاط دون الحصول على ترخيص من الهيئة. </t>
  </si>
  <si>
    <t>تصفية المصنع بطريقة مخالفة للإجراءات التي حددتها اللائحة.</t>
  </si>
  <si>
    <t>تصفية المستودع بطريقة مخالفة للإجراءات التي حددتها اللائحة.</t>
  </si>
  <si>
    <t>عدم توفر الشروط والمواصفات التي حددتها اللائحة التنفيذية في مركز الاستشارات الدوائية.</t>
  </si>
  <si>
    <t>تداول مستحضر صدر له قرار سحب أو استدعاء دون موافقة الهيئة.</t>
  </si>
  <si>
    <t>استخدام ترخيص المستودع  في غير ما رخص له.</t>
  </si>
  <si>
    <t>تداول مستحضر مسجل قبل تسعيره.</t>
  </si>
  <si>
    <t>ممارسة النشاط بعد انتهاء الترخيص.</t>
  </si>
  <si>
    <t>الوحدة</t>
  </si>
  <si>
    <t>عدم الحصول على موافقة الهيئة قبل إقامة المحاضرات العلمية الموجهة للممارسين الصحيين.</t>
  </si>
  <si>
    <t>عدم الحصول على موافقة الهيئة قبل إقامة المحاضرات العلمية الموجهة للممارسين الصحيين .</t>
  </si>
  <si>
    <t>الدعاية والإعلان عن مستحضر غير مسجل أو مدرج لدى الهيئة.</t>
  </si>
  <si>
    <t>عدم الحصول على موافقة الهيئة قبل نشر أي حملة توعية بالأمراض أوالتثقيف الصحي والموجهة للجمهور.</t>
  </si>
  <si>
    <t>عدم التزام المنشأة الصيدلية بنسبة الصيادلة السعوديين من إجمالي عدد الصيادلة العاملين في المنشأة الصيدلية المملوكة لنفس المالك بمعايير وزارة الموارد البشرية والتنمية الاجتماعية في نطاقات المهن حسب المناطق والمحافظات.</t>
  </si>
  <si>
    <r>
      <t xml:space="preserve">ممارسة النشاط دون الحصول على ترخيص من الهيئة. </t>
    </r>
    <r>
      <rPr>
        <b/>
        <sz val="12"/>
        <color rgb="FFFF0000"/>
        <rFont val="Sakkal Majalla"/>
      </rPr>
      <t/>
    </r>
  </si>
  <si>
    <t>عدم تنفيذ قرار الهيئة بسحب المستحضر .</t>
  </si>
  <si>
    <t>عدم  تمكين المفتش من دخول المنشأة أو أحد مرافقها.</t>
  </si>
  <si>
    <t>عدم تفرغ المدير الفني للمصنع .</t>
  </si>
  <si>
    <t>عدم تعيين شخص مؤهل للإفراج عن التشغيلات.</t>
  </si>
  <si>
    <t>عدم التسجيل في نظام الإفصاح والشفافية المعتمد من قبل الهيئة.</t>
  </si>
  <si>
    <t>عدم فصل كل نشاط في قسم خاص (أدوية بشرية أدوية بيطرية مستحضرات تجميل مستحضرات كيميائية مستحضرات عشبية وصحية).</t>
  </si>
  <si>
    <t xml:space="preserve">عدم تفرغ المدير الفني للمكتب العلمي. </t>
  </si>
  <si>
    <t>استعمال معلومات غير صحيحة للترويج للمستحضر سواءً عليه أو في الدعاية له.</t>
  </si>
  <si>
    <t>عدم حفظ أو تخزين المستحضر حسب توصية الشركة الصانعة.</t>
  </si>
  <si>
    <t>عدم الاقتصار في توزيع العينات المجانية على تعريف الأطباء والصيادلة بالدواء</t>
  </si>
  <si>
    <t>لكل ممارس</t>
  </si>
  <si>
    <t>لكل حالة عدم التزام</t>
  </si>
  <si>
    <t>لكل شحنة</t>
  </si>
  <si>
    <t>لكل تشغيلة</t>
  </si>
  <si>
    <t xml:space="preserve">لكل تركيز و شكل وحجم وصيغة دوائية </t>
  </si>
  <si>
    <t>لكل صيدلي</t>
  </si>
  <si>
    <t>لكل  ممارس</t>
  </si>
  <si>
    <t>لكل حالة التزام</t>
  </si>
  <si>
    <t>لكل تركيز و شكل وحجم وصيغة دوائي</t>
  </si>
  <si>
    <t>تصفية المصنع دون إبلاغ  الهيئة.</t>
  </si>
  <si>
    <t>تصفية المستودع دون إبلاغ  الهيئة.</t>
  </si>
  <si>
    <t>تصفية المكتب العلمي دون إبلاغ الهيئة.</t>
  </si>
  <si>
    <t>عدم الإلتزام بالشروط أو المتطلبات أو التعاميم المنشورة على موقع الهيئة والمتعلقة بالترخيص أو تسجيل المستحضر الصيدلاني أو العشبي.</t>
  </si>
  <si>
    <t>عدم الالتزام بمتطلبات تحليل المستحضرات الصيدلانية أو العشبية المنشورة على موقع الهيئة.</t>
  </si>
  <si>
    <t>عدم التزام المصنع بأسس ممارسة التصنيع الجيد المنشورة على موقع الهيئة.</t>
  </si>
  <si>
    <t>للمنشأة</t>
  </si>
  <si>
    <t>عدم التزام المنشأة الصيدلية أن يكون من  يعمل في مجال الدعاية والتعريف بالمستحضرات الصيدلانية أو العشبية متفرغاً.</t>
  </si>
  <si>
    <t>عدم التزام العاملين في مجال الدعاية والتعريف بالمستحضرات الصيدلانية والعشبية بما ورد في المدونـة الـسعودية لأخلاقيات ممارسة تسويق المستحضرات الصيدلانية والعشبية المنشورة على موقع الهيئة .</t>
  </si>
  <si>
    <t>تصدير أو إعادة تصدير المستحضر الصيدلاني أو العشبي دون موافقة الهيئة.</t>
  </si>
  <si>
    <t>بدء المصنع الإنتاج بكميات تجارية لمستحضرات صيدلانية أو عشبية قبل تسجيلها</t>
  </si>
  <si>
    <t>عدم تفرغ مدير مركز الاستشارات الدوائية.</t>
  </si>
  <si>
    <t>عدم تعيين صيدلي مديراً لمركز الاستشارات الدوائية.</t>
  </si>
  <si>
    <t>تصفية مركز  تحليل المستحضرات الصيدلانية والعشبية دون إبلاغ  الهيئة.</t>
  </si>
  <si>
    <t xml:space="preserve">عدم التزام المصنع المحلي بتوفير مستحضر غير أساسي وليس له بدائل مسجلة </t>
  </si>
  <si>
    <t>عدم التزام المصنع المحلي بتوفير مستحضر غير أساسي و  له بدائل مسجلة</t>
  </si>
  <si>
    <t>عدم التزام المصنع المحلي بتوفير البيانات حول الوارد والرصيد  للمستحضر المسجل وتزويد الهيئة بنسخة منها عند الطلب</t>
  </si>
  <si>
    <t>التصرف بمستحضر مضبوط أو متعهد عليه بعدم التصرف قبل انهاء إجراءات فك الحجز  (التحريز).</t>
  </si>
  <si>
    <t xml:space="preserve">عدم الالتزام بإنشاء قسم للتيقظ الدوائي. </t>
  </si>
  <si>
    <t>لكل عملية تبليغ</t>
  </si>
  <si>
    <t>لكل محاضرة</t>
  </si>
  <si>
    <t>لكل حملة توعوية.</t>
  </si>
  <si>
    <t xml:space="preserve">لكل حالة عدم التزام </t>
  </si>
  <si>
    <t>تشغيل المصنع في غير ما رخص له.</t>
  </si>
  <si>
    <t>تصنيع عبوات لا تحتوي على باركود ثنائي الأبعاد مطابق لمدونة مواصفات باركود الأدوية المنشورة على موقع الهيئة.</t>
  </si>
  <si>
    <t>عدم تطبيق مبدأ تجميع الشحنات عند توزيعها ونقلها وفقاً لمدونة مواصفات باركود الأدوية المنشورة على موقع الهيئة.</t>
  </si>
  <si>
    <t xml:space="preserve">عدم التزام مستودع وكيل المصنع الخارجي بتوفير مستحضر أساسي وليس له بدائل مسجلة  </t>
  </si>
  <si>
    <t>عدم قيام المصنع المحلي بتحديث نموذج توقع النقص عند توفر المستحضر</t>
  </si>
  <si>
    <t>عدم الالتزام بشروط التصدير أو إعادة التصدير للمستحضر  الصيدلاني أو العشبي.</t>
  </si>
  <si>
    <t>عدم الالتزام بمتطلبات نظام الإفصاح والشفافيةالمنشورة على موقع الهيئة.</t>
  </si>
  <si>
    <t>عدم الالتزام بالشروط أو المتطلبات أو التعاميم المنشورة على موقع الهيئة والمتعلقة بالترخيص أو تسجيل المستحضر الصيدلاني أو العشبي.</t>
  </si>
  <si>
    <t>1/1/1</t>
  </si>
  <si>
    <t>1/1/2</t>
  </si>
  <si>
    <t>1/1/3</t>
  </si>
  <si>
    <t>2/1/1</t>
  </si>
  <si>
    <t>2/1/2</t>
  </si>
  <si>
    <t>2/1/3</t>
  </si>
  <si>
    <t>3/1/1</t>
  </si>
  <si>
    <t>3/1/2</t>
  </si>
  <si>
    <t>3/1/3</t>
  </si>
  <si>
    <t>4/1/1</t>
  </si>
  <si>
    <t>4/1/2</t>
  </si>
  <si>
    <t>5/1/1</t>
  </si>
  <si>
    <t>5/1/2</t>
  </si>
  <si>
    <t>6/1/1</t>
  </si>
  <si>
    <t>7/1/1</t>
  </si>
  <si>
    <t>7/1/2</t>
  </si>
  <si>
    <t>7/1/3</t>
  </si>
  <si>
    <t>8/1/2</t>
  </si>
  <si>
    <t>9/1/1</t>
  </si>
  <si>
    <t>9/1/2</t>
  </si>
  <si>
    <t>10/1/1</t>
  </si>
  <si>
    <t>10/1/2</t>
  </si>
  <si>
    <t>10/1/3</t>
  </si>
  <si>
    <t>11/1/1</t>
  </si>
  <si>
    <t>12/1/1</t>
  </si>
  <si>
    <t>12/1/2</t>
  </si>
  <si>
    <t>13/1/1</t>
  </si>
  <si>
    <t>14/1/1</t>
  </si>
  <si>
    <t>14/1/2</t>
  </si>
  <si>
    <t>15/1/2</t>
  </si>
  <si>
    <t>16/1/1</t>
  </si>
  <si>
    <t>16/1/2</t>
  </si>
  <si>
    <t>17/1/2</t>
  </si>
  <si>
    <t>18/1/1</t>
  </si>
  <si>
    <t>1/2/1</t>
  </si>
  <si>
    <t>2/2/1</t>
  </si>
  <si>
    <t>3/2/1</t>
  </si>
  <si>
    <t>4/2/1</t>
  </si>
  <si>
    <t>5/2/1</t>
  </si>
  <si>
    <t>6/2/1</t>
  </si>
  <si>
    <t>6/2/2</t>
  </si>
  <si>
    <t>6/2/3</t>
  </si>
  <si>
    <t>7/2/1</t>
  </si>
  <si>
    <t>8/2/1</t>
  </si>
  <si>
    <t>9/2/1</t>
  </si>
  <si>
    <t>10/2/1</t>
  </si>
  <si>
    <t>11/2/1</t>
  </si>
  <si>
    <t>12/2/1</t>
  </si>
  <si>
    <t>13/2/1</t>
  </si>
  <si>
    <t>14/2/1</t>
  </si>
  <si>
    <t>15/2/1</t>
  </si>
  <si>
    <t>16/2/1</t>
  </si>
  <si>
    <t>18/2/1</t>
  </si>
  <si>
    <t>19/2/1</t>
  </si>
  <si>
    <t>20/2/1</t>
  </si>
  <si>
    <t>21/2/1</t>
  </si>
  <si>
    <t>22/2/1</t>
  </si>
  <si>
    <t>23/2/1</t>
  </si>
  <si>
    <t>24/2/1</t>
  </si>
  <si>
    <t>25/2/1</t>
  </si>
  <si>
    <t>26/2/1</t>
  </si>
  <si>
    <t>27/2/1</t>
  </si>
  <si>
    <t>28/2/1</t>
  </si>
  <si>
    <t>29/2/1</t>
  </si>
  <si>
    <t>30/2/1</t>
  </si>
  <si>
    <t>31/2/1</t>
  </si>
  <si>
    <t>32/2/1</t>
  </si>
  <si>
    <t>33/2/1</t>
  </si>
  <si>
    <t>34/2/1</t>
  </si>
  <si>
    <t>35/2/1</t>
  </si>
  <si>
    <t>36/2/1</t>
  </si>
  <si>
    <t>38/2/1</t>
  </si>
  <si>
    <t>39/2/1</t>
  </si>
  <si>
    <t>40/2/1</t>
  </si>
  <si>
    <t>41/2/1</t>
  </si>
  <si>
    <t>42/2/1</t>
  </si>
  <si>
    <t>43/2/1</t>
  </si>
  <si>
    <t>44/2/1</t>
  </si>
  <si>
    <t>45/2/1</t>
  </si>
  <si>
    <t>46/2/1</t>
  </si>
  <si>
    <t>47/2/1</t>
  </si>
  <si>
    <t>48/2/1</t>
  </si>
  <si>
    <t>49/2/1</t>
  </si>
  <si>
    <t>50/2/1</t>
  </si>
  <si>
    <t>51/2/1</t>
  </si>
  <si>
    <t>52/2/1</t>
  </si>
  <si>
    <t>53/2/1</t>
  </si>
  <si>
    <t>53/2/2</t>
  </si>
  <si>
    <t>54/2/1</t>
  </si>
  <si>
    <t>1/3/1</t>
  </si>
  <si>
    <t>1/3/2</t>
  </si>
  <si>
    <t>2/3/1</t>
  </si>
  <si>
    <t>3/3/1</t>
  </si>
  <si>
    <t>4/3/1</t>
  </si>
  <si>
    <t>5/3/1</t>
  </si>
  <si>
    <t>6/3/1</t>
  </si>
  <si>
    <t>7/3/1</t>
  </si>
  <si>
    <t>7/3/2</t>
  </si>
  <si>
    <t>8/3/1</t>
  </si>
  <si>
    <t>9/3/1</t>
  </si>
  <si>
    <t>10/3/1</t>
  </si>
  <si>
    <t>11/3/1</t>
  </si>
  <si>
    <t>12/3/1</t>
  </si>
  <si>
    <t>13/3/1</t>
  </si>
  <si>
    <t>14/3/1</t>
  </si>
  <si>
    <t>14/3/2</t>
  </si>
  <si>
    <t>15/3/1</t>
  </si>
  <si>
    <t>16/3/1</t>
  </si>
  <si>
    <t>17/3/1</t>
  </si>
  <si>
    <t>18/3/1</t>
  </si>
  <si>
    <t>19/3/1</t>
  </si>
  <si>
    <t>20/3/1</t>
  </si>
  <si>
    <t>21/3/1</t>
  </si>
  <si>
    <t>4/1/3</t>
  </si>
  <si>
    <t>6/1/3</t>
  </si>
  <si>
    <t>8/1/3</t>
  </si>
  <si>
    <t>9/1/3</t>
  </si>
  <si>
    <t>11/1/2</t>
  </si>
  <si>
    <t>12/1/3</t>
  </si>
  <si>
    <t>13/1/3</t>
  </si>
  <si>
    <t>13/1/2</t>
  </si>
  <si>
    <t>6/1/2</t>
  </si>
  <si>
    <t>1/2/2</t>
  </si>
  <si>
    <t>2/2/2</t>
  </si>
  <si>
    <t>3/2/2</t>
  </si>
  <si>
    <t>3/2/3</t>
  </si>
  <si>
    <t>4/2/2</t>
  </si>
  <si>
    <t>5/2/2</t>
  </si>
  <si>
    <t>7/2/2</t>
  </si>
  <si>
    <t>8/2/2</t>
  </si>
  <si>
    <t>9/2/2</t>
  </si>
  <si>
    <t>10/2/2</t>
  </si>
  <si>
    <t>11/2/2</t>
  </si>
  <si>
    <t>12/2/2</t>
  </si>
  <si>
    <t>13/2/2</t>
  </si>
  <si>
    <t>14/2/2</t>
  </si>
  <si>
    <t>15/2/2</t>
  </si>
  <si>
    <t>16/2/2</t>
  </si>
  <si>
    <t>17/2/2</t>
  </si>
  <si>
    <t>18/2/2</t>
  </si>
  <si>
    <t>19/2/2</t>
  </si>
  <si>
    <t>20/2/2</t>
  </si>
  <si>
    <t>21/2/2</t>
  </si>
  <si>
    <t>22/2/2</t>
  </si>
  <si>
    <t>23/2/2</t>
  </si>
  <si>
    <t>24/2/2</t>
  </si>
  <si>
    <t>25/2/2</t>
  </si>
  <si>
    <t>26/2/2</t>
  </si>
  <si>
    <t>27/2/2</t>
  </si>
  <si>
    <t>28/2/2</t>
  </si>
  <si>
    <t>29/2/2</t>
  </si>
  <si>
    <t>30/2/2</t>
  </si>
  <si>
    <t>31/2/2</t>
  </si>
  <si>
    <t>31/2/3</t>
  </si>
  <si>
    <t>32/2/2</t>
  </si>
  <si>
    <t>33/2/3</t>
  </si>
  <si>
    <t>34/2/2</t>
  </si>
  <si>
    <t>35/2/3</t>
  </si>
  <si>
    <t>35/2/2</t>
  </si>
  <si>
    <t>36/2/2</t>
  </si>
  <si>
    <t>37/2/2</t>
  </si>
  <si>
    <t>38/2/2</t>
  </si>
  <si>
    <t>39/2/2</t>
  </si>
  <si>
    <t>40/2/2</t>
  </si>
  <si>
    <t>41/2/2</t>
  </si>
  <si>
    <t>42/2/2</t>
  </si>
  <si>
    <t>43/2/2</t>
  </si>
  <si>
    <t>44/2/2</t>
  </si>
  <si>
    <t>45/2/2</t>
  </si>
  <si>
    <t>46/2/2</t>
  </si>
  <si>
    <t>47/2/2</t>
  </si>
  <si>
    <t>48/2/2</t>
  </si>
  <si>
    <t>49/2/2</t>
  </si>
  <si>
    <t>50/2/2</t>
  </si>
  <si>
    <t>51/2/2</t>
  </si>
  <si>
    <t>52/2/2</t>
  </si>
  <si>
    <t>54/2/2</t>
  </si>
  <si>
    <t>55/2/2</t>
  </si>
  <si>
    <t>56/2/2</t>
  </si>
  <si>
    <t>57/2/2</t>
  </si>
  <si>
    <t>58/2/2</t>
  </si>
  <si>
    <t>59/2/2</t>
  </si>
  <si>
    <t>60/2/2</t>
  </si>
  <si>
    <t>61/2/2</t>
  </si>
  <si>
    <t>62/2/2</t>
  </si>
  <si>
    <t>63/2/2</t>
  </si>
  <si>
    <t>64/2/2</t>
  </si>
  <si>
    <t>65/2/2</t>
  </si>
  <si>
    <t>66/2/2</t>
  </si>
  <si>
    <t>67/2/2</t>
  </si>
  <si>
    <t>2/3/2</t>
  </si>
  <si>
    <t>3/3/2</t>
  </si>
  <si>
    <t>4/3/2</t>
  </si>
  <si>
    <t>5/3/2</t>
  </si>
  <si>
    <t>6/3/2</t>
  </si>
  <si>
    <t>8/3/2</t>
  </si>
  <si>
    <t>9/3/2</t>
  </si>
  <si>
    <t>10/3/2</t>
  </si>
  <si>
    <t>11/3/2</t>
  </si>
  <si>
    <t>12/3/2</t>
  </si>
  <si>
    <t>13/3/2</t>
  </si>
  <si>
    <t>15/3/2</t>
  </si>
  <si>
    <t>16/3/2</t>
  </si>
  <si>
    <t>17/3/2</t>
  </si>
  <si>
    <t>18/3/2</t>
  </si>
  <si>
    <t>19/3/2</t>
  </si>
  <si>
    <t>20/3/2</t>
  </si>
  <si>
    <t>5/1/3</t>
  </si>
  <si>
    <t>11/1/3</t>
  </si>
  <si>
    <t>1/2/3</t>
  </si>
  <si>
    <t>2/2/3</t>
  </si>
  <si>
    <t>4/2/3</t>
  </si>
  <si>
    <t>10/2/3</t>
  </si>
  <si>
    <t>11/2/3</t>
  </si>
  <si>
    <t>15/2/3</t>
  </si>
  <si>
    <t>5/2/3</t>
  </si>
  <si>
    <t>7/2/3</t>
  </si>
  <si>
    <t>8/2/3</t>
  </si>
  <si>
    <t>9/2/3</t>
  </si>
  <si>
    <t>12/2/3</t>
  </si>
  <si>
    <t>13/2/3</t>
  </si>
  <si>
    <t>14/2/3</t>
  </si>
  <si>
    <t>16/2/3</t>
  </si>
  <si>
    <t>17/2/3</t>
  </si>
  <si>
    <t>18/2/3</t>
  </si>
  <si>
    <t>19/2/3</t>
  </si>
  <si>
    <t>20/2/3</t>
  </si>
  <si>
    <t>21/2/3</t>
  </si>
  <si>
    <t>23/2/3</t>
  </si>
  <si>
    <t>24/2/3</t>
  </si>
  <si>
    <t>25/2/3</t>
  </si>
  <si>
    <t>26/2/3</t>
  </si>
  <si>
    <t>27/2/3</t>
  </si>
  <si>
    <t>32/2/3</t>
  </si>
  <si>
    <t>34/2/3</t>
  </si>
  <si>
    <t>36/2/3</t>
  </si>
  <si>
    <t>37/2/3</t>
  </si>
  <si>
    <t>38/2/3</t>
  </si>
  <si>
    <t>39/2/3</t>
  </si>
  <si>
    <t>40/2/3</t>
  </si>
  <si>
    <t>41/2/3</t>
  </si>
  <si>
    <t>42/2/3</t>
  </si>
  <si>
    <t>43/2/3</t>
  </si>
  <si>
    <t>44/2/3</t>
  </si>
  <si>
    <t>45/2/3</t>
  </si>
  <si>
    <t>46/2/3</t>
  </si>
  <si>
    <t>18/1/2</t>
  </si>
  <si>
    <t>17/1/1</t>
  </si>
  <si>
    <t>تصفية المكتب العلمي بطريقة مخالفة للإجراءات التي حددتها اللائحة.</t>
  </si>
  <si>
    <t>8/1/1</t>
  </si>
  <si>
    <t>33/2/2</t>
  </si>
  <si>
    <t>1/1/4</t>
  </si>
  <si>
    <t>1/1/5</t>
  </si>
  <si>
    <t>2/1/4</t>
  </si>
  <si>
    <t>3/1/4</t>
  </si>
  <si>
    <t>4/1/4</t>
  </si>
  <si>
    <t>5/1/4</t>
  </si>
  <si>
    <t>6/1/4</t>
  </si>
  <si>
    <t>7/1/4</t>
  </si>
  <si>
    <t>8/1/4</t>
  </si>
  <si>
    <t>1/2/4</t>
  </si>
  <si>
    <t>1/2/5</t>
  </si>
  <si>
    <t>2/2/4</t>
  </si>
  <si>
    <t>3/2/4</t>
  </si>
  <si>
    <t>4/2/4</t>
  </si>
  <si>
    <t>5/2/4</t>
  </si>
  <si>
    <t>6/2/4</t>
  </si>
  <si>
    <t>7/2/4</t>
  </si>
  <si>
    <t>8/2/4</t>
  </si>
  <si>
    <t>8/2/5</t>
  </si>
  <si>
    <t>9/2/4</t>
  </si>
  <si>
    <t>10/2/4</t>
  </si>
  <si>
    <t>11/2/4</t>
  </si>
  <si>
    <t>12/2/4</t>
  </si>
  <si>
    <t>13/2/4</t>
  </si>
  <si>
    <t>14/2/4</t>
  </si>
  <si>
    <t>14/2/5</t>
  </si>
  <si>
    <t>15/2/4</t>
  </si>
  <si>
    <t>16/2/4</t>
  </si>
  <si>
    <t>17/2/4</t>
  </si>
  <si>
    <t>22/2/4</t>
  </si>
  <si>
    <t>18/2/4</t>
  </si>
  <si>
    <t>19/2/4</t>
  </si>
  <si>
    <t>20/2/4</t>
  </si>
  <si>
    <t>21/2/4</t>
  </si>
  <si>
    <t>23/2/4</t>
  </si>
  <si>
    <t>24/2/4</t>
  </si>
  <si>
    <t>25/2/4</t>
  </si>
  <si>
    <t>26/2/4</t>
  </si>
  <si>
    <t>27/2/4</t>
  </si>
  <si>
    <t>28/2/4</t>
  </si>
  <si>
    <t>29/2/4</t>
  </si>
  <si>
    <t>2/1/5</t>
  </si>
  <si>
    <t>3/1/5</t>
  </si>
  <si>
    <t>4/1/5</t>
  </si>
  <si>
    <t>5/1/5</t>
  </si>
  <si>
    <t>6/1/5</t>
  </si>
  <si>
    <t>7/1/5</t>
  </si>
  <si>
    <t>8/1/5</t>
  </si>
  <si>
    <t>2/2/5</t>
  </si>
  <si>
    <t>3/2/5</t>
  </si>
  <si>
    <t>4/2/5</t>
  </si>
  <si>
    <t>5/2/5</t>
  </si>
  <si>
    <t>6/2/5</t>
  </si>
  <si>
    <t>7/2/5</t>
  </si>
  <si>
    <t>9/2/5</t>
  </si>
  <si>
    <t>10/2/5</t>
  </si>
  <si>
    <t>11/2/5</t>
  </si>
  <si>
    <t>12/2/5</t>
  </si>
  <si>
    <t>13/2/5</t>
  </si>
  <si>
    <t xml:space="preserve"> الفصل الأول : مخالفات ترخيص المنشأة  وتسجيل المستحضر الصيدلاني(الدواء) والعشبي</t>
  </si>
  <si>
    <t>الإنذار</t>
  </si>
  <si>
    <t>حد قيمة الغرامة</t>
  </si>
  <si>
    <t>تغيير مكان أو عنوان المصنع دون موافقة الهيئة.</t>
  </si>
  <si>
    <t>تغيير في اسـم المصنع دون موافقة الهيئة.</t>
  </si>
  <si>
    <t>عدم سداد الرسم خلال ثلاثة أشهر من تاريخ الإبلاغ بالموافقة على التسجيل أو التجديد.</t>
  </si>
  <si>
    <t>عدم إبلاغ الهيئة قبل إجراء أي توسعة بالمـصنع أو أعمـال إنـشائية فـي خطوط الإنتاج.</t>
  </si>
  <si>
    <t xml:space="preserve"> الفصل الثاني : مخالفات تداول المستحضر الصيدلاني(الدواء) والعشبي</t>
  </si>
  <si>
    <t>حد قيمة
 الغرامة</t>
  </si>
  <si>
    <t>بيع المستحضر الصيدلاني أو العشبي  إلى جهة غير مرخص لها ممارسة النشاط.</t>
  </si>
  <si>
    <t>قيمة ثابتة</t>
  </si>
  <si>
    <t>الحد الأعلى</t>
  </si>
  <si>
    <t>الحد الأدنى</t>
  </si>
  <si>
    <t xml:space="preserve"> لكل حالة عدم التزام</t>
  </si>
  <si>
    <t>لكل تركيز وشكل وحجم
 وصيغة دوائية بما لا يزيد على
(50.000 ريال)</t>
  </si>
  <si>
    <t>عدم الالتزام بإبلاغ الهيئة عند استقبال أدوية غير مسجلة بنظام التتبع الإلكتروني.</t>
  </si>
  <si>
    <t>عدم الالتزام بالتحقق من صحة كافة البيانات المدخلة لعملية الإبلاغ على نظام التتبع الإلكتروني المعتمد من الهيئة.</t>
  </si>
  <si>
    <t>عدم الالتزام بتحديث معلومات المنشأة أو معلومات الشخص المفوض في نظام التتبع الإلكتروني المعتمد من الهيئة</t>
  </si>
  <si>
    <t>عدم التجاوب مع الطلبات الخاصة بمستحضرات المصنع المسجلة  في خدمة العرض والطلب على نظام رصد.</t>
  </si>
  <si>
    <t>عدم الالتزام بمواصفات الباركود وفقاً لما تضمنته مدونة مواصفات باركود الأدوية المنشورة على موقع الهيئة.</t>
  </si>
  <si>
    <t>لكل عبوة تم ضبطها 
أو تداولها بما لا يزيد على
( 100.000 ريال)</t>
  </si>
  <si>
    <t>عدم اقتصار بيع المستحضرات الصيدلانية أو العشبية بالتجزئة على الصيدليات و منشآت بيع المستحضرات العشبية.</t>
  </si>
  <si>
    <t>لكل تركيز و شكل وحجم
 وصيغة دوائية بما لا يزيد على   ( 100.000 ريال)</t>
  </si>
  <si>
    <t>شراء المستحضر الصيدلاني أو العشبي من جهة غير مرخص لها ممارسة النشاط</t>
  </si>
  <si>
    <t>لكل تركيز و شكل وحجم 
وصيغة دوائية بما لا يزيد على
(  50.000 ريال)</t>
  </si>
  <si>
    <t>عدم التزام المصنع المحلي بتوفير مستحضر أساسي وليس له بدائل مسجلة.</t>
  </si>
  <si>
    <t>عدم التزام المصنع المحلي بتوفير مستحضر لم يسوق أو يستورد لمدة عامين وليس عليه بلاغ أو شكوى من انقطاعه.</t>
  </si>
  <si>
    <t>لكل تركيز وشكل وحجم وصيغة دوائية ما لا يزيد على (50,000ريال)</t>
  </si>
  <si>
    <t>عدم التزام المصنع المحلي بإعداد خطة واضحة لتوفير جميع المستحضرات المسجلة وإبلاغ الهيئة بذلك سنوياً.</t>
  </si>
  <si>
    <t>لكل تركيز وشكل وحجم وصيغة دوائية بما لا يزيد على
(  200.000 ريال)</t>
  </si>
  <si>
    <t>عدم الالتزام بشروط التصدير أو إعادة التصدير
 للمستحضر  الصيدلاني أو العشبي.</t>
  </si>
  <si>
    <t>لكل تركيز وشكل وحجم وصيغة دوائية بما لا يزيد على
(  50.000 ريال)</t>
  </si>
  <si>
    <t>عدم الالتزام بإجراءات وشروط الاستيراد للمستحضر الصيدلاني أو العشبي .</t>
  </si>
  <si>
    <t>عدم الالتزام بشروط ومتطلبات الفسح للمستحضر الصيدلاني أو العشبي .</t>
  </si>
  <si>
    <t>37/2/1</t>
  </si>
  <si>
    <t>تداول مستحضر مضبوط أو متعهد عليه بعدم التصرف قبل إنهاء  إجراءات فك الحجز  (التحريز).</t>
  </si>
  <si>
    <t>لكل تركيز وشكل وحجم
 وصيغة دوائية بما لا يزيد على
( 50.000 ريال)</t>
  </si>
  <si>
    <t>تجاوز العينات المجانية المسموح بتوزيعها نسبة ١% من الكمية المصنعة محلياً من المستحضر الصيدلاني أو العشبي.</t>
  </si>
  <si>
    <t>لكل دعاية أو إعلان</t>
  </si>
  <si>
    <t>عدم توافق نصوص البيانات والنشرات والدعايات والإعلانات في المجــلات أو المــؤتمرات والنــدوات والنــشرات العلميــة أو غيرها من الوسائل المخصــصة للممارسين الصحيين والخاصـة بالمستحـضرات التـي يتطلـب الحـصول عليهـا وصــفة طبيــة مع ما تحتويه من مواد وخواص علاجية وفق ما هو محدد فـي النـشرة الخاصة بالمستحضر أو ملخـص خـواص المستحـضر المعتمدة لدى الهيئة.</t>
  </si>
  <si>
    <t>إقامة محاضرة علمية موجهة للممارسين الصحيين دون الالتزام بالشروط والضوابط المعتمدة لدى الهيئة.</t>
  </si>
  <si>
    <t>55/2/1</t>
  </si>
  <si>
    <t>56/2/1</t>
  </si>
  <si>
    <t>إتلاف المستحضر دون وجود ما يثبت إتلافه عن طريق شركة متخصصة في التخلص الآمن من النفايات الطبية.</t>
  </si>
  <si>
    <t>كل تركيز وشكل وحجم وصيغة دوائية بما لا يزيد على (50,000ريال)</t>
  </si>
  <si>
    <t>لكل قرار</t>
  </si>
  <si>
    <t>عدم إتمام عملية سحب المستحضر خلال الفترة التي حددتها الهيئة.</t>
  </si>
  <si>
    <t xml:space="preserve">لكل تركيز وشكل وحجم
 وصيغة دوائية </t>
  </si>
  <si>
    <t>عدم تزويد الهيئة بتقارير دورية مفصلة عن عملية سحب المستحضر  خلال المدة المحددة.</t>
  </si>
  <si>
    <t>ثانياً : مستودع الإتجار بالمستحضرات الصيدلانية والعشبية</t>
  </si>
  <si>
    <t>عدم تعيين صيدلي أو فني صيدلة مديراً للمستودع.</t>
  </si>
  <si>
    <t>عدم تفرغ مدير مستودع الإتجار بالمستحضرات الصيدلانية والعشبية.</t>
  </si>
  <si>
    <t>تغيير مكان المـستودع دون موافقة الهيئة.</t>
  </si>
  <si>
    <t>تغيير في اسـم المـستودع دون موافقة الهيئة</t>
  </si>
  <si>
    <t>عدم إشعار الهيئة في حال رغبة مدير المستودع ترك العمل.</t>
  </si>
  <si>
    <t>عدم التزام مسؤول عهدة المواد المخدرة والمؤثرات العقلية عند ترك العمل بتسليم ما في عهدته  وفق إجراءات وضوابط المواد المخدرة والمؤثرات العقلية المنشورة على موقع الهيئة.</t>
  </si>
  <si>
    <t>عدم وجود خريطة حرارية.</t>
  </si>
  <si>
    <t>عدم وجود مقاييس للحرارة والرطوبة .</t>
  </si>
  <si>
    <t>وجود مستحضر تالف أو مرتجع أو منتهي الصلاحية
 في غير مكانه المخصص له بالمستودع</t>
  </si>
  <si>
    <t>لكل تركيز وشكل وحجم وصيغة دوائية بما لا يزيد على(  50.000 ريال)</t>
  </si>
  <si>
    <t>البيع بصورة غير متوازنة تمنع توفر صنف محدد</t>
  </si>
  <si>
    <t>لكل تركيز  شكل وحجم وصيغة دوائية بما لا يزيد على(  50.000 ريال)</t>
  </si>
  <si>
    <t>بيع المستحضر الصيدلاني أو العشبي إلى جهة
 غير مرخص لها ممارسة النشاط.</t>
  </si>
  <si>
    <t>عدم الالتزام بالتبليغ المباشر(اللحظي) لتحرك الدواء في نظام التتبع الإلكتروني المعتمد من قبل الهيئة .</t>
  </si>
  <si>
    <t>عدم تجاوب وكلاء الأدوية مع الطلبات الخاصة بمستحضراتهم المسجلة  في خدمة العرض والطلب على نظام رصد.</t>
  </si>
  <si>
    <t>عدم تطبيق مبدأ تجميع الشحنات عند توزيعها ونقلها وفقاً لمدونة مواصفات باركود الأدوية المنشورة على موقع الهيئة</t>
  </si>
  <si>
    <t xml:space="preserve">لكل عبوة تم ضبطها أو تداولها بما لا يزيد على( 100.000 ريال)
</t>
  </si>
  <si>
    <t>عدم اقتصار بيع المستحضرات الصيدلانية أو العشبية بالتجزئة على الصيدليات ومنشآت بيع المستحضرات العشبية.</t>
  </si>
  <si>
    <t>عدم الالتزام بتقديم ما يثبت مصدر شراء المستحضر الصيدلاني أو العشبي</t>
  </si>
  <si>
    <t xml:space="preserve">لكل تركيز وشكل وحجم وصيغة دوائية بمالا يزيد على( 100.000 ريال)
</t>
  </si>
  <si>
    <t xml:space="preserve">لكل تركيز وشكل وحجم
 وصيغة دوائية بما لا يزيد على
(  50.000 ريال)
</t>
  </si>
  <si>
    <t xml:space="preserve">عدم التزام مستودع وكيل المصنع الخارجي بتوفير مستحضر غير أساسي وليس له بدائل مسجلة </t>
  </si>
  <si>
    <t>عدم التزام مستودع وكيل المصنع الخارجي بتوفير مستحضر لم يسوق أو يستورد لمدة عامين وليس عليه بلاغ أو شكوى من انقطاعه.</t>
  </si>
  <si>
    <t>لكل تركيز وشكل وحجم وصيغة دوائية بما لا يزيد على
(200.000 ريال)</t>
  </si>
  <si>
    <t>لكل تركيز وشكل وحجم وصيغة دوائية بما لا يزيد على
( 50.000 ريال)</t>
  </si>
  <si>
    <t xml:space="preserve">بيع المستحضر الصيدلاني أو العشبي غير المسجل إلى غير الجهة المستفيدة له برخصة الاستيراد دون موافقة الهيئة. </t>
  </si>
  <si>
    <t>عدم التزام المستودع المستورد للمستحضر غير المسجل بإبلاغ الهيئة فوراً عن أي ملاحظة متعلقة بالمستحضر المستورد.</t>
  </si>
  <si>
    <t>تداول مستحضر مضبوط أو متعهد عليه بعدم التصرف قبل إنهاء إجراءات فك الحجز  (التحريز).</t>
  </si>
  <si>
    <t>عدم طباعة عبارة "عينة مجانية" على عبوة عينات المستحضر  بخط واضح وباللغة العربية والإنجليزية.</t>
  </si>
  <si>
    <t>لكل تركيز وشكل وحجم
 وصيغة دوائية بما لا يزيد على
(  50.000 ريال)</t>
  </si>
  <si>
    <t>لكل تركيز وشكل وحجم
 وصيغة دوائية</t>
  </si>
  <si>
    <t>عدم توافق نصوص البيانات والنشرات والدعايات والإعلانات في المجــلات أو المــؤتمرات و النــدوات والنــشرات العلميــة أو غيرها من الوسائل المخصــصة للممارسين الصحيين والخاصـة بالمستحـضرات التـي يتطلـب الحـصول عليهـا وصــفة طبيــة مع ما تحتويه من مواد وخواص علاجية وفق ما هو محدد فـي النـشرة الخاصة بالمستحضر أو ملخـص خـواص المستحـضر المعتمدة لدى الهيئة.</t>
  </si>
  <si>
    <t>استعمال معلومات غير صحيحة للترويج للمستحضر 
سواءً عليه أو في الدعاية له.</t>
  </si>
  <si>
    <t>إقامة محاضرة علمية موجهة للممارسين الصحيين 
دون الالتزام بالشروط والضوابط المعتمدة لدى الهيئة.</t>
  </si>
  <si>
    <t>إقامة حملات توعية بالأمراض والتثقيف الصحي 
دون الالتزام بالشروط والضوابط المعتمدة لدى الهيئة.</t>
  </si>
  <si>
    <t>68/2/2</t>
  </si>
  <si>
    <t>69/2/2</t>
  </si>
  <si>
    <t>70/2/2</t>
  </si>
  <si>
    <t>71/2/2</t>
  </si>
  <si>
    <t>عدم الالتزام بالأحكام والمسؤوليات بين المؤجر والمستأجر والشروط الخاصة بالتخزين للغير المنشورة على موقع الهيئة</t>
  </si>
  <si>
    <t xml:space="preserve"> موقع الهيئة والمتعلقة بالإعلان والدعاية.</t>
  </si>
  <si>
    <t xml:space="preserve"> على موقع الهيئة والمتعلقة بالتداول. </t>
  </si>
  <si>
    <t>عدم الالتزام بالشروط أو المتطلبات أو التعاميم المنشورة على
 موقع الهيئة والمتعلقة بالإعلان والدعاية.</t>
  </si>
  <si>
    <t xml:space="preserve">عدم الالتزام بالشروط أو المتطلبات أو التعاميم المنشورة
 على موقع الهيئة والمتعلقة بالتداول. </t>
  </si>
  <si>
    <t>72/2/2</t>
  </si>
  <si>
    <t>73/2/2</t>
  </si>
  <si>
    <t>عدم التزام مستودع وكيل المصنع الخارجي بالشروط أو المتطلبات أو التعاميم المنشورة على موقع الهيئة و المتعلقة بتوفر المستحضرات الصيدلانية والعشبية.</t>
  </si>
  <si>
    <t>إتلاف المستحضر المضبوط أو المتعهد عليه بعدم التصرف أو صدر له قرار سحب أو استدعاء دون الالتزام بإجراءات الإتلاف المنشورة على موقع الهيئة .</t>
  </si>
  <si>
    <t>عدم تزويد الهيئة بتقارير دورية مفصلة عن عملية سحب
 المستحضر خلال المدة المحددة.</t>
  </si>
  <si>
    <t>عدم الالتزام بمتطلبات تحليل المستحضرات الصيدلانية
 أو العشبية المنشورة على موقع الهيئة.</t>
  </si>
  <si>
    <t>عدم الالتزام بمتطلبات نظام الإفصاح والشفافية المنشورة على موقع الهيئة.</t>
  </si>
  <si>
    <t>عدم تفرغ المسؤول عن متابعة قسم التيقظ.</t>
  </si>
  <si>
    <t>عدم إشعار الهيئة في حال رغبة مدير المكتب العلمي ترك العمل.</t>
  </si>
  <si>
    <t>عدم التزام مقدم طلب التسجيل بالشروط التي منحت
 بموجبها شهادة التسجيل.</t>
  </si>
  <si>
    <t>التصرف بمستحضر مضبوط أو متعهد عليه بعدم التصرف قبل إنهاء إجراءات فك الحجز  (التحريز).</t>
  </si>
  <si>
    <t>لكل تركيز وشكل وحجم وصيغة دوائية</t>
  </si>
  <si>
    <t xml:space="preserve">لكل تركيز و شكل وحجم وصيغة دوائية
</t>
  </si>
  <si>
    <t xml:space="preserve">لكل دعاية أو إعلان </t>
  </si>
  <si>
    <t>عدم التزام المنشأة الصيدلية بنسبة الصيادلة السعوديين من إجمالي  عدد الصيادلة العاملين في المنشأة الصيدلية المملوكة لنفس المالك بمعايير وزارة الموارد البشرية والتنمية الاجتماعية في نطاقات المهن حسب المناطق والمحافظات</t>
  </si>
  <si>
    <t>عدم التزام المنشأة الصيدلية بأن يكون من  يعمل في مجال الدعاية والتعريف بالمستحضرات الصيدلانية أو العشبية متفرغاً</t>
  </si>
  <si>
    <t>28/2/3</t>
  </si>
  <si>
    <t>29/2/3</t>
  </si>
  <si>
    <t>30/2/3</t>
  </si>
  <si>
    <t>عدم وجود مبنى مستقل للمكتب العلمي أو عدم تخصيص
 جزء من مبنى الشركة.</t>
  </si>
  <si>
    <t>عدم الالتزام بتجهيز المكتب العلمي بالتجهيزات والمراجع
 اللازمة لأداء المهام المناطة به.</t>
  </si>
  <si>
    <r>
      <t>عدم الالتزام بأي مهمة من مهام المكتب العلمي.</t>
    </r>
    <r>
      <rPr>
        <b/>
        <sz val="12"/>
        <color rgb="FFFF0000"/>
        <rFont val="Sakkal Majalla"/>
      </rPr>
      <t>*</t>
    </r>
  </si>
  <si>
    <r>
      <t xml:space="preserve">عدم الالتزام بمهمة التأكد من دقة المعلومات المستخدمة في تسويق المستحضر المسجل  ومطابقته للمعلومات المعتمدة لدى الهيئة </t>
    </r>
    <r>
      <rPr>
        <b/>
        <sz val="12"/>
        <color rgb="FFFF0000"/>
        <rFont val="Sakkal Majalla"/>
      </rPr>
      <t>*</t>
    </r>
  </si>
  <si>
    <t>عدم قيام قسم التيقظ الدوائي بأي مهمة من مهامه حسب الدليل الإرشادي لأسس الممارسات الجيدة للتيقظ</t>
  </si>
  <si>
    <t>عدم الالتزام بمتطلبات نظام الإفصاح والشفافية
 المنشورة على موقع الهيئة.</t>
  </si>
  <si>
    <r>
      <t xml:space="preserve">عدم الالتزام بإبلاغ الهيئة عن أعراض جانبية غير متوقعة خطيرة خلال 15 يوماً </t>
    </r>
    <r>
      <rPr>
        <b/>
        <sz val="12"/>
        <color rgb="FFFF0000"/>
        <rFont val="Sakkal Majalla"/>
      </rPr>
      <t>*</t>
    </r>
  </si>
  <si>
    <r>
      <t xml:space="preserve">عدم الالتزام بإبلاغ الهيئة عن أعراض جانبية غير متوقعة
 غير خطيرة خلال 15 يوماً </t>
    </r>
    <r>
      <rPr>
        <b/>
        <sz val="12"/>
        <color rgb="FFFF0000"/>
        <rFont val="Sakkal Majalla"/>
      </rPr>
      <t>*</t>
    </r>
  </si>
  <si>
    <r>
      <t xml:space="preserve">عدم الالتزام بإبلاغ الهيئة عن أعراض جانبية متوقعة 
خطيرة خلال 15 يوماً </t>
    </r>
    <r>
      <rPr>
        <b/>
        <sz val="12"/>
        <color rgb="FFFF0000"/>
        <rFont val="Sakkal Majalla"/>
      </rPr>
      <t>*</t>
    </r>
  </si>
  <si>
    <r>
      <t xml:space="preserve">عدم الالتزام بإبلاغ الهيئة عن أعراض جانبية متوقعة غير خطيرة  خلال 90 يوماً </t>
    </r>
    <r>
      <rPr>
        <b/>
        <sz val="12"/>
        <color rgb="FFFF0000"/>
        <rFont val="Sakkal Majalla"/>
      </rPr>
      <t>*</t>
    </r>
  </si>
  <si>
    <r>
      <t>عدم الالتزام بإبلاغ الهيئة فوراً عن ملاحظات تخص جودة المستحضرات.</t>
    </r>
    <r>
      <rPr>
        <b/>
        <sz val="12"/>
        <color rgb="FFFF0000"/>
        <rFont val="Sakkal Majalla"/>
      </rPr>
      <t>*</t>
    </r>
  </si>
  <si>
    <r>
      <t>عدم الالتزام بإبلاغ الهيئة عن بلاغات تخص نقصاً في فعالية المستحضر  خلال  15 يوماً.</t>
    </r>
    <r>
      <rPr>
        <b/>
        <sz val="12"/>
        <color rgb="FFFF0000"/>
        <rFont val="Sakkal Majalla"/>
      </rPr>
      <t>*</t>
    </r>
  </si>
  <si>
    <t xml:space="preserve"> الفصل الأول : مخالفات ترخيص المنشأة </t>
  </si>
  <si>
    <t>عدم الالتزام بالشروط أو المتطلبات أو التعاميم المنشورة على موقع الهيئة والمتعلقة بالترخيص.</t>
  </si>
  <si>
    <t>عدم إشعار الهيئة في حال رغبة مدير مركز الاستشارات الدوائية  ترك العمل.</t>
  </si>
  <si>
    <t xml:space="preserve">عدم توافق نصوص البيانات والنشرات والدعايات والإعلانات في المجــلات أو المــؤتمرات والنــدوات والنــشرات العلميــة أو غيرها من الوسائل المخصــصة للممارسين الصحيين والخاصـة بالمستحـضرات التـي يتطلـب الحـصول عليهـا وصــفة طبيــة مع ما تحتويه من مواد وخواص علاجية وفق ما هو محدد فـي النـشرة الخاصة بالمستحضر أو ملخـص خـواص المستحـضر المعتمدة لدى الهيئة.
</t>
  </si>
  <si>
    <t>كل تركيز وشكل وحجم وصيغة دوائية بما لا يزيد على(50,000ريال)</t>
  </si>
  <si>
    <t>إتلاف المستحضر المضبوط أو المتعهد عليه بعدم التصرف دون الالتزام بإجراءات الإتلاف المنشورة على موقع الهيئة.</t>
  </si>
  <si>
    <t>تصفية مركز الاستشارات الدوائية بطريقة مخالفة
 للإجراءات التي حددتها اللائحة .</t>
  </si>
  <si>
    <t>تصفية مركز الاستشارات الدوائية دون إبلاغ الهيئة.</t>
  </si>
  <si>
    <t>عدم التزام المنشأة الصيدلية بنسبة الصيادلة السعوديين من إجمالي  عدد الصيادلة العاملين في المنشأة الصيدلية المملوكة لنفس المالك بمعايير وزارة الموارد البشرية والتنمية الاجتماعية في نطاقات المهن حسب المناطق والمحافظات.</t>
  </si>
  <si>
    <t xml:space="preserve">حصول الممارسين الصحيين المرخصين على منشأة صيدلية على أي منفعة مادية أو عينية مـن شركات أو وكلاء أو موزعين أو مستودعات بقصد الترويج أو التسويق أو توجيه المريض لمستحضر باسم تجاري محدد.
</t>
  </si>
  <si>
    <t>عدم استيفاء الشروط الفنية الخاصة بكل نشاط .</t>
  </si>
  <si>
    <t>عدم تفرغ مدير مركز تحليل المستحضرات الصيدلانية والعشبية</t>
  </si>
  <si>
    <t xml:space="preserve">عدم الالتزام بالشروط أو المتطلبات أو التعاميم المنشورة
 على موقع الهيئة والمتعلقة بالترخيص. </t>
  </si>
  <si>
    <t>عدم إشعار الهيئة في حال رغبة مدير مركز تحليل المستحضرات الصيدلانية والعشبية ترك العمل.</t>
  </si>
  <si>
    <t>عدم تعطيل العبوات المنتهية الصلاحية او المسحوبة او المتضررة بالشكل الصحيح في نظام التتبع الالكتروني.</t>
  </si>
  <si>
    <t>57/2/1</t>
  </si>
  <si>
    <t>لكل حملة توعوية</t>
  </si>
  <si>
    <t>مزاولة المصنع النشاط بعد اغلاقه أو إلغاء ترخيصه من قبل الهيئة.</t>
  </si>
  <si>
    <t>مزاولة المصنع النشاط بعد إيقاف خطوط الإنتاج.</t>
  </si>
  <si>
    <t>22/2/3</t>
  </si>
  <si>
    <t>لكل عملية نقل أو استلام</t>
  </si>
  <si>
    <t>58/2/1</t>
  </si>
  <si>
    <t>عدم التزام مركز الاستشارات الدوائية  بالتعهد الصادر من الهيئة.</t>
  </si>
  <si>
    <t>30/2/4</t>
  </si>
  <si>
    <r>
      <t>ممارسة النشاط دون الحصول على ترخيص من الهيئة.</t>
    </r>
    <r>
      <rPr>
        <b/>
        <sz val="12"/>
        <color rgb="FFFF0000"/>
        <rFont val="Sakkal Majalla"/>
      </rPr>
      <t>*</t>
    </r>
    <r>
      <rPr>
        <b/>
        <sz val="12"/>
        <color theme="1"/>
        <rFont val="Sakkal Majalla"/>
      </rPr>
      <t xml:space="preserve">
</t>
    </r>
    <r>
      <rPr>
        <b/>
        <sz val="12"/>
        <color rgb="FFFF0000"/>
        <rFont val="Sakkal Majalla"/>
      </rPr>
      <t/>
    </r>
  </si>
  <si>
    <t>عدم التقيد بشروط الترخيص المنصوص عليها في النظام و اللائحة في حال البيع أو التنازل أو نقل ملكية أو أي تصرف آخر.</t>
  </si>
  <si>
    <t xml:space="preserve">إضافة رقم بند التجارة العالمي (GTIN) بشكل خاطئ للمستحضر. </t>
  </si>
  <si>
    <t>عدم تحديث رقم بند التجارة العالمي (GTIN) للمستحضر.</t>
  </si>
  <si>
    <t>عدم إشعار الهيئة في حال رغبة مدير المصنع ترك العمل.</t>
  </si>
  <si>
    <t>19/1/1</t>
  </si>
  <si>
    <t>17/2/1</t>
  </si>
  <si>
    <t>عدم الالتزام بنسبة الربح على سعر المستحضر الصيدلاني أو العشبي المحددة بالنظام.</t>
  </si>
  <si>
    <t xml:space="preserve">عدم التزام المصنع المحلي بتوفير مستحضر أساسي وله بدائل مسجلة </t>
  </si>
  <si>
    <t>عدم التزام المصنع المحلي بتوفير مخزون يكفي لمدة (6) أشهر من المستحضر المسجل.</t>
  </si>
  <si>
    <t>نقل أو استلم المستحضرات الصيدلانية أو العشبية بوسيلة نقل غير مناسبة لذلك.</t>
  </si>
  <si>
    <t>عدم طباعة عبارة "عينة مجانية" على عبوة عينات المستحضر بخط واضح وباللغة العربية والإنجليزية.</t>
  </si>
  <si>
    <t>الدعاية و الإعلان عن المستحضرات التـي يتطلـب الحـصول عليهـا وصــفة طبيــة فــي غير المجــلات والمــؤتمرات والنــدوات والنــشرات العلميــة أو غيرها من الوسائل المخصــصة للممارسين الصحيين.</t>
  </si>
  <si>
    <t>الدعاية والإعلان عن المستحضرات التي يتم صرفها بدون وصفة طبية في وسائل الإعلان المختلفة أو التعديل عليه دون الحصول على موافقة الهيئة.</t>
  </si>
  <si>
    <t>عدم الحصول على موافقة الهيئة قبل نشر أي حملة توعية بالأمراض أو التثقيف الصحي والموجهة للجمهور.</t>
  </si>
  <si>
    <t>عدم الالتزام بالشروط أو المتطلبات أو التعاميم المنشورة على موقع الهيئة والمتعلقة بالإعلان والدعاية.</t>
  </si>
  <si>
    <t xml:space="preserve">عدم الالتزام بالشروط أو المتطلبات أو التعاميم المنشورة على موقع الهيئة والمتعلقة بالتداول. </t>
  </si>
  <si>
    <t xml:space="preserve">عدم التزام المصنع المحلي بالشروط أو المتطلبات أو التعاميم المنشورة على موقع الهيئة والمتعلقة بتوفر المستحضرات الصيدلانية والعشبية. </t>
  </si>
  <si>
    <t>إتلاف المستحضر المضبوط أو المتعهد عليه بعدم التصرف أو صدر له قرار سحب أو استدعاء دون الالتزام بإجراءات الإتلاف المنشورة على موقع الهيئة.</t>
  </si>
  <si>
    <t xml:space="preserve"> عدم الالتزام بإجراءات سحب أو استدعاء المستحضر .</t>
  </si>
  <si>
    <t>عدم التزام الممارسين الصحيين العاملين في المنشأة الصيدلية بنظام مزاولة المهن الصحية ولائحته التنفيذية.</t>
  </si>
  <si>
    <t>عدم تفرغ المسؤول عن المواد المخدرة والمؤثرات العقلية في مستودع الإتجار  بالمواد المخدرة والمؤثرات العقلية.</t>
  </si>
  <si>
    <t>تخزين مستحضر تالف أو منتهي الصلاحية بمدة تزيد على سنة من تاريخ انتهاء المستحضر.</t>
  </si>
  <si>
    <t>عدم وجود خزنة (أو منطقة تخزين) خاصة لحفظ الأدوية المحتوية على مواد مخدرة أو مؤثرات عقلية وفق اشتراطات حفظ المواد المخدرة والمؤثرات العقلية المنشورة على موقع الهيئة.</t>
  </si>
  <si>
    <t>الثلاجة في المستودع غير مزودة بمنظم للحرارة وسجل إلكتروني لمراقبة درجة الحرارة وجهاز إنذار  في حال انخفاض أو ارتفاع درجة الحرارة عن الدرجة المطلوبة.</t>
  </si>
  <si>
    <t>خامسًا : مركز تحليل المستحضرات الصيدلانية والعشبية</t>
  </si>
  <si>
    <t>عدم تعيين صيدلي مديراً لمركز تحليل المستحضرات الصيدلانية والعشبية.</t>
  </si>
  <si>
    <t>تصفية مركز تحليل المستحضرات الصيدلانية والعشبية
 بطريقة مخالفة للإجراءات التي حددتها اللائحة.</t>
  </si>
  <si>
    <t>إعاقة عمل المفتش عن أداء مهامه التفتيشية.</t>
  </si>
  <si>
    <t>مزاولة مركز تحليل المستحضرات الصيدلانية والعشبية النشاط بعد إغلاقه أو إلغاء ترخيصه من قبل الهيئة.</t>
  </si>
  <si>
    <t xml:space="preserve">لكل تركيز وشكل وحجم وصيغة دوائية </t>
  </si>
  <si>
    <t xml:space="preserve"> الفصل الثاني : مخالفات عامة</t>
  </si>
  <si>
    <t>عدم الاقتصار في توزيع العينات المجانية على تعريف الأطباء والصيادلة بالدواء.</t>
  </si>
  <si>
    <t>استعمال معلومات غير صحيحة للترويج للمستحضر سواءً عليه أو  في الدعاية له.</t>
  </si>
  <si>
    <t xml:space="preserve"> الفصل الثاني :مخالفات عامة</t>
  </si>
  <si>
    <t>تجاوز العينات المجانية المسموح بتوزيعها نسبة 1% من الكمية المستوردة من المستحضر الصيدلاني أو العشبي.</t>
  </si>
  <si>
    <t>مزاولة المكتب العلمي النشاط بعد إغلاقه أو إلغاء ترخيصه من قبل الهيئة.</t>
  </si>
  <si>
    <t>عدم الالتزام بمهمة  التأكد من مطابقة معلومات النشرة الداخلية والعبوة الخارجيـة للمستحـضر المـسجل لما هو معتمد لدى الهيئة.*</t>
  </si>
  <si>
    <t>عدم الالتزام بمهمة التأكد من التـزام الـشركة التـي يمثلهـا المكتـب بمـا ورد بالمدونـة الـسعودية لأخلاقيات ممارسة تسويق المستحضرات الصيدلانية والعشبية المنشورة على موقع الهيئة.*</t>
  </si>
  <si>
    <t xml:space="preserve">عدم الالتزام بتوفير وسائل خفض المخاطر المعتمدة من الهيئة للمستحضرات الصيدلانية والعشبية في جميع المنشآت الصحية والصيدليات التي يصرف ويباع فيها المستحضر الصيدلاني ودعم الممارسين الصحيين لتطبيقها. *
</t>
  </si>
  <si>
    <t>* يتم ضبط مخالفة ممارسة نشاط المكتب العلمي دون ترخيص على المصنع المحلي وفي حال كان المصنع خارجي يتم ضبطها على مستودع وكيل المستحضر للمصنع الخارجي بالإضافة للمخالفات الموضحة ب(*) تكون على المصنع المحلي أو مستودع وكيل المستحضر للمصنع الخارجي في حال عدم وجود ترخيص مكتب علمي .</t>
  </si>
  <si>
    <t xml:space="preserve">عدم الالتزام باشتراطات مدونة أسس ممارسة التوزيع والتخزين الجيدة المنشورة على موقع الهيئة. </t>
  </si>
  <si>
    <t>عدم تعطيل العبوات المنتهية الصلاحية او المسحوبة أو المتضررة بالشكل الصحيح في نظام التتبع الإلكتروني.</t>
  </si>
  <si>
    <t>التبليغ الخاطئ لتحرك الدواء في نظام التتبع الإلكتروني المعتمد.</t>
  </si>
  <si>
    <t>استيراد عبوات لا تحتوي على باركود ثنائي الأبعاد مطابق لمدونة مواصفات باركود الأدوية المنشورة على موقع الهيئة.</t>
  </si>
  <si>
    <t>عدم الاحتفاظ بالمستندات التي تثبت مصدر شراء المستحضرات لفترة لا تقل عن ثلاثة أشهر من تاريخ نفاد الكمية.</t>
  </si>
  <si>
    <t xml:space="preserve">عدم التزام مستودع وكيل المصنع الخارجي بتوفير مستحضر أساسي وله بدائل مسجلة </t>
  </si>
  <si>
    <t xml:space="preserve">عدم التزام مستودع و كيل المصنع الخارجي بتوفير مستحضر غير أساسي و له بدائل مسجلة </t>
  </si>
  <si>
    <t xml:space="preserve">عدم التزام مستودع وكيل المصنع الخارجي بإعداد خطة واضحة لتوفير جميع المستحضرات المسجلة وإبلاغ الهيئة بذلك سنوياً. </t>
  </si>
  <si>
    <t>عدم التزام مستودع وكيل المصنع الخارجي بتوفير البيانات حول الوارد والرصيد للمستحضر المسجل وتزويد الهيئة بنسخة منها عند الطلب.</t>
  </si>
  <si>
    <t>عدم التزام مستودع وكيل المصنع الخارجي بتحديث نموذج توقع النقص عند توفر المستحضر.</t>
  </si>
  <si>
    <t>القيام بتصدير أو إعادة تصدير المستحضر الصيدلاني أو العشبي دون التأكد من توفر كميات تغطي الاحتياج للسوق المحلي لمدة (6) أشهر.</t>
  </si>
  <si>
    <t>استيراد المستحضرات الصيدلانية أو العشبية التي لم يوفرها المصنع المنتج دون موافقة الهيئة.</t>
  </si>
  <si>
    <t>استيراد المستحضرات الصيدلانية أو العشبية قبل تسجيلها دون موافقة الهيئة.</t>
  </si>
  <si>
    <t>74/2/2</t>
  </si>
  <si>
    <t>75/2/2</t>
  </si>
  <si>
    <t xml:space="preserve"> الفصل الثالث : مخالفات عامة </t>
  </si>
  <si>
    <t xml:space="preserve"> عدم الالتزام بإجراءات سحب أو استدعاء المستحضر.</t>
  </si>
  <si>
    <t>مزاولة المستودع النشاط بعد إغلاقه أو إلغاء ترخيصه من قبل الهيئة.</t>
  </si>
  <si>
    <t>مزاولة مركز الاستشارات النشاط بعد إغلاقه أو إلغاء ترخيصه من قبل الهيئة.</t>
  </si>
  <si>
    <t>عدم التزام المنشأة الصيدلية بأن يكون من يعمل في مجال الدعاية والتعريف بالمستحضرات الصيدلانية أو العشبية متفرغاً.</t>
  </si>
  <si>
    <t xml:space="preserve"> الفصل الثالث : مخالفات عامة</t>
  </si>
  <si>
    <t>عدم التزام المصنع المحلي بتعويض أي نقص في المخزون خلال (3) أشهر كحد أقصى من المستحضر المسجل.</t>
  </si>
  <si>
    <t>عدم التزام مستودع وكيل المصنع الخارجي بتعويض أي نقص في المخزون خلال (3) أشهر كحد أقصى من المستحضر المسجل.</t>
  </si>
  <si>
    <t>عدم التزام مستودع وكيل المصنع الخارجي بتوفير مخزون يكفي لمدة (6) أشهر من المستحضر المسجل.</t>
  </si>
  <si>
    <t>15/1/1</t>
  </si>
  <si>
    <t>لكل عبوة من كل تركيز وشكل وحجم وصيغة دوائية بما لا يزيد على(50.000 ريال)</t>
  </si>
  <si>
    <t>عدم الالتزام بتحديث معلومات المنشأة أو معلومات الشخص المفوض في نظام التتبع الإلكتروني المعتمد من الهيئة.</t>
  </si>
  <si>
    <t>عدم تزويد ملف تجميع الشحنات للجهات المستقبلة للشحنات حسب ما نصت عليه مدونة مواصفات باركود الأدوية المنشورة على موقع الهيئة.</t>
  </si>
  <si>
    <t>عدم التزام المصنع المحلي بإبلاغ الهيئة في حال توقع نقص أو انقطاع في إمداد المستحضرات المسجلة للشركة بمدة لا تقل عن (6) أشهر من الوقت المتوقع لانقطاع الإمداد أو تأثر المخزون، مع تقديم الحلول التي تساهم في تعويض النقص.</t>
  </si>
  <si>
    <t>لكل عبوة من كل تركيز
   وشكل وحجم وصيغة دوائية بما لا يزيد على
 (  50.000 ريال)</t>
  </si>
  <si>
    <t>لكل عبوة من كل تركيز
   وشكل وحجم وصيغة دوائية بما لا يزيد على (  50.000 ريال)</t>
  </si>
  <si>
    <t xml:space="preserve">لكل عبوة من كل تركيز
   وشكل وحجم وصيغة دوائية بما لا يزيد على (  50.000 ريال)
</t>
  </si>
  <si>
    <t>لكل عبوة تم ضبطها أو تداولها بما لا يزيد على( 100.000 ريال)</t>
  </si>
  <si>
    <t>عدم التزام مستودع وكيل المصنع الخارجي بإبلاغ الهيئة في حال توقع نقص أو انقطاع في إمداد المستحضرات المسجلة للشركة بمدة لا تقل عن (6) أشهر من الوقت المتوقع لانقطاع الإمداد أو تأثر المخزون، مع تقديم الحلول التي تساهم في تعويض النقص.</t>
  </si>
  <si>
    <t>كل تركيز وشكل وحجم وصيغة دوائية بما لا يزيد لى(50,000ريال)</t>
  </si>
  <si>
    <t>عدم الالتزام بالشروط أو المتطلبات أو التعاميم المنشورة  على موقع الهيئة والمتعلقة بالإعلان والدعاية.</t>
  </si>
  <si>
    <t>مركز الاستشارات الدوائية لا يشغل مكان مستقل في حال تضمن نشاطه دراسات التكافؤ  والتوافر الحيوي أو مختبر تحليل المستحضرات الصيدلانية والعشبية.</t>
  </si>
  <si>
    <t>كل تركيز وشكل وحجم وصيغة دوائية بما لا يزيد على (50,000 ريال)</t>
  </si>
  <si>
    <t xml:space="preserve">السند النظامي </t>
  </si>
  <si>
    <t>جــــــــــــدول تصنيـــــــــــــف المخالفات والعقوبــــــات المقررة لها وفقاً لنظـــام المنشآت والمستحضرات الصيدلانية والعشبيـــة ولائحته التنفيذيـــــــــــــــة</t>
  </si>
  <si>
    <t xml:space="preserve">المادة الثانية من نظـــام المنشآت والمستحضرات الصيدلانية والعشبيـــة </t>
  </si>
  <si>
    <t xml:space="preserve">المادة التاسعة من نظـــام المنشآت والمستحضرات الصيدلانية والعشبيـــة </t>
  </si>
  <si>
    <t xml:space="preserve">المادة الثالثة والثلاثون من نظـــام المنشآت والمستحضرات الصيدلانية والعشبيـــة </t>
  </si>
  <si>
    <t>المادة الثالثة الفقرة (7) من اللائحة التنفيذية لنظـــام المنشآت والمستحضرات الصيدلانية والعشبيـــة</t>
  </si>
  <si>
    <t>المادة الثالثة الفقرة (1) من نظـــام المنشآت والمستحضرات الصيدلانية والعشبيـــة</t>
  </si>
  <si>
    <t>المادة التاسعة الفقرة (4) من اللائحة التنفيذية لنظـــام المنشآت والمستحضرات الصيدلانية والعشبيـــة</t>
  </si>
  <si>
    <t>المادة الرابعة والعشرون الفقرة (5) من اللائحة التنفيذية لنظـــام المنشآت والمستحضرات الصيدلانية والعشبيـــة</t>
  </si>
  <si>
    <t>المادة الثالثة والثلاثون من اللائحة التنفيذية لنظـــام المنشآت والمستحضرات الصيدلانية والعشبيـــة</t>
  </si>
  <si>
    <t>المادة الخامسة والثلاثون الفقرة (1) من نظـــام المنشآت والمستحضرات الصيدلانية والعشبيـــة</t>
  </si>
  <si>
    <t>المادة التاسعة الفقرة (2) من اللائحة التنفيذية لنظـــام المنشآت والمستحضرات الصيدلانية والعشبيـــة</t>
  </si>
  <si>
    <t>المادة التاسعة الفقرة (3) من اللائحة التنفيذية لنظـــام المنشآت والمستحضرات الصيدلانية والعشبيـــة</t>
  </si>
  <si>
    <t>المادة الثالثة عشرة الفقرة (5) من اللائحة التنفيذية لنظـــام المنشآت والمستحضرات الصيدلانية والعشبيـــة</t>
  </si>
  <si>
    <t>المادة الحادية والثلاثون الفقرة (7) من اللائحة التنفيذية لنظـــام المنشآت والمستحضرات الصيدلانية والعشبيـــة</t>
  </si>
  <si>
    <t>المادة الثانية من نظـــام المنشآت والمستحضرات الصيدلانية والعشبيـــة</t>
  </si>
  <si>
    <t>المادة التاسعة من نظـــام المنشآت والمستحضرات الصيدلانية والعشبيـــة</t>
  </si>
  <si>
    <t>المادة الثالثة والثلاثون من نظـــام المنشآت والمستحضرات الصيدلانية والعشبيـــة</t>
  </si>
  <si>
    <t>المادة الرابعة والثلاثون الفقرة (6) من نظـــام المنشآت والمستحضرات الصيدلانية والعشبيـــة</t>
  </si>
  <si>
    <t>المادة الثالثة عشرة الفقرة (2) من اللائحة التنفيذية لنظـــام المنشآت والمستحضرات الصيدلانية والعشبيـــة</t>
  </si>
  <si>
    <t>المادة الثالثة عشرة الفقرة (3) من اللائحة التنفيذية لنظـــام المنشآت والمستحضرات الصيدلانية والعشبيـــة</t>
  </si>
  <si>
    <t>المادة الحادية والثلاثون الفقرة (1) من اللائحة التنفيذية لنظـــام المنشآت والمستحضرات الصيدلانية والعشبيـــة</t>
  </si>
  <si>
    <t>المادة الرابعة والثلاثون الفقرة (5) من اللائحة التنفيذية لنظـــام المنشآت والمستحضرات الصيدلانية والعشبيـــة</t>
  </si>
  <si>
    <t>المادة الحادية والثلاثون الفقرة (3) من اللائحة التنفيذية لنظـــام المنشآت والمستحضرات الصيدلانية والعشبيـــة</t>
  </si>
  <si>
    <t>المادة الحادية والثلاثون الفقرة (4) من اللائحة التنفيذية لنظـــام المنشآت والمستحضرات الصيدلانية والعشبيـــة</t>
  </si>
  <si>
    <t>المادة الحادية والثلاثون الفقرة (5) من اللائحة التنفيذية لنظـــام المنشآت والمستحضرات الصيدلانية والعشبيـــة</t>
  </si>
  <si>
    <t>المادة الثانية والثلاثون من نظـــام المنشآت والمستحضرات الصيدلانية والعشبيـــة</t>
  </si>
  <si>
    <t>المادة الثانية والثلاثون الفقرة (2) من اللائحة التنفيذية لنظـــام المنشآت والمستحضرات الصيدلانية والعشبيـــة</t>
  </si>
  <si>
    <t>المادة االخامسة والثلاثون الفقرة (1) من نظـــام المنشآت والمستحضرات الصيدلانية والعشبيـــة</t>
  </si>
  <si>
    <t>المادة االثالثة عشرة الفقرة (5) من اللائحة التنفيذية لنظـــام المنشآت والمستحضرات الصيدلانية والعشبيـــة</t>
  </si>
  <si>
    <t>المادة الثالثة الفقرة (4) من اللائحة التنفيذية لنظـــام المنشآت والمستحضرات الصيدلانية والعشبيـــة</t>
  </si>
  <si>
    <t>المادة الثالثة الفقرة (2) من نظـــام المنشآت والمستحضرات الصيدلانية والعشبيـــة</t>
  </si>
  <si>
    <t>المادة السادسة الفقرة (5) من اللائحة التنفيذية لنظـــام المنشآت والمستحضرات الصيدلانية والعشبيـــة</t>
  </si>
  <si>
    <t>المادة السادسة من نظـــام المنشآت والمستحضرات الصيدلانية والعشبيـــة</t>
  </si>
  <si>
    <t>المادة السادسة الفقرة (6) من اللائحة التنفيذية لنظـــام المنشآت والمستحضرات الصيدلانية والعشبيـــة</t>
  </si>
  <si>
    <t>المادة الرابعة والعشرون الفقرة (1) من اللائحة التنفيذية لنظـــام المنشآت والمستحضرات الصيدلانية والعشبيـــة</t>
  </si>
  <si>
    <t>المادة الرابعة والعشرون  الفقرة (2) من اللائحة التنفيذية لنظـــام المنشآت والمستحضرات الصيدلانية والعشبيـــة</t>
  </si>
  <si>
    <t>المادة الثامنة عشرة الفقرة (2) من اللائحة التنفيذية لنظـــام المنشآت والمستحضرات الصيدلانية والعشبيـــة</t>
  </si>
  <si>
    <t>المادةالثانية والثلاثون من نظـــام المنشآت والمستحضرات الصيدلانية والعشبيـــة</t>
  </si>
  <si>
    <t>المادة العاشرة من نظـــام المنشآت والمستحضرات الصيدلانية والعشبيـــة</t>
  </si>
  <si>
    <t>المادة العاشرة الفقرة (2) من نظـــام المنشآت والمستحضرات الصيدلانية والعشبيـــة</t>
  </si>
  <si>
    <t>المادة الثالثة عشرة الفقرة (1) من اللائحة التنفيذية لنظـــام المنشآت والمستحضرات الصيدلانية والعشبيـــة</t>
  </si>
  <si>
    <t>المادةالثالثة عشرة الفقرة (2) من اللائحة التنفيذية لنظـــام المنشآت والمستحضرات الصيدلانية والعشبيـــة</t>
  </si>
  <si>
    <t>المادة الثالثة عشرة الفقرة (4) من اللائحة التنفيذية لنظـــام المنشآت والمستحضرات الصيدلانية والعشبيـــة</t>
  </si>
  <si>
    <t>المادة الحادية والثلاثون الفقرة (2) من اللائحة التنفيذية لنظـــام المنشآت والمستحضرات الصيدلانية والعشبيـــة</t>
  </si>
  <si>
    <t>المادة الحادية والثلاثون الفقرة (6) من اللائحة التنفيذية لنظـــام المنشآت والمستحضرات الصيدلانية والعشبيـــة</t>
  </si>
  <si>
    <t>المادة السادسة الفقرة (2) من اللائحة التنفيذية لنظـــام المنشآت والمستحضرات الصيدلانية والعشبيـــة</t>
  </si>
  <si>
    <t>المادة السادسة الفقرة (3) من اللائحة التنفيذية لنظـــام المنشآت والمستحضرات الصيدلانية والعشبيـــة</t>
  </si>
  <si>
    <t>المادةالسادسة الفقرة (6) من اللائحة التنفيذية لنظـــام المنشآت والمستحضرات الصيدلانية والعشبيـــة</t>
  </si>
  <si>
    <t>المادة الرابعة الفقرة(11) من اللائحة التنفيذية لنظـــام المنشآت والمستحضرات الصيدلانية والعشبيـــة</t>
  </si>
  <si>
    <t>المادة السابعة من نظـــام المنشآت والمستحضرات الصيدلانية والعشبيـــة</t>
  </si>
  <si>
    <t>المادة الرابعة الفقرة (11) من اللائحة التنفيذية لنظـــام المنشآت والمستحضرات الصيدلانية والعشبيـــة</t>
  </si>
  <si>
    <t>المادة الرابعة الفقرة (1) من نظـــام المنشآت والمستحضرات الصيدلانية والعشبيـــة</t>
  </si>
  <si>
    <t>المادة الرابعة الفقرة (2) من اللائحة التنفيذية لنظـــام المنشآت والمستحضرات الصيدلانية والعشبيـــة</t>
  </si>
  <si>
    <t>المادة الرابعة الفقرة (5) من اللائحة التنفيذية لنظـــام المنشآت والمستحضرات الصيدلانية والعشبيـــة</t>
  </si>
  <si>
    <t>المادة الرابعة الفقرة (6) من اللائحة التنفيذية لنظـــام المنشآت والمستحضرات الصيدلانية والعشبيـــة</t>
  </si>
  <si>
    <t>المادةا التاسعة من نظـــام المنشآت والمستحضرات الصيدلانية والعشبيـــة</t>
  </si>
  <si>
    <t>المادة الرابعة والعشرون الفقرة (2) من اللائحة التنفيذية لنظـــام المنشآت والمستحضرات الصيدلانية والعشبيـــة</t>
  </si>
  <si>
    <t>المادة الرابعة الفقرة (3) من اللائحة التنفيذية لنظـــام المنشآت والمستحضرات الصيدلانية والعشبيـــة</t>
  </si>
  <si>
    <t>المادة الرابعة الفقرة (8) من اللائحة التنفيذية لنظـــام المنشآت والمستحضرات الصيدلانية والعشبيـــة</t>
  </si>
  <si>
    <t>المادة التاسعة عشرة الفقرة (2) من اللائحة التنفيذية لنظـــام المنشآت والمستحضرات الصيدلانية والعشبيـــة</t>
  </si>
  <si>
    <t>المادة لرابعة الفقرة (7) من اللائحة التنفيذية لنظـــام المنشآت والمستحضرات الصيدلانية والعشبيـــة</t>
  </si>
  <si>
    <t>المادة الثانية عشرة من نظـــام المنشآت والمستحضرات الصيدلانية والعشبيـــة</t>
  </si>
  <si>
    <t>الحادية عشرة الفقرة (1) من اللائحة التنفيذية لنظـــام المنشآت والمستحضرات الصيدلانية والعشبيـــة</t>
  </si>
  <si>
    <t>الرابعة عشرة الفقرة (2) من نظـــام المنشآت والمستحضرات الصيدلانية والعشبيـــة</t>
  </si>
  <si>
    <t>الخامسة عشرة الفقرة (1) من اللائحة التنفيذية لنظـــام المنشآت والمستحضرات الصيدلانية والعشبيـــة</t>
  </si>
  <si>
    <t>الخامسة عشرة الفقرة (4) من اللائحة التنفيذية لنظـــام المنشآت والمستحضرات الصيدلانية والعشبيـــة</t>
  </si>
  <si>
    <t>المادة الخامسة عشرة الفقرة (2) من نظـــام المنشآت والمستحضرات الصيدلانية والعشبيـــة</t>
  </si>
  <si>
    <t>المادةالخامسة عشرة الفقرة (1) من اللائحة التنفيذية لنظـــام المنشآت والمستحضرات الصيدلانية والعشبيـــة</t>
  </si>
  <si>
    <t>المادة التاسعة عشرة من نظـــام المنشآت والمستحضرات الصيدلانية والعشبيـــة</t>
  </si>
  <si>
    <t>المادة الحادية والعشرون من نظـــام المنشآت والمستحضرات الصيدلانية والعشبيـــة</t>
  </si>
  <si>
    <t>المادةالحادية والعشرون الفقرة (1) من اللائحة التنفيذية لنظـــام المنشآت والمستحضرات الصيدلانية والعشبيـــة</t>
  </si>
  <si>
    <t>المادة الحادية والعشرون الفقرة (2) من اللائحة التنفيذية لنظـــام المنشآت والمستحضرات الصيدلانية والعشبيـــة</t>
  </si>
  <si>
    <t>المادةالحادية والعشرون الفقرة (4) من اللائحة التنفيذية لنظـــام المنشآت والمستحضرات الصيدلانية والعشبيـــة</t>
  </si>
  <si>
    <t>المادةالحادية والعشرون الفقرة (5) من اللائحة التنفيذية لنظـــام المنشآت والمستحضرات الصيدلانية والعشبيـــة</t>
  </si>
  <si>
    <t>المادة الثانية والعشرون من نظـــام المنشآت والمستحضرات الصيدلانية والعشبيـــة</t>
  </si>
  <si>
    <t>المادة  الثانية والعشرون الفقرة (2) من اللائحة التنفيذية لنظـــام المنشآت والمستحضرات الصيدلانية والعشبيـــة</t>
  </si>
  <si>
    <t>المادة الثالثة والعشرون من نظـــام المنشآت والمستحضرات الصيدلانية والعشبيـــة</t>
  </si>
  <si>
    <t>المادةالسابعة والعشرون من نظـــام المنشآت والمستحضرات الصيدلانية والعشبيـــة</t>
  </si>
  <si>
    <t>المادة الثالثة والعشرون الفقرة (1) من اللائحة التنفيذية لنظـــام المنشآت والمستحضرات الصيدلانية والعشبيـــة</t>
  </si>
  <si>
    <t>المادة السابعة والعشرون الفقرة (1) من اللائحة التنفيذية لنظـــام المنشآت والمستحضرات الصيدلانية والعشبيـــة</t>
  </si>
  <si>
    <t>المادة الثالثة عشرة الفقرة (1)من اللائحة التنفيذية لنظـــام المنشآت والمستحضرات الصيدلانية والعشبيـــة</t>
  </si>
  <si>
    <t>المادة الثالثة عشرة الفقرة (4)من اللائحة التنفيذية لنظـــام المنشآت والمستحضرات الصيدلانية والعشبيـــة</t>
  </si>
  <si>
    <t>المادة الحادية والثلاثون الفقرة (1)  من اللائحة التنفيذية لنظـــام المنشآت والمستحضرات الصيدلانية والعشبيـــة</t>
  </si>
  <si>
    <t>المادة الحادية والثلاثون الفقرة (5)من اللائحة التنفيذية لنظـــام المنشآت والمستحضرات الصيدلانية والعشبيـــة</t>
  </si>
  <si>
    <t>المادة الحادية والثلاثون الفقرة (6)من اللائحة التنفيذية لنظـــام المنشآت والمستحضرات الصيدلانية والعشبيـــة</t>
  </si>
  <si>
    <t>المادة الرابعة الفقرة(11)من اللائحة التنفيذية لنظـــام المنشآت والمستحضرات الصيدلانية والعشبيـــة</t>
  </si>
  <si>
    <t>المادة الرابعة والعشرون الفقرة (3) من اللائحة التنفيذية لنظـــام المنشآت والمستحضرات الصيدلانية والعشبيـــة</t>
  </si>
  <si>
    <t>المادة الرابعة والعشرون الفقرة (3)من اللائحة التنفيذية لنظـــام المنشآت والمستحضرات الصيدلانية والعشبيـــة</t>
  </si>
  <si>
    <t>المادة الخامسة والثلاثون الفقرة (1)من اللائحة التنفيذية لنظـــام المنشآت والمستحضرات الصيدلانية والعشبيـــة</t>
  </si>
  <si>
    <t>المادة التاسعة والعشرون من نظـــام المنشآت والمستحضرات الصيدلانية والعشبيـــة</t>
  </si>
  <si>
    <t>المادة الخامسة الفقرة (12) من اللائحة التنفيذية لنظـــام المنشآت والمستحضرات الصيدلانية والعشبيـــة</t>
  </si>
  <si>
    <t>المادة الخامسة الفقرة (9) من اللائحة التنفيذية لنظـــام المنشآت والمستحضرات الصيدلانية والعشبيـــة</t>
  </si>
  <si>
    <t>المادة الخامسة الفقرة (7) من اللائحة التنفيذية لنظـــام المنشآت والمستحضرات الصيدلانية والعشبيـــة</t>
  </si>
  <si>
    <t>المادة الخامسة الفقرة (7) من نظـــام المنشآت والمستحضرات الصيدلانية والعشبيـــة</t>
  </si>
  <si>
    <t>المادة الخامسة الفقرة (3) من اللائحة التنفيذية لنظـــام المنشآت والمستحضرات الصيدلانية والعشبيـــة</t>
  </si>
  <si>
    <t>المادة الخامسة الفقرة (5) من اللائحة التنفيذية لنظـــام المنشآت والمستحضرات الصيدلانية والعشبيـــة</t>
  </si>
  <si>
    <t>المادة التاسعة  من نظـــام المنشآت والمستحضرات الصيدلانية والعشبيـــة</t>
  </si>
  <si>
    <t>المادة التاسعة الفقرة (6) من اللائحة التنفيذية لنظـــام المنشآت والمستحضرات الصيدلانية والعشبيـــة</t>
  </si>
  <si>
    <t>المادة الخامسة الفقرة (6) من اللائحة التنفيذية لنظـــام المنشآت والمستحضرات الصيدلانية والعشبيـــة</t>
  </si>
  <si>
    <t>المادة الثلاثون من نظـــام المنشآت والمستحضرات الصيدلانية والعشبيـــة</t>
  </si>
  <si>
    <t>المادة الرابعة عشرة الفقرة (3) من اللائحة التنفيذية لنظـــام المنشآت والمستحضرات الصيدلانية والعشبيـــة</t>
  </si>
  <si>
    <t>المادة السادسة والعشرون من نظـــام المنشآت والمستحضرات الصيدلانية والعشبيـــة</t>
  </si>
  <si>
    <t>المادة الخامسة عشرة الفقرة (4) من اللائحة التنفيذية لنظـــام المنشآت والمستحضرات الصيدلانية والعشبيـــة</t>
  </si>
  <si>
    <t>المادة الحادية والعشرون الفقرة (1)من اللائحة التنفيذية لنظـــام المنشآت والمستحضرات الصيدلانية والعشبيـــة</t>
  </si>
  <si>
    <t>المادة الحادية والعشرون الفقرة (4) من اللائحة التنفيذية لنظـــام المنشآت والمستحضرات الصيدلانية والعشبيـــة</t>
  </si>
  <si>
    <t>المادة الحادية والعشرون الفقرة (5) من اللائحة التنفيذية لنظـــام المنشآت والمستحضرات الصيدلانية والعشبيـــة</t>
  </si>
  <si>
    <t>المادة الثانية والعشرون (4) من اللائحة التنفيذية لنظـــام المنشآت والمستحضرات الصيدلانية والعشبيـــة</t>
  </si>
  <si>
    <t>المادة الثامنة والعشرون من نظـــام المنشآت والمستحضرات الصيدلانية والعشبيـــة</t>
  </si>
  <si>
    <t>عدم تعيين مدير فني صيدلي.</t>
  </si>
  <si>
    <t>عدم الالتزام بأن يكون المدير الفني الصيدلي سعودي.</t>
  </si>
  <si>
    <t>عدم الالتزام بأن يكون الصيدلي المسؤول عن مراقبة المواد المخدرة والمؤثرات العقلية سعودي.</t>
  </si>
  <si>
    <t>20/1/1</t>
  </si>
  <si>
    <t>21/1/1</t>
  </si>
  <si>
    <t>عدم تعيـين صـيدلي مسؤولاً عن مراقبة المواد المخدرة والمؤثرات العقلية في حال تصنيعها.</t>
  </si>
  <si>
    <t>المادة الخامسة الفقرة (8) من اللائحة التنفيذية لنظـــام المنشآت والمستحضرات الصيدلانية والعشبيـــة</t>
  </si>
  <si>
    <t>لكل عبوة من كل تركيز وشكل وحجم وصيغة دوائية بما لا يزيد على (50.000 ريال)</t>
  </si>
  <si>
    <t>المادة الحادية عشرة الفقرة (1) من اللائحة التنفيذية لنظـــام المنشآت والمستحضرات الصيدلانية والعشبيـــة</t>
  </si>
  <si>
    <t>المادة الرابعة عشر من نظـــام المنشآت والمستحضرات الصيدلانية والعشبيـــة</t>
  </si>
  <si>
    <t>المادة الثانية والعشرون الفقرة (2) من اللائحة التنفيذية لنظـــام المنشآت والمستحضرات الصيدلانية والعشبيـــة</t>
  </si>
  <si>
    <t>عدم التزام المنشأة الصيدلية بأن يكون من يعمل في مجال الدعاية والتعريف بالمستحضرات الصيدلانية أو العشبية صيدلي.</t>
  </si>
  <si>
    <t>عدم التزام المنشأة الصيدلية بأن يكون الصيدلي الذي يعمل في مجال الدعاية والتعريف بالمستحضرات الصيدلانية أو العشبية سعودي.</t>
  </si>
  <si>
    <t>22/3/1</t>
  </si>
  <si>
    <t>عدم تعيين صيدلي مسؤول عن المواد المخدرة والمؤثرات العقلية في مستودع الإتجار بالمواد المخدرة والمؤثرات العقلية.</t>
  </si>
  <si>
    <t>عدم التزام المنشأة الصيدلية بأن يكون الصيدلي المسؤول عن مراقبة المواد المخدرة والمؤثرات العقلية في مستودع الإتجار بالمواد المخدرة والمؤثرات العقلية سعودي.</t>
  </si>
  <si>
    <t>19/1/2</t>
  </si>
  <si>
    <t>المادة الرابعة الفقرة(10) من اللائحة التنفيذية لنظـــام المنشآت والمستحضرات الصيدلانية والعشبيـــة</t>
  </si>
  <si>
    <t xml:space="preserve">عدم التزام المنشأة الصيدلية بأن يكون الصيدلي الذي يعمل في مجال الدعاية والتعريف بالمستحضرات الصيدلانية أو العشبية سعودي.
</t>
  </si>
  <si>
    <t>21/3/2</t>
  </si>
  <si>
    <t>عدم تعيين صيدلي لمتابعة قسم التيقظ.</t>
  </si>
  <si>
    <t>عدم التزام المنشأة الصيدلية بأن يكون الصيدلي المسؤول عن متابعة قسم التيقظ سعودي.</t>
  </si>
  <si>
    <t>14/1/3</t>
  </si>
  <si>
    <t>15/1/3</t>
  </si>
  <si>
    <t>المادة السادسة الفقرة (5) من نظـــام المنشآت والمستحضرات الصيدلانية والعشبيـــة</t>
  </si>
  <si>
    <t xml:space="preserve">المادة السادسة الفقرة (1) من نظـــام المنشآت والمستحضرات الصيدلانية والعشبيـــة </t>
  </si>
  <si>
    <t>عدم الالتزام بالشروط أو المتطلبات أو التعاميم المنشورة على موقع الهيئة  والمتعلقة بالإعلان والدعاية.</t>
  </si>
  <si>
    <t>47/2/3</t>
  </si>
  <si>
    <t>المادة االثالثة الفقرة (6) من اللائحة التنفيذية لنظـــام المنشآت والمستحضرات الصيدلانية والعشبيـــة</t>
  </si>
  <si>
    <t>عدم استيفاء الشروط الفنية أو المتطلبات الواردة بدليل ترخيص المختبرات الخاصة المنشورة على موقع الهيئة.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</si>
</sst>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5" x14ac:knownFonts="1">
    <font>
      <sz val="11"/>
      <color theme="1"/>
      <name val="Calibri"/>
      <family val="2"/>
      <scheme val="minor"/>
    </font>
    <font>
      <sz val="11"/>
      <color theme="1"/>
      <name val="Calibri"/>
      <family val="2"/>
      <charset val="178"/>
      <scheme val="minor"/>
    </font>
    <font>
      <b/>
      <sz val="12"/>
      <color theme="1"/>
      <name val="Sakkal Majalla"/>
    </font>
    <font>
      <b/>
      <sz val="12"/>
      <color rgb="FFFF0000"/>
      <name val="Sakkal Majalla"/>
    </font>
    <font>
      <sz val="11"/>
      <color theme="1"/>
      <name val="Calibri"/>
      <family val="2"/>
      <scheme val="minor"/>
    </font>
    <font>
      <sz val="12"/>
      <color theme="1"/>
      <name val="Sakkal Majalla"/>
    </font>
    <font>
      <sz val="8"/>
      <name val="Calibri"/>
      <family val="2"/>
      <scheme val="minor"/>
    </font>
    <font>
      <sz val="12"/>
      <color theme="1"/>
      <name val="Calibri"/>
      <family val="2"/>
      <scheme val="minor"/>
    </font>
    <font>
      <b/>
      <sz val="14"/>
      <color theme="1"/>
      <name val="Sakkal Majalla"/>
    </font>
    <font>
      <sz val="11"/>
      <color theme="1"/>
      <name val="Sakkal Majalla"/>
    </font>
    <font>
      <b/>
      <sz val="11"/>
      <color theme="1"/>
      <name val="Sakkal Majalla"/>
    </font>
    <font>
      <b/>
      <u/>
      <sz val="12"/>
      <color theme="1"/>
      <name val="Sakkal Majalla"/>
    </font>
    <font>
      <sz val="11"/>
      <color rgb="FF9C6500"/>
      <name val="Calibri"/>
      <family val="2"/>
      <scheme val="minor"/>
    </font>
    <font>
      <b/>
      <sz val="12"/>
      <color theme="1" tint="4.9989318521683403E-2"/>
      <name val="Sakkal Majalla"/>
    </font>
    <font>
      <sz val="12"/>
      <color theme="1" tint="4.9989318521683403E-2"/>
      <name val="Calibri"/>
      <family val="2"/>
      <scheme val="minor"/>
    </font>
    <font>
      <sz val="12"/>
      <color theme="1" tint="4.9989318521683403E-2"/>
      <name val="Sakkal Majalla"/>
    </font>
    <font>
      <b/>
      <u/>
      <sz val="12"/>
      <color theme="1" tint="4.9989318521683403E-2"/>
      <name val="Sakkal Majalla"/>
    </font>
    <font>
      <sz val="12"/>
      <color rgb="FFFF0000"/>
      <name val="Calibri"/>
      <family val="2"/>
      <scheme val="minor"/>
    </font>
    <font>
      <b/>
      <sz val="12"/>
      <name val="Sakkal Majalla"/>
    </font>
    <font>
      <sz val="12"/>
      <color rgb="FFC00000"/>
      <name val="Calibri"/>
      <family val="2"/>
      <scheme val="minor"/>
    </font>
    <font>
      <b/>
      <sz val="12"/>
      <color theme="1"/>
      <name val="Calibri"/>
      <family val="2"/>
      <scheme val="minor"/>
    </font>
    <font>
      <sz val="9"/>
      <color rgb="FFFF0000"/>
      <name val="Hacen Saudi Arabia"/>
    </font>
    <font>
      <b/>
      <sz val="16"/>
      <name val="Sakkal Majalla"/>
    </font>
    <font>
      <sz val="11"/>
      <name val="Calibri"/>
      <family val="2"/>
      <scheme val="minor"/>
    </font>
    <font>
      <sz val="14"/>
      <color theme="1" tint="4.9989318521683403E-2"/>
      <name val="Sakkal Majalla"/>
    </font>
  </fonts>
  <fills count="13">
    <fill>
      <patternFill patternType="none"/>
    </fill>
    <fill>
      <patternFill patternType="gray125"/>
    </fill>
    <fill>
      <patternFill patternType="solid">
        <fgColor theme="5" tint="0.59999389629810485"/>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7" tint="0.59999389629810485"/>
        <bgColor indexed="65"/>
      </patternFill>
    </fill>
    <fill>
      <patternFill patternType="solid">
        <fgColor theme="9" tint="0.79998168889431442"/>
        <bgColor indexed="65"/>
      </patternFill>
    </fill>
    <fill>
      <patternFill patternType="solid">
        <fgColor theme="4" tint="0.39994506668294322"/>
        <bgColor indexed="64"/>
      </patternFill>
    </fill>
    <fill>
      <patternFill patternType="solid">
        <fgColor theme="5" tint="0.39994506668294322"/>
        <bgColor indexed="64"/>
      </patternFill>
    </fill>
    <fill>
      <patternFill patternType="solid">
        <fgColor rgb="FFFFEB9C"/>
      </patternFill>
    </fill>
    <fill>
      <patternFill patternType="solid">
        <fgColor theme="0"/>
        <bgColor indexed="64"/>
      </patternFill>
    </fill>
    <fill>
      <patternFill patternType="solid">
        <fgColor theme="3" tint="0.79998168889431442"/>
        <bgColor indexed="64"/>
      </patternFill>
    </fill>
    <fill>
      <patternFill patternType="solid">
        <fgColor theme="2"/>
        <bgColor indexed="64"/>
      </patternFill>
    </fill>
  </fills>
  <borders count="3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thin">
        <color indexed="64"/>
      </bottom>
      <diagonal/>
    </border>
    <border>
      <left style="thin">
        <color indexed="64"/>
      </left>
      <right/>
      <top/>
      <bottom/>
      <diagonal/>
    </border>
    <border>
      <left style="thin">
        <color indexed="64"/>
      </left>
      <right style="thin">
        <color indexed="64"/>
      </right>
      <top/>
      <bottom/>
      <diagonal/>
    </border>
    <border>
      <left style="medium">
        <color indexed="64"/>
      </left>
      <right style="medium">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style="medium">
        <color indexed="64"/>
      </left>
      <right/>
      <top style="medium">
        <color indexed="64"/>
      </top>
      <bottom/>
      <diagonal/>
    </border>
    <border>
      <left style="medium">
        <color indexed="64"/>
      </left>
      <right/>
      <top/>
      <bottom style="thin">
        <color indexed="64"/>
      </bottom>
      <diagonal/>
    </border>
    <border>
      <left style="thin">
        <color indexed="64"/>
      </left>
      <right style="medium">
        <color indexed="64"/>
      </right>
      <top/>
      <bottom/>
      <diagonal/>
    </border>
    <border>
      <left/>
      <right/>
      <top/>
      <bottom style="thin">
        <color indexed="64"/>
      </bottom>
      <diagonal/>
    </border>
    <border>
      <left/>
      <right style="thin">
        <color indexed="64"/>
      </right>
      <top/>
      <bottom style="thin">
        <color indexed="64"/>
      </bottom>
      <diagonal/>
    </border>
  </borders>
  <cellStyleXfs count="6">
    <xf numFmtId="0" fontId="0" fillId="0" borderId="0"/>
    <xf numFmtId="0" fontId="4" fillId="5" borderId="0" applyNumberFormat="0" applyBorder="0" applyAlignment="0" applyProtection="0"/>
    <xf numFmtId="0" fontId="1" fillId="6" borderId="0" applyNumberFormat="0" applyFont="0" applyBorder="0" applyAlignment="0" applyProtection="0"/>
    <xf numFmtId="49" fontId="2" fillId="7" borderId="6" applyNumberFormat="0" applyFont="0" applyBorder="0" applyAlignment="0" applyProtection="0">
      <alignment horizontal="center" vertical="center" wrapText="1" readingOrder="2"/>
      <protection locked="0"/>
    </xf>
    <xf numFmtId="49" fontId="2" fillId="8" borderId="6" applyNumberFormat="0" applyFont="0" applyBorder="0" applyAlignment="0" applyProtection="0">
      <alignment horizontal="center" vertical="center" wrapText="1" readingOrder="2"/>
      <protection locked="0"/>
    </xf>
    <xf numFmtId="0" fontId="12" fillId="9" borderId="0" applyNumberFormat="0" applyBorder="0" applyAlignment="0" applyProtection="0"/>
  </cellStyleXfs>
  <cellXfs count="219">
    <xf numFmtId="0" fontId="0" fillId="0" borderId="0" xfId="0"/>
    <xf numFmtId="0" fontId="5" fillId="0" borderId="0" xfId="0" applyFont="1"/>
    <xf numFmtId="0" fontId="7" fillId="0" borderId="0" xfId="0" applyFont="1"/>
    <xf numFmtId="49" fontId="7" fillId="0" borderId="0" xfId="0" applyNumberFormat="1" applyFont="1" applyProtection="1">
      <protection locked="0"/>
    </xf>
    <xf numFmtId="0" fontId="7" fillId="0" borderId="0" xfId="0" applyFont="1" applyProtection="1">
      <protection locked="0"/>
    </xf>
    <xf numFmtId="0" fontId="8" fillId="0" borderId="6" xfId="0" applyFont="1" applyBorder="1" applyAlignment="1">
      <alignment horizontal="center" vertical="center" wrapText="1"/>
    </xf>
    <xf numFmtId="0" fontId="8" fillId="0" borderId="15" xfId="0" applyFont="1" applyBorder="1" applyAlignment="1">
      <alignment horizontal="center" vertical="center" wrapText="1"/>
    </xf>
    <xf numFmtId="0" fontId="8" fillId="0" borderId="16" xfId="0" applyFont="1" applyBorder="1" applyAlignment="1">
      <alignment horizontal="center" vertical="center" wrapText="1"/>
    </xf>
    <xf numFmtId="0" fontId="8" fillId="0" borderId="7" xfId="0" applyFont="1" applyBorder="1" applyAlignment="1">
      <alignment horizontal="center" vertical="center" wrapText="1"/>
    </xf>
    <xf numFmtId="49" fontId="2" fillId="0" borderId="7" xfId="0" applyNumberFormat="1" applyFont="1" applyBorder="1" applyAlignment="1" applyProtection="1">
      <alignment horizontal="center" vertical="center" wrapText="1" readingOrder="2"/>
      <protection locked="0"/>
    </xf>
    <xf numFmtId="3" fontId="10" fillId="0" borderId="7" xfId="0" applyNumberFormat="1" applyFont="1" applyBorder="1" applyAlignment="1" applyProtection="1">
      <alignment horizontal="center" vertical="center" wrapText="1" readingOrder="2"/>
      <protection locked="0"/>
    </xf>
    <xf numFmtId="3" fontId="10" fillId="0" borderId="7" xfId="0" applyNumberFormat="1" applyFont="1" applyBorder="1" applyAlignment="1" applyProtection="1">
      <alignment horizontal="center" vertical="center" wrapText="1" readingOrder="2"/>
      <protection hidden="1"/>
    </xf>
    <xf numFmtId="0" fontId="0" fillId="0" borderId="4" xfId="0" applyBorder="1"/>
    <xf numFmtId="0" fontId="2" fillId="0" borderId="13" xfId="0" applyFont="1" applyBorder="1" applyAlignment="1" applyProtection="1">
      <alignment horizontal="center" vertical="center" wrapText="1" readingOrder="2"/>
      <protection locked="0"/>
    </xf>
    <xf numFmtId="0" fontId="7" fillId="0" borderId="0" xfId="0" applyFont="1" applyAlignment="1" applyProtection="1">
      <alignment wrapText="1"/>
      <protection locked="0"/>
    </xf>
    <xf numFmtId="0" fontId="2" fillId="0" borderId="0" xfId="0" applyFont="1"/>
    <xf numFmtId="3" fontId="2" fillId="4" borderId="5" xfId="0" applyNumberFormat="1" applyFont="1" applyFill="1" applyBorder="1" applyAlignment="1" applyProtection="1">
      <alignment horizontal="center" vertical="center" wrapText="1" readingOrder="2"/>
      <protection locked="0"/>
    </xf>
    <xf numFmtId="0" fontId="2" fillId="4" borderId="5" xfId="0" applyFont="1" applyFill="1" applyBorder="1" applyAlignment="1" applyProtection="1">
      <alignment horizontal="center" vertical="center" wrapText="1" readingOrder="2"/>
      <protection locked="0"/>
    </xf>
    <xf numFmtId="3" fontId="7" fillId="0" borderId="0" xfId="0" applyNumberFormat="1" applyFont="1" applyProtection="1">
      <protection locked="0"/>
    </xf>
    <xf numFmtId="0" fontId="2" fillId="0" borderId="7" xfId="0" applyFont="1" applyBorder="1" applyAlignment="1" applyProtection="1">
      <alignment horizontal="center" vertical="center" wrapText="1" readingOrder="2"/>
      <protection locked="0"/>
    </xf>
    <xf numFmtId="0" fontId="11" fillId="0" borderId="7" xfId="0" applyFont="1" applyBorder="1" applyAlignment="1" applyProtection="1">
      <alignment horizontal="center" vertical="center" wrapText="1" readingOrder="2"/>
      <protection locked="0"/>
    </xf>
    <xf numFmtId="0" fontId="11" fillId="0" borderId="8" xfId="0" applyFont="1" applyBorder="1" applyAlignment="1" applyProtection="1">
      <alignment horizontal="center" vertical="center" wrapText="1" readingOrder="2"/>
      <protection locked="0"/>
    </xf>
    <xf numFmtId="0" fontId="13" fillId="0" borderId="7" xfId="0" applyFont="1" applyBorder="1" applyAlignment="1" applyProtection="1">
      <alignment horizontal="center" vertical="center" wrapText="1" readingOrder="2"/>
      <protection locked="0"/>
    </xf>
    <xf numFmtId="49" fontId="2" fillId="0" borderId="7" xfId="0" applyNumberFormat="1" applyFont="1" applyBorder="1" applyAlignment="1" applyProtection="1">
      <alignment horizontal="center" vertical="center" wrapText="1" readingOrder="1"/>
      <protection locked="0"/>
    </xf>
    <xf numFmtId="0" fontId="2" fillId="0" borderId="6" xfId="0" applyFont="1" applyBorder="1" applyAlignment="1">
      <alignment horizontal="center" vertical="center" wrapText="1"/>
    </xf>
    <xf numFmtId="0" fontId="7" fillId="0" borderId="0" xfId="0" applyFont="1" applyAlignment="1" applyProtection="1">
      <alignment horizontal="center" wrapText="1"/>
      <protection locked="0"/>
    </xf>
    <xf numFmtId="3" fontId="2" fillId="0" borderId="7" xfId="0" applyNumberFormat="1" applyFont="1" applyBorder="1" applyAlignment="1" applyProtection="1">
      <alignment horizontal="center" vertical="center" wrapText="1" readingOrder="2"/>
      <protection locked="0"/>
    </xf>
    <xf numFmtId="0" fontId="2" fillId="0" borderId="15" xfId="0" applyFont="1" applyBorder="1" applyAlignment="1">
      <alignment horizontal="center" vertical="center" wrapText="1"/>
    </xf>
    <xf numFmtId="3" fontId="2" fillId="0" borderId="7" xfId="0" applyNumberFormat="1" applyFont="1" applyBorder="1" applyAlignment="1" applyProtection="1">
      <alignment horizontal="center" vertical="center" wrapText="1" readingOrder="2"/>
      <protection hidden="1"/>
    </xf>
    <xf numFmtId="0" fontId="2" fillId="0" borderId="16" xfId="0" applyFont="1" applyBorder="1" applyAlignment="1">
      <alignment horizontal="center" vertical="center" wrapText="1"/>
    </xf>
    <xf numFmtId="49" fontId="13" fillId="0" borderId="7" xfId="0" applyNumberFormat="1" applyFont="1" applyBorder="1" applyAlignment="1" applyProtection="1">
      <alignment horizontal="center" vertical="center" wrapText="1" readingOrder="1"/>
      <protection locked="0"/>
    </xf>
    <xf numFmtId="0" fontId="16" fillId="0" borderId="7" xfId="0" applyFont="1" applyBorder="1" applyAlignment="1" applyProtection="1">
      <alignment horizontal="center" vertical="center" wrapText="1" readingOrder="2"/>
      <protection locked="0"/>
    </xf>
    <xf numFmtId="3" fontId="13" fillId="0" borderId="7" xfId="0" applyNumberFormat="1" applyFont="1" applyBorder="1" applyAlignment="1" applyProtection="1">
      <alignment horizontal="center" vertical="center" wrapText="1" readingOrder="2"/>
      <protection locked="0"/>
    </xf>
    <xf numFmtId="0" fontId="14" fillId="0" borderId="0" xfId="0" applyFont="1"/>
    <xf numFmtId="0" fontId="17" fillId="0" borderId="0" xfId="0" applyFont="1"/>
    <xf numFmtId="0" fontId="13" fillId="0" borderId="7" xfId="5" applyFont="1" applyFill="1" applyBorder="1" applyAlignment="1" applyProtection="1">
      <alignment horizontal="center" vertical="center" wrapText="1" readingOrder="2"/>
      <protection locked="0"/>
    </xf>
    <xf numFmtId="0" fontId="15" fillId="0" borderId="0" xfId="5" applyFont="1" applyFill="1"/>
    <xf numFmtId="0" fontId="13" fillId="0" borderId="6" xfId="0" applyFont="1" applyBorder="1" applyAlignment="1">
      <alignment horizontal="center" vertical="center" wrapText="1"/>
    </xf>
    <xf numFmtId="0" fontId="14" fillId="0" borderId="0" xfId="5" applyFont="1" applyFill="1"/>
    <xf numFmtId="0" fontId="18" fillId="0" borderId="7" xfId="0" applyFont="1" applyBorder="1" applyAlignment="1" applyProtection="1">
      <alignment horizontal="center" vertical="center" wrapText="1" readingOrder="2"/>
      <protection locked="0"/>
    </xf>
    <xf numFmtId="0" fontId="2" fillId="10" borderId="7" xfId="0" applyFont="1" applyFill="1" applyBorder="1" applyAlignment="1" applyProtection="1">
      <alignment horizontal="center" vertical="center" wrapText="1" readingOrder="2"/>
      <protection locked="0"/>
    </xf>
    <xf numFmtId="0" fontId="11" fillId="10" borderId="7" xfId="0" applyFont="1" applyFill="1" applyBorder="1" applyAlignment="1" applyProtection="1">
      <alignment horizontal="center" vertical="center" wrapText="1" readingOrder="2"/>
      <protection locked="0"/>
    </xf>
    <xf numFmtId="0" fontId="7" fillId="10" borderId="0" xfId="0" applyFont="1" applyFill="1"/>
    <xf numFmtId="3" fontId="2" fillId="10" borderId="7" xfId="0" applyNumberFormat="1" applyFont="1" applyFill="1" applyBorder="1" applyAlignment="1" applyProtection="1">
      <alignment horizontal="center" vertical="center" wrapText="1" readingOrder="2"/>
      <protection hidden="1"/>
    </xf>
    <xf numFmtId="0" fontId="13" fillId="10" borderId="7" xfId="0" applyFont="1" applyFill="1" applyBorder="1" applyAlignment="1" applyProtection="1">
      <alignment horizontal="center" vertical="center" wrapText="1" readingOrder="2"/>
      <protection locked="0"/>
    </xf>
    <xf numFmtId="0" fontId="2" fillId="0" borderId="9" xfId="0" applyFont="1" applyBorder="1" applyAlignment="1" applyProtection="1">
      <alignment horizontal="center" vertical="center" wrapText="1" readingOrder="2"/>
      <protection locked="0"/>
    </xf>
    <xf numFmtId="0" fontId="2" fillId="0" borderId="27" xfId="0" applyFont="1" applyBorder="1" applyAlignment="1">
      <alignment horizontal="center" vertical="center" wrapText="1"/>
    </xf>
    <xf numFmtId="0" fontId="2" fillId="0" borderId="0" xfId="0" applyFont="1" applyAlignment="1" applyProtection="1">
      <alignment horizontal="center" vertical="center" wrapText="1" readingOrder="2"/>
      <protection locked="0"/>
    </xf>
    <xf numFmtId="0" fontId="2" fillId="0" borderId="18" xfId="0" applyFont="1" applyBorder="1" applyAlignment="1" applyProtection="1">
      <alignment horizontal="center" vertical="center" wrapText="1" readingOrder="2"/>
      <protection locked="0"/>
    </xf>
    <xf numFmtId="3" fontId="2" fillId="0" borderId="11" xfId="0" applyNumberFormat="1" applyFont="1" applyBorder="1" applyAlignment="1" applyProtection="1">
      <alignment horizontal="center" vertical="center" wrapText="1" readingOrder="2"/>
      <protection locked="0"/>
    </xf>
    <xf numFmtId="0" fontId="2" fillId="0" borderId="23" xfId="0" applyFont="1" applyBorder="1" applyAlignment="1">
      <alignment horizontal="center" vertical="center" wrapText="1"/>
    </xf>
    <xf numFmtId="3" fontId="2" fillId="0" borderId="11" xfId="0" applyNumberFormat="1" applyFont="1" applyBorder="1" applyAlignment="1" applyProtection="1">
      <alignment horizontal="center" vertical="center" wrapText="1" readingOrder="2"/>
      <protection hidden="1"/>
    </xf>
    <xf numFmtId="49" fontId="2" fillId="0" borderId="9" xfId="0" applyNumberFormat="1" applyFont="1" applyBorder="1" applyAlignment="1" applyProtection="1">
      <alignment horizontal="center" vertical="center" wrapText="1" readingOrder="1"/>
      <protection locked="0"/>
    </xf>
    <xf numFmtId="0" fontId="2" fillId="0" borderId="4" xfId="0" applyFont="1" applyBorder="1" applyAlignment="1">
      <alignment horizontal="center" vertical="center" wrapText="1"/>
    </xf>
    <xf numFmtId="0" fontId="13" fillId="0" borderId="9" xfId="0" applyFont="1" applyBorder="1" applyAlignment="1" applyProtection="1">
      <alignment horizontal="center" vertical="center" wrapText="1" readingOrder="2"/>
      <protection locked="0"/>
    </xf>
    <xf numFmtId="0" fontId="19" fillId="0" borderId="0" xfId="0" applyFont="1"/>
    <xf numFmtId="49" fontId="7" fillId="0" borderId="0" xfId="0" applyNumberFormat="1" applyFont="1" applyAlignment="1" applyProtection="1">
      <alignment readingOrder="1"/>
      <protection locked="0"/>
    </xf>
    <xf numFmtId="0" fontId="7" fillId="0" borderId="4" xfId="0" applyFont="1" applyBorder="1"/>
    <xf numFmtId="49" fontId="2" fillId="0" borderId="7" xfId="0" applyNumberFormat="1" applyFont="1" applyBorder="1" applyAlignment="1" applyProtection="1">
      <alignment horizontal="center" vertical="center" wrapText="1"/>
      <protection locked="0"/>
    </xf>
    <xf numFmtId="0" fontId="2" fillId="0" borderId="1" xfId="0" applyFont="1" applyBorder="1" applyAlignment="1" applyProtection="1">
      <alignment horizontal="center" vertical="center" wrapText="1" readingOrder="2"/>
      <protection locked="0"/>
    </xf>
    <xf numFmtId="0" fontId="20" fillId="0" borderId="0" xfId="0" applyFont="1"/>
    <xf numFmtId="49" fontId="20" fillId="0" borderId="0" xfId="0" applyNumberFormat="1" applyFont="1" applyProtection="1">
      <protection locked="0"/>
    </xf>
    <xf numFmtId="3" fontId="20" fillId="0" borderId="0" xfId="0" applyNumberFormat="1" applyFont="1" applyProtection="1">
      <protection locked="0"/>
    </xf>
    <xf numFmtId="0" fontId="20" fillId="0" borderId="0" xfId="0" applyFont="1" applyProtection="1">
      <protection locked="0"/>
    </xf>
    <xf numFmtId="0" fontId="20" fillId="0" borderId="4" xfId="0" applyFont="1" applyBorder="1"/>
    <xf numFmtId="3" fontId="13" fillId="0" borderId="7" xfId="5" applyNumberFormat="1" applyFont="1" applyFill="1" applyBorder="1" applyAlignment="1" applyProtection="1">
      <alignment horizontal="center" vertical="center" wrapText="1" readingOrder="2"/>
      <protection locked="0"/>
    </xf>
    <xf numFmtId="3" fontId="13" fillId="0" borderId="7" xfId="0" applyNumberFormat="1" applyFont="1" applyBorder="1" applyAlignment="1" applyProtection="1">
      <alignment horizontal="center" vertical="center" wrapText="1"/>
      <protection locked="0"/>
    </xf>
    <xf numFmtId="3" fontId="2" fillId="0" borderId="7" xfId="0" applyNumberFormat="1" applyFont="1" applyBorder="1" applyAlignment="1" applyProtection="1">
      <alignment horizontal="center" vertical="center" wrapText="1" readingOrder="1"/>
      <protection locked="0"/>
    </xf>
    <xf numFmtId="49" fontId="2" fillId="0" borderId="22" xfId="0" applyNumberFormat="1" applyFont="1" applyBorder="1" applyAlignment="1" applyProtection="1">
      <alignment horizontal="center" vertical="center" wrapText="1"/>
      <protection locked="0"/>
    </xf>
    <xf numFmtId="0" fontId="11" fillId="0" borderId="22" xfId="0" applyFont="1" applyBorder="1" applyAlignment="1" applyProtection="1">
      <alignment horizontal="center" vertical="center" wrapText="1" readingOrder="2"/>
      <protection locked="0"/>
    </xf>
    <xf numFmtId="49" fontId="2" fillId="0" borderId="8" xfId="0" applyNumberFormat="1" applyFont="1" applyBorder="1" applyAlignment="1" applyProtection="1">
      <alignment horizontal="center" vertical="center" wrapText="1"/>
      <protection locked="0"/>
    </xf>
    <xf numFmtId="0" fontId="2" fillId="0" borderId="8" xfId="0" applyFont="1" applyBorder="1" applyAlignment="1" applyProtection="1">
      <alignment horizontal="center" vertical="center" wrapText="1" readingOrder="2"/>
      <protection locked="0"/>
    </xf>
    <xf numFmtId="3" fontId="2" fillId="0" borderId="12" xfId="0" applyNumberFormat="1" applyFont="1" applyBorder="1" applyAlignment="1" applyProtection="1">
      <alignment horizontal="center" vertical="center" wrapText="1" readingOrder="2"/>
      <protection hidden="1"/>
    </xf>
    <xf numFmtId="0" fontId="23" fillId="0" borderId="0" xfId="0" applyFont="1"/>
    <xf numFmtId="0" fontId="15" fillId="10" borderId="7" xfId="0" applyFont="1" applyFill="1" applyBorder="1" applyAlignment="1">
      <alignment horizontal="center" vertical="center" wrapText="1"/>
    </xf>
    <xf numFmtId="3" fontId="2" fillId="4" borderId="7" xfId="0" applyNumberFormat="1" applyFont="1" applyFill="1" applyBorder="1" applyAlignment="1" applyProtection="1">
      <alignment horizontal="center" vertical="center" wrapText="1" readingOrder="2"/>
      <protection locked="0"/>
    </xf>
    <xf numFmtId="0" fontId="2" fillId="4" borderId="7" xfId="0" applyFont="1" applyFill="1" applyBorder="1" applyAlignment="1" applyProtection="1">
      <alignment horizontal="center" vertical="center" wrapText="1" readingOrder="2"/>
      <protection locked="0"/>
    </xf>
    <xf numFmtId="0" fontId="2" fillId="0" borderId="7" xfId="0" applyFont="1" applyBorder="1" applyAlignment="1">
      <alignment horizontal="center" vertical="center" wrapText="1"/>
    </xf>
    <xf numFmtId="0" fontId="13" fillId="0" borderId="7" xfId="0" applyFont="1" applyBorder="1" applyAlignment="1">
      <alignment horizontal="center" vertical="center" wrapText="1"/>
    </xf>
    <xf numFmtId="0" fontId="13" fillId="0" borderId="7" xfId="5" applyFont="1" applyFill="1" applyBorder="1" applyAlignment="1">
      <alignment horizontal="center" vertical="center" wrapText="1"/>
    </xf>
    <xf numFmtId="0" fontId="2" fillId="10" borderId="7" xfId="0" applyFont="1" applyFill="1" applyBorder="1" applyAlignment="1">
      <alignment horizontal="center" vertical="center" wrapText="1"/>
    </xf>
    <xf numFmtId="0" fontId="15" fillId="0" borderId="7" xfId="0" applyFont="1" applyBorder="1" applyAlignment="1">
      <alignment horizontal="center" vertical="center" wrapText="1"/>
    </xf>
    <xf numFmtId="3" fontId="2" fillId="0" borderId="9" xfId="0" applyNumberFormat="1" applyFont="1" applyBorder="1" applyAlignment="1" applyProtection="1">
      <alignment horizontal="center" vertical="center" wrapText="1" readingOrder="2"/>
      <protection locked="0"/>
    </xf>
    <xf numFmtId="3" fontId="2" fillId="0" borderId="21" xfId="0" applyNumberFormat="1" applyFont="1" applyBorder="1" applyAlignment="1" applyProtection="1">
      <alignment horizontal="center" vertical="center" wrapText="1" readingOrder="2"/>
      <protection hidden="1"/>
    </xf>
    <xf numFmtId="3" fontId="13" fillId="0" borderId="9" xfId="0" applyNumberFormat="1" applyFont="1" applyBorder="1" applyAlignment="1" applyProtection="1">
      <alignment horizontal="center" vertical="center" wrapText="1" readingOrder="2"/>
      <protection locked="0"/>
    </xf>
    <xf numFmtId="3" fontId="2" fillId="0" borderId="18" xfId="0" applyNumberFormat="1" applyFont="1" applyBorder="1" applyAlignment="1" applyProtection="1">
      <alignment horizontal="center" vertical="center" wrapText="1" readingOrder="2"/>
      <protection locked="0"/>
    </xf>
    <xf numFmtId="0" fontId="20" fillId="0" borderId="0" xfId="0" applyFont="1" applyAlignment="1" applyProtection="1">
      <alignment horizontal="center" wrapText="1"/>
      <protection locked="0"/>
    </xf>
    <xf numFmtId="0" fontId="5" fillId="0" borderId="7" xfId="0" applyFont="1" applyBorder="1" applyAlignment="1">
      <alignment horizontal="center" vertical="center" wrapText="1"/>
    </xf>
    <xf numFmtId="0" fontId="5" fillId="0" borderId="0" xfId="0" applyFont="1" applyAlignment="1">
      <alignment wrapText="1"/>
    </xf>
    <xf numFmtId="0" fontId="2" fillId="0" borderId="0" xfId="0" applyFont="1" applyAlignment="1">
      <alignment horizontal="center" vertical="center" wrapText="1"/>
    </xf>
    <xf numFmtId="0" fontId="15" fillId="10" borderId="8" xfId="0" applyFont="1" applyFill="1" applyBorder="1" applyAlignment="1">
      <alignment horizontal="center" vertical="center" wrapText="1"/>
    </xf>
    <xf numFmtId="0" fontId="5" fillId="0" borderId="7" xfId="0" applyFont="1" applyBorder="1" applyAlignment="1">
      <alignment horizontal="center" wrapText="1"/>
    </xf>
    <xf numFmtId="0" fontId="5" fillId="0" borderId="0" xfId="0" applyFont="1" applyAlignment="1">
      <alignment horizontal="center" vertical="center" wrapText="1"/>
    </xf>
    <xf numFmtId="0" fontId="15" fillId="0" borderId="7" xfId="5" applyFont="1" applyFill="1" applyBorder="1" applyAlignment="1">
      <alignment horizontal="center" vertical="center" wrapText="1"/>
    </xf>
    <xf numFmtId="0" fontId="14" fillId="0" borderId="7" xfId="5" applyFont="1" applyFill="1" applyBorder="1" applyAlignment="1">
      <alignment horizontal="center" vertical="center" wrapText="1"/>
    </xf>
    <xf numFmtId="0" fontId="15" fillId="0" borderId="0" xfId="0" applyFont="1" applyAlignment="1">
      <alignment horizontal="center" vertical="center" wrapText="1"/>
    </xf>
    <xf numFmtId="0" fontId="15" fillId="12" borderId="7" xfId="0" applyFont="1" applyFill="1" applyBorder="1" applyAlignment="1">
      <alignment horizontal="center" vertical="center" wrapText="1"/>
    </xf>
    <xf numFmtId="0" fontId="15" fillId="0" borderId="7" xfId="0" applyFont="1" applyBorder="1" applyAlignment="1" applyProtection="1">
      <alignment horizontal="center" vertical="center" wrapText="1" readingOrder="2"/>
      <protection locked="0"/>
    </xf>
    <xf numFmtId="3" fontId="2" fillId="0" borderId="7" xfId="0" applyNumberFormat="1" applyFont="1" applyBorder="1" applyAlignment="1" applyProtection="1">
      <alignment horizontal="center" vertical="center" wrapText="1" readingOrder="2"/>
      <protection hidden="1"/>
    </xf>
    <xf numFmtId="49" fontId="2" fillId="0" borderId="7" xfId="0" applyNumberFormat="1" applyFont="1" applyBorder="1" applyAlignment="1" applyProtection="1">
      <alignment horizontal="center" vertical="center" wrapText="1" readingOrder="1"/>
      <protection locked="0"/>
    </xf>
    <xf numFmtId="3" fontId="2" fillId="0" borderId="7" xfId="0" applyNumberFormat="1" applyFont="1" applyBorder="1" applyAlignment="1" applyProtection="1">
      <alignment horizontal="center" vertical="center" wrapText="1" readingOrder="2"/>
      <protection locked="0"/>
    </xf>
    <xf numFmtId="3" fontId="2" fillId="0" borderId="7" xfId="0" applyNumberFormat="1" applyFont="1" applyBorder="1" applyAlignment="1" applyProtection="1">
      <alignment horizontal="center" vertical="center" wrapText="1" readingOrder="2"/>
      <protection hidden="1"/>
    </xf>
    <xf numFmtId="3" fontId="2" fillId="0" borderId="7" xfId="0" applyNumberFormat="1" applyFont="1" applyBorder="1" applyAlignment="1" applyProtection="1">
      <alignment horizontal="center" vertical="center" wrapText="1" readingOrder="2"/>
      <protection locked="0"/>
    </xf>
    <xf numFmtId="49" fontId="2" fillId="0" borderId="7" xfId="0" applyNumberFormat="1" applyFont="1" applyFill="1" applyBorder="1" applyAlignment="1" applyProtection="1">
      <alignment horizontal="center" vertical="center" wrapText="1" readingOrder="1"/>
      <protection locked="0"/>
    </xf>
    <xf numFmtId="49" fontId="2" fillId="0" borderId="7" xfId="0" applyNumberFormat="1" applyFont="1" applyFill="1" applyBorder="1" applyAlignment="1" applyProtection="1">
      <alignment horizontal="center" vertical="center" wrapText="1"/>
      <protection locked="0"/>
    </xf>
    <xf numFmtId="49" fontId="2" fillId="0" borderId="0" xfId="0" applyNumberFormat="1" applyFont="1" applyBorder="1" applyAlignment="1" applyProtection="1">
      <alignment horizontal="center" vertical="center" wrapText="1"/>
      <protection locked="0"/>
    </xf>
    <xf numFmtId="0" fontId="13" fillId="0" borderId="0" xfId="0" applyFont="1" applyBorder="1" applyAlignment="1" applyProtection="1">
      <alignment horizontal="center" vertical="center" wrapText="1" readingOrder="2"/>
      <protection locked="0"/>
    </xf>
    <xf numFmtId="0" fontId="2" fillId="0" borderId="0" xfId="0" applyFont="1" applyBorder="1" applyAlignment="1">
      <alignment horizontal="center" vertical="center" wrapText="1"/>
    </xf>
    <xf numFmtId="3" fontId="2" fillId="0" borderId="0" xfId="1" applyNumberFormat="1" applyFont="1" applyFill="1" applyBorder="1" applyAlignment="1" applyProtection="1">
      <alignment horizontal="center" vertical="center" wrapText="1" readingOrder="2"/>
      <protection locked="0"/>
    </xf>
    <xf numFmtId="0" fontId="11" fillId="0" borderId="0" xfId="0" applyFont="1" applyBorder="1" applyAlignment="1" applyProtection="1">
      <alignment horizontal="center" vertical="center" wrapText="1" readingOrder="2"/>
      <protection locked="0"/>
    </xf>
    <xf numFmtId="3" fontId="2" fillId="0" borderId="0" xfId="0" applyNumberFormat="1" applyFont="1" applyBorder="1" applyAlignment="1" applyProtection="1">
      <alignment horizontal="center" vertical="center" wrapText="1" readingOrder="2"/>
      <protection locked="0"/>
    </xf>
    <xf numFmtId="0" fontId="5" fillId="0" borderId="0" xfId="0" applyFont="1" applyBorder="1" applyAlignment="1">
      <alignment horizontal="center" vertical="center" wrapText="1"/>
    </xf>
    <xf numFmtId="0" fontId="2" fillId="4" borderId="7" xfId="0" applyFont="1" applyFill="1" applyBorder="1" applyAlignment="1" applyProtection="1">
      <alignment horizontal="center" vertical="center" wrapText="1" readingOrder="2"/>
      <protection locked="0"/>
    </xf>
    <xf numFmtId="3" fontId="2" fillId="0" borderId="7" xfId="0" applyNumberFormat="1" applyFont="1" applyBorder="1" applyAlignment="1" applyProtection="1">
      <alignment horizontal="center" vertical="center" wrapText="1" readingOrder="2"/>
      <protection hidden="1"/>
    </xf>
    <xf numFmtId="3" fontId="15" fillId="0" borderId="7" xfId="1" applyNumberFormat="1" applyFont="1" applyFill="1" applyBorder="1" applyAlignment="1" applyProtection="1">
      <alignment horizontal="center" vertical="center" wrapText="1" readingOrder="2"/>
      <protection locked="0"/>
    </xf>
    <xf numFmtId="0" fontId="11" fillId="0" borderId="7" xfId="0" applyFont="1" applyBorder="1" applyAlignment="1" applyProtection="1">
      <alignment horizontal="center" vertical="center" wrapText="1" readingOrder="2"/>
      <protection locked="0"/>
    </xf>
    <xf numFmtId="3" fontId="5" fillId="0" borderId="7" xfId="1" applyNumberFormat="1" applyFont="1" applyFill="1" applyBorder="1" applyAlignment="1" applyProtection="1">
      <alignment horizontal="center" vertical="center" wrapText="1" readingOrder="2"/>
      <protection locked="0"/>
    </xf>
    <xf numFmtId="0" fontId="15" fillId="0" borderId="7" xfId="0" applyFont="1" applyBorder="1" applyAlignment="1">
      <alignment horizontal="center" vertical="center" wrapText="1"/>
    </xf>
    <xf numFmtId="49" fontId="2" fillId="0" borderId="7" xfId="0" applyNumberFormat="1" applyFont="1" applyBorder="1" applyAlignment="1" applyProtection="1">
      <alignment horizontal="center" vertical="center" wrapText="1" readingOrder="1"/>
      <protection locked="0"/>
    </xf>
    <xf numFmtId="0" fontId="2" fillId="0" borderId="7" xfId="0" applyFont="1" applyBorder="1" applyAlignment="1" applyProtection="1">
      <alignment horizontal="center" vertical="center" wrapText="1" readingOrder="2"/>
      <protection locked="0"/>
    </xf>
    <xf numFmtId="3" fontId="5" fillId="10" borderId="7" xfId="1" applyNumberFormat="1" applyFont="1" applyFill="1" applyBorder="1" applyAlignment="1" applyProtection="1">
      <alignment horizontal="center" vertical="center" wrapText="1" readingOrder="2"/>
      <protection locked="0"/>
    </xf>
    <xf numFmtId="3" fontId="2" fillId="0" borderId="7" xfId="0" applyNumberFormat="1" applyFont="1" applyBorder="1" applyAlignment="1" applyProtection="1">
      <alignment horizontal="center" vertical="center" wrapText="1" readingOrder="2"/>
      <protection locked="0"/>
    </xf>
    <xf numFmtId="0" fontId="2" fillId="4" borderId="7" xfId="0" applyFont="1" applyFill="1" applyBorder="1" applyAlignment="1">
      <alignment horizontal="center" vertical="center" wrapText="1"/>
    </xf>
    <xf numFmtId="49" fontId="2" fillId="4" borderId="7" xfId="0" applyNumberFormat="1" applyFont="1" applyFill="1" applyBorder="1" applyAlignment="1" applyProtection="1">
      <alignment horizontal="center" vertical="center" wrapText="1" readingOrder="1"/>
      <protection locked="0"/>
    </xf>
    <xf numFmtId="0" fontId="7" fillId="4" borderId="7" xfId="0" applyFont="1" applyFill="1" applyBorder="1" applyAlignment="1" applyProtection="1">
      <alignment horizontal="center" vertical="center" wrapText="1" readingOrder="2"/>
      <protection locked="0"/>
    </xf>
    <xf numFmtId="0" fontId="7" fillId="0" borderId="7" xfId="0" applyFont="1" applyBorder="1" applyAlignment="1">
      <alignment horizontal="center" vertical="center" wrapText="1" readingOrder="2"/>
    </xf>
    <xf numFmtId="3" fontId="15" fillId="0" borderId="7" xfId="5" applyNumberFormat="1" applyFont="1" applyFill="1" applyBorder="1" applyAlignment="1" applyProtection="1">
      <alignment horizontal="center" vertical="center" wrapText="1" readingOrder="2"/>
      <protection locked="0"/>
    </xf>
    <xf numFmtId="0" fontId="2" fillId="3" borderId="7" xfId="0" applyFont="1" applyFill="1" applyBorder="1" applyAlignment="1" applyProtection="1">
      <alignment horizontal="center" vertical="center" wrapText="1" readingOrder="2"/>
      <protection locked="0"/>
    </xf>
    <xf numFmtId="0" fontId="24" fillId="4" borderId="7" xfId="0" applyFont="1" applyFill="1" applyBorder="1" applyAlignment="1" applyProtection="1">
      <alignment horizontal="center" vertical="center" wrapText="1" readingOrder="2"/>
      <protection locked="0"/>
    </xf>
    <xf numFmtId="0" fontId="22" fillId="11" borderId="28" xfId="0" applyFont="1" applyFill="1" applyBorder="1" applyAlignment="1" applyProtection="1">
      <alignment horizontal="center" vertical="center" wrapText="1" readingOrder="2"/>
      <protection locked="0"/>
    </xf>
    <xf numFmtId="0" fontId="22" fillId="11" borderId="0" xfId="0" applyFont="1" applyFill="1" applyAlignment="1" applyProtection="1">
      <alignment horizontal="center" vertical="center" wrapText="1" readingOrder="2"/>
      <protection locked="0"/>
    </xf>
    <xf numFmtId="0" fontId="2" fillId="2" borderId="28" xfId="0" applyFont="1" applyFill="1" applyBorder="1" applyAlignment="1" applyProtection="1">
      <alignment horizontal="center" vertical="center" readingOrder="2"/>
      <protection locked="0"/>
    </xf>
    <xf numFmtId="0" fontId="2" fillId="2" borderId="0" xfId="0" applyFont="1" applyFill="1" applyAlignment="1" applyProtection="1">
      <alignment horizontal="center" vertical="center" readingOrder="2"/>
      <protection locked="0"/>
    </xf>
    <xf numFmtId="0" fontId="2" fillId="3" borderId="28" xfId="0" applyFont="1" applyFill="1" applyBorder="1" applyAlignment="1" applyProtection="1">
      <alignment horizontal="center" vertical="center" wrapText="1" readingOrder="2"/>
      <protection locked="0"/>
    </xf>
    <xf numFmtId="0" fontId="2" fillId="3" borderId="0" xfId="0" applyFont="1" applyFill="1" applyAlignment="1" applyProtection="1">
      <alignment horizontal="center" vertical="center" wrapText="1" readingOrder="2"/>
      <protection locked="0"/>
    </xf>
    <xf numFmtId="0" fontId="15" fillId="10" borderId="7" xfId="0" applyFont="1" applyFill="1" applyBorder="1" applyAlignment="1">
      <alignment horizontal="center" vertical="center" wrapText="1"/>
    </xf>
    <xf numFmtId="0" fontId="2" fillId="4" borderId="7" xfId="0" applyFont="1" applyFill="1" applyBorder="1" applyAlignment="1">
      <alignment horizontal="center" vertical="center" wrapText="1" readingOrder="2"/>
    </xf>
    <xf numFmtId="0" fontId="0" fillId="0" borderId="0" xfId="0" applyAlignment="1">
      <alignment horizontal="center" vertical="center"/>
    </xf>
    <xf numFmtId="0" fontId="0" fillId="0" borderId="0" xfId="0" applyAlignment="1">
      <alignment horizontal="center" wrapText="1"/>
    </xf>
    <xf numFmtId="0" fontId="0" fillId="0" borderId="0" xfId="0" applyAlignment="1">
      <alignment horizontal="center"/>
    </xf>
    <xf numFmtId="49" fontId="2" fillId="0" borderId="12" xfId="0" applyNumberFormat="1" applyFont="1" applyBorder="1" applyAlignment="1" applyProtection="1">
      <alignment horizontal="center" vertical="center" wrapText="1"/>
      <protection locked="0"/>
    </xf>
    <xf numFmtId="49" fontId="2" fillId="0" borderId="8" xfId="0" applyNumberFormat="1" applyFont="1" applyBorder="1" applyAlignment="1" applyProtection="1">
      <alignment horizontal="center" vertical="center" wrapText="1"/>
      <protection locked="0"/>
    </xf>
    <xf numFmtId="0" fontId="2" fillId="0" borderId="24" xfId="0" applyFont="1" applyBorder="1" applyAlignment="1" applyProtection="1">
      <alignment horizontal="center" vertical="center" wrapText="1" readingOrder="2"/>
      <protection locked="0"/>
    </xf>
    <xf numFmtId="0" fontId="2" fillId="0" borderId="25" xfId="0" applyFont="1" applyBorder="1" applyAlignment="1" applyProtection="1">
      <alignment horizontal="center" vertical="center" wrapText="1" readingOrder="2"/>
      <protection locked="0"/>
    </xf>
    <xf numFmtId="0" fontId="2" fillId="0" borderId="17" xfId="0" applyFont="1" applyBorder="1" applyAlignment="1" applyProtection="1">
      <alignment horizontal="center" vertical="center" wrapText="1" readingOrder="2"/>
      <protection locked="0"/>
    </xf>
    <xf numFmtId="0" fontId="2" fillId="0" borderId="18" xfId="0" applyFont="1" applyBorder="1" applyAlignment="1" applyProtection="1">
      <alignment horizontal="center" vertical="center" wrapText="1" readingOrder="2"/>
      <protection locked="0"/>
    </xf>
    <xf numFmtId="3" fontId="2" fillId="0" borderId="17" xfId="0" applyNumberFormat="1" applyFont="1" applyBorder="1" applyAlignment="1" applyProtection="1">
      <alignment horizontal="center" vertical="center" wrapText="1" readingOrder="2"/>
      <protection hidden="1"/>
    </xf>
    <xf numFmtId="3" fontId="2" fillId="0" borderId="18" xfId="0" applyNumberFormat="1" applyFont="1" applyBorder="1" applyAlignment="1" applyProtection="1">
      <alignment horizontal="center" vertical="center" wrapText="1" readingOrder="2"/>
      <protection hidden="1"/>
    </xf>
    <xf numFmtId="0" fontId="11" fillId="0" borderId="12" xfId="0" applyFont="1" applyBorder="1" applyAlignment="1" applyProtection="1">
      <alignment horizontal="center" vertical="center" wrapText="1" readingOrder="2"/>
      <protection locked="0"/>
    </xf>
    <xf numFmtId="0" fontId="11" fillId="0" borderId="8" xfId="0" applyFont="1" applyBorder="1" applyAlignment="1" applyProtection="1">
      <alignment horizontal="center" vertical="center" wrapText="1" readingOrder="2"/>
      <protection locked="0"/>
    </xf>
    <xf numFmtId="3" fontId="5" fillId="0" borderId="19" xfId="1" applyNumberFormat="1" applyFont="1" applyFill="1" applyBorder="1" applyAlignment="1" applyProtection="1">
      <alignment horizontal="center" vertical="center" wrapText="1" readingOrder="2"/>
      <protection locked="0"/>
    </xf>
    <xf numFmtId="3" fontId="5" fillId="0" borderId="10" xfId="1" applyNumberFormat="1" applyFont="1" applyFill="1" applyBorder="1" applyAlignment="1" applyProtection="1">
      <alignment horizontal="center" vertical="center" wrapText="1" readingOrder="2"/>
      <protection locked="0"/>
    </xf>
    <xf numFmtId="3" fontId="5" fillId="0" borderId="11" xfId="1" applyNumberFormat="1" applyFont="1" applyFill="1" applyBorder="1" applyAlignment="1" applyProtection="1">
      <alignment horizontal="center" vertical="center" wrapText="1" readingOrder="2"/>
      <protection locked="0"/>
    </xf>
    <xf numFmtId="3" fontId="5" fillId="0" borderId="9" xfId="1" applyNumberFormat="1" applyFont="1" applyFill="1" applyBorder="1" applyAlignment="1" applyProtection="1">
      <alignment horizontal="center" vertical="center" wrapText="1" readingOrder="2"/>
      <protection locked="0"/>
    </xf>
    <xf numFmtId="0" fontId="15" fillId="0" borderId="12" xfId="0" applyFont="1" applyBorder="1" applyAlignment="1">
      <alignment horizontal="center" vertical="center" wrapText="1"/>
    </xf>
    <xf numFmtId="0" fontId="15" fillId="0" borderId="8" xfId="0" applyFont="1" applyBorder="1" applyAlignment="1">
      <alignment horizontal="center" vertical="center" wrapText="1"/>
    </xf>
    <xf numFmtId="3" fontId="2" fillId="0" borderId="17" xfId="0" applyNumberFormat="1" applyFont="1" applyBorder="1" applyAlignment="1" applyProtection="1">
      <alignment horizontal="center" vertical="center" wrapText="1" readingOrder="2"/>
      <protection locked="0"/>
    </xf>
    <xf numFmtId="3" fontId="2" fillId="0" borderId="18" xfId="0" applyNumberFormat="1" applyFont="1" applyBorder="1" applyAlignment="1" applyProtection="1">
      <alignment horizontal="center" vertical="center" wrapText="1" readingOrder="2"/>
      <protection locked="0"/>
    </xf>
    <xf numFmtId="49" fontId="2" fillId="0" borderId="12" xfId="0" applyNumberFormat="1" applyFont="1" applyBorder="1" applyAlignment="1" applyProtection="1">
      <alignment horizontal="center" vertical="center" wrapText="1" readingOrder="1"/>
      <protection locked="0"/>
    </xf>
    <xf numFmtId="49" fontId="2" fillId="0" borderId="8" xfId="0" applyNumberFormat="1" applyFont="1" applyBorder="1" applyAlignment="1" applyProtection="1">
      <alignment horizontal="center" vertical="center" wrapText="1" readingOrder="1"/>
      <protection locked="0"/>
    </xf>
    <xf numFmtId="3" fontId="5" fillId="0" borderId="26" xfId="1" applyNumberFormat="1" applyFont="1" applyFill="1" applyBorder="1" applyAlignment="1" applyProtection="1">
      <alignment horizontal="center" vertical="center" wrapText="1" readingOrder="2"/>
      <protection locked="0"/>
    </xf>
    <xf numFmtId="0" fontId="2" fillId="4" borderId="29" xfId="0" applyFont="1" applyFill="1" applyBorder="1" applyAlignment="1" applyProtection="1">
      <alignment horizontal="center" vertical="center" wrapText="1" readingOrder="2"/>
      <protection locked="0"/>
    </xf>
    <xf numFmtId="0" fontId="2" fillId="4" borderId="30" xfId="0" applyFont="1" applyFill="1" applyBorder="1" applyAlignment="1" applyProtection="1">
      <alignment horizontal="center" vertical="center" wrapText="1" readingOrder="2"/>
      <protection locked="0"/>
    </xf>
    <xf numFmtId="0" fontId="2" fillId="4" borderId="6" xfId="0" applyFont="1" applyFill="1" applyBorder="1" applyAlignment="1">
      <alignment horizontal="center" vertical="center" wrapText="1"/>
    </xf>
    <xf numFmtId="0" fontId="2" fillId="4" borderId="14" xfId="0" applyFont="1" applyFill="1" applyBorder="1" applyAlignment="1">
      <alignment horizontal="center" vertical="center" wrapText="1"/>
    </xf>
    <xf numFmtId="49" fontId="2" fillId="4" borderId="6" xfId="0" applyNumberFormat="1" applyFont="1" applyFill="1" applyBorder="1" applyAlignment="1" applyProtection="1">
      <alignment horizontal="center" vertical="center" wrapText="1" readingOrder="2"/>
      <protection locked="0"/>
    </xf>
    <xf numFmtId="49" fontId="2" fillId="4" borderId="20" xfId="0" applyNumberFormat="1" applyFont="1" applyFill="1" applyBorder="1" applyAlignment="1" applyProtection="1">
      <alignment horizontal="center" vertical="center" wrapText="1" readingOrder="2"/>
      <protection locked="0"/>
    </xf>
    <xf numFmtId="0" fontId="2" fillId="4" borderId="6" xfId="0" applyFont="1" applyFill="1" applyBorder="1" applyAlignment="1" applyProtection="1">
      <alignment horizontal="center" vertical="center" wrapText="1" readingOrder="2"/>
      <protection locked="0"/>
    </xf>
    <xf numFmtId="0" fontId="2" fillId="4" borderId="20" xfId="0" applyFont="1" applyFill="1" applyBorder="1" applyAlignment="1" applyProtection="1">
      <alignment horizontal="center" vertical="center" wrapText="1" readingOrder="2"/>
      <protection locked="0"/>
    </xf>
    <xf numFmtId="0" fontId="2" fillId="4" borderId="1" xfId="0" applyFont="1" applyFill="1" applyBorder="1" applyAlignment="1" applyProtection="1">
      <alignment horizontal="center" vertical="center" wrapText="1" readingOrder="2"/>
      <protection locked="0"/>
    </xf>
    <xf numFmtId="0" fontId="2" fillId="4" borderId="2" xfId="0" applyFont="1" applyFill="1" applyBorder="1" applyAlignment="1" applyProtection="1">
      <alignment horizontal="center" vertical="center" wrapText="1" readingOrder="2"/>
      <protection locked="0"/>
    </xf>
    <xf numFmtId="0" fontId="2" fillId="4" borderId="3" xfId="0" applyFont="1" applyFill="1" applyBorder="1" applyAlignment="1" applyProtection="1">
      <alignment horizontal="center" vertical="center" wrapText="1" readingOrder="2"/>
      <protection locked="0"/>
    </xf>
    <xf numFmtId="0" fontId="5" fillId="0" borderId="9" xfId="0" applyFont="1" applyBorder="1" applyAlignment="1" applyProtection="1">
      <alignment horizontal="center" vertical="center" wrapText="1" readingOrder="2"/>
      <protection locked="0"/>
    </xf>
    <xf numFmtId="0" fontId="5" fillId="0" borderId="10" xfId="0" applyFont="1" applyBorder="1" applyAlignment="1" applyProtection="1">
      <alignment horizontal="center" vertical="center" wrapText="1" readingOrder="2"/>
      <protection locked="0"/>
    </xf>
    <xf numFmtId="0" fontId="5" fillId="0" borderId="11" xfId="0" applyFont="1" applyBorder="1" applyAlignment="1" applyProtection="1">
      <alignment horizontal="center" vertical="center" wrapText="1" readingOrder="2"/>
      <protection locked="0"/>
    </xf>
    <xf numFmtId="0" fontId="2" fillId="2" borderId="28" xfId="0" applyFont="1" applyFill="1" applyBorder="1" applyAlignment="1" applyProtection="1">
      <alignment horizontal="center" vertical="center" wrapText="1" readingOrder="2"/>
      <protection locked="0"/>
    </xf>
    <xf numFmtId="0" fontId="2" fillId="2" borderId="0" xfId="0" applyFont="1" applyFill="1" applyAlignment="1" applyProtection="1">
      <alignment horizontal="center" vertical="center" wrapText="1" readingOrder="2"/>
      <protection locked="0"/>
    </xf>
    <xf numFmtId="0" fontId="2" fillId="4" borderId="6" xfId="0" applyFont="1" applyFill="1" applyBorder="1" applyAlignment="1">
      <alignment horizontal="center" vertical="center" wrapText="1" readingOrder="2"/>
    </xf>
    <xf numFmtId="0" fontId="2" fillId="4" borderId="14" xfId="0" applyFont="1" applyFill="1" applyBorder="1" applyAlignment="1">
      <alignment horizontal="center" vertical="center" wrapText="1" readingOrder="2"/>
    </xf>
    <xf numFmtId="0" fontId="2" fillId="0" borderId="12" xfId="0" applyFont="1" applyBorder="1" applyAlignment="1" applyProtection="1">
      <alignment horizontal="center" vertical="center" wrapText="1" readingOrder="2"/>
      <protection locked="0"/>
    </xf>
    <xf numFmtId="0" fontId="2" fillId="0" borderId="8" xfId="0" applyFont="1" applyBorder="1" applyAlignment="1" applyProtection="1">
      <alignment horizontal="center" vertical="center" wrapText="1" readingOrder="2"/>
      <protection locked="0"/>
    </xf>
    <xf numFmtId="0" fontId="5" fillId="0" borderId="7" xfId="0" applyFont="1" applyBorder="1" applyAlignment="1">
      <alignment horizontal="center" vertical="center" wrapText="1"/>
    </xf>
    <xf numFmtId="49" fontId="2" fillId="0" borderId="22" xfId="0" applyNumberFormat="1" applyFont="1" applyBorder="1" applyAlignment="1" applyProtection="1">
      <alignment horizontal="center" vertical="center" wrapText="1" readingOrder="1"/>
      <protection locked="0"/>
    </xf>
    <xf numFmtId="0" fontId="2" fillId="0" borderId="31" xfId="0" applyFont="1" applyBorder="1" applyAlignment="1" applyProtection="1">
      <alignment horizontal="center" vertical="center" wrapText="1" readingOrder="2"/>
      <protection locked="0"/>
    </xf>
    <xf numFmtId="0" fontId="11" fillId="0" borderId="22" xfId="0" applyFont="1" applyBorder="1" applyAlignment="1" applyProtection="1">
      <alignment horizontal="center" vertical="center" wrapText="1" readingOrder="2"/>
      <protection locked="0"/>
    </xf>
    <xf numFmtId="3" fontId="2" fillId="0" borderId="21" xfId="0" applyNumberFormat="1" applyFont="1" applyBorder="1" applyAlignment="1" applyProtection="1">
      <alignment horizontal="center" vertical="center" wrapText="1" readingOrder="2"/>
      <protection locked="0"/>
    </xf>
    <xf numFmtId="3" fontId="2" fillId="0" borderId="9" xfId="1" applyNumberFormat="1" applyFont="1" applyFill="1" applyBorder="1" applyAlignment="1" applyProtection="1">
      <alignment horizontal="center" vertical="center" wrapText="1" readingOrder="2"/>
      <protection locked="0"/>
    </xf>
    <xf numFmtId="3" fontId="2" fillId="0" borderId="10" xfId="1" applyNumberFormat="1" applyFont="1" applyFill="1" applyBorder="1" applyAlignment="1" applyProtection="1">
      <alignment horizontal="center" vertical="center" wrapText="1" readingOrder="2"/>
      <protection locked="0"/>
    </xf>
    <xf numFmtId="3" fontId="2" fillId="0" borderId="11" xfId="1" applyNumberFormat="1" applyFont="1" applyFill="1" applyBorder="1" applyAlignment="1" applyProtection="1">
      <alignment horizontal="center" vertical="center" wrapText="1" readingOrder="2"/>
      <protection locked="0"/>
    </xf>
    <xf numFmtId="0" fontId="21" fillId="0" borderId="0" xfId="0" applyFont="1" applyAlignment="1">
      <alignment horizontal="center" vertical="center" wrapText="1" readingOrder="2"/>
    </xf>
    <xf numFmtId="3" fontId="2" fillId="0" borderId="19" xfId="1" applyNumberFormat="1" applyFont="1" applyFill="1" applyBorder="1" applyAlignment="1" applyProtection="1">
      <alignment horizontal="center" vertical="center" wrapText="1" readingOrder="2"/>
      <protection locked="0"/>
    </xf>
    <xf numFmtId="49" fontId="2" fillId="4" borderId="4" xfId="0" applyNumberFormat="1" applyFont="1" applyFill="1" applyBorder="1" applyAlignment="1" applyProtection="1">
      <alignment horizontal="center" vertical="center" wrapText="1" readingOrder="2"/>
      <protection locked="0"/>
    </xf>
    <xf numFmtId="0" fontId="20" fillId="4" borderId="4" xfId="0" applyFont="1" applyFill="1" applyBorder="1" applyAlignment="1" applyProtection="1">
      <alignment horizontal="center" vertical="center" wrapText="1" readingOrder="2"/>
      <protection locked="0"/>
    </xf>
    <xf numFmtId="0" fontId="20" fillId="0" borderId="28" xfId="0" applyFont="1" applyBorder="1" applyAlignment="1">
      <alignment horizontal="center" vertical="center" wrapText="1" readingOrder="2"/>
    </xf>
    <xf numFmtId="0" fontId="2" fillId="4" borderId="4" xfId="0" applyFont="1" applyFill="1" applyBorder="1" applyAlignment="1" applyProtection="1">
      <alignment horizontal="center" vertical="center" wrapText="1" readingOrder="2"/>
      <protection locked="0"/>
    </xf>
    <xf numFmtId="49" fontId="2" fillId="4" borderId="7" xfId="0" applyNumberFormat="1" applyFont="1" applyFill="1" applyBorder="1" applyAlignment="1" applyProtection="1">
      <alignment horizontal="center" vertical="center" wrapText="1" readingOrder="2"/>
      <protection locked="0"/>
    </xf>
    <xf numFmtId="0" fontId="20" fillId="4" borderId="7" xfId="0" applyFont="1" applyFill="1" applyBorder="1" applyAlignment="1" applyProtection="1">
      <alignment horizontal="center" vertical="center" wrapText="1" readingOrder="2"/>
      <protection locked="0"/>
    </xf>
    <xf numFmtId="3" fontId="2" fillId="0" borderId="18" xfId="1" applyNumberFormat="1" applyFont="1" applyFill="1" applyBorder="1" applyAlignment="1" applyProtection="1">
      <alignment horizontal="center" vertical="center" wrapText="1" readingOrder="2"/>
      <protection locked="0"/>
    </xf>
    <xf numFmtId="3" fontId="2" fillId="0" borderId="32" xfId="1" applyNumberFormat="1" applyFont="1" applyFill="1" applyBorder="1" applyAlignment="1" applyProtection="1">
      <alignment horizontal="center" vertical="center" wrapText="1" readingOrder="2"/>
      <protection locked="0"/>
    </xf>
    <xf numFmtId="3" fontId="2" fillId="0" borderId="33" xfId="1" applyNumberFormat="1" applyFont="1" applyFill="1" applyBorder="1" applyAlignment="1" applyProtection="1">
      <alignment horizontal="center" vertical="center" wrapText="1" readingOrder="2"/>
      <protection locked="0"/>
    </xf>
    <xf numFmtId="0" fontId="20" fillId="0" borderId="7" xfId="0" applyFont="1" applyBorder="1" applyAlignment="1">
      <alignment horizontal="center" vertical="center" wrapText="1" readingOrder="2"/>
    </xf>
    <xf numFmtId="0" fontId="5" fillId="0" borderId="12" xfId="0" applyFont="1" applyBorder="1" applyAlignment="1">
      <alignment horizontal="center" vertical="center" wrapText="1"/>
    </xf>
    <xf numFmtId="0" fontId="5" fillId="0" borderId="8" xfId="0" applyFont="1" applyBorder="1" applyAlignment="1">
      <alignment horizontal="center" vertical="center" wrapText="1"/>
    </xf>
    <xf numFmtId="0" fontId="5" fillId="0" borderId="12" xfId="0" applyFont="1" applyBorder="1" applyAlignment="1">
      <alignment horizontal="center" wrapText="1"/>
    </xf>
    <xf numFmtId="0" fontId="5" fillId="0" borderId="8" xfId="0" applyFont="1" applyBorder="1" applyAlignment="1">
      <alignment horizontal="center" wrapText="1"/>
    </xf>
    <xf numFmtId="3" fontId="10" fillId="0" borderId="12" xfId="0" applyNumberFormat="1" applyFont="1" applyBorder="1" applyAlignment="1" applyProtection="1">
      <alignment horizontal="center" vertical="center" wrapText="1" readingOrder="2"/>
      <protection hidden="1"/>
    </xf>
    <xf numFmtId="3" fontId="10" fillId="0" borderId="8" xfId="0" applyNumberFormat="1" applyFont="1" applyBorder="1" applyAlignment="1" applyProtection="1">
      <alignment horizontal="center" vertical="center" wrapText="1" readingOrder="2"/>
      <protection hidden="1"/>
    </xf>
    <xf numFmtId="3" fontId="9" fillId="0" borderId="9" xfId="1" applyNumberFormat="1" applyFont="1" applyFill="1" applyBorder="1" applyAlignment="1" applyProtection="1">
      <alignment horizontal="center" vertical="center" wrapText="1" readingOrder="2"/>
      <protection locked="0"/>
    </xf>
    <xf numFmtId="3" fontId="9" fillId="0" borderId="10" xfId="1" applyNumberFormat="1" applyFont="1" applyFill="1" applyBorder="1" applyAlignment="1" applyProtection="1">
      <alignment horizontal="center" vertical="center" wrapText="1" readingOrder="2"/>
      <protection locked="0"/>
    </xf>
    <xf numFmtId="3" fontId="9" fillId="0" borderId="11" xfId="1" applyNumberFormat="1" applyFont="1" applyFill="1" applyBorder="1" applyAlignment="1" applyProtection="1">
      <alignment horizontal="center" vertical="center" wrapText="1" readingOrder="2"/>
      <protection locked="0"/>
    </xf>
    <xf numFmtId="0" fontId="5" fillId="0" borderId="7" xfId="0" applyFont="1" applyBorder="1" applyAlignment="1">
      <alignment horizontal="center" wrapText="1"/>
    </xf>
    <xf numFmtId="3" fontId="9" fillId="0" borderId="19" xfId="1" applyNumberFormat="1" applyFont="1" applyFill="1" applyBorder="1" applyAlignment="1" applyProtection="1">
      <alignment horizontal="center" vertical="center" wrapText="1" readingOrder="2"/>
      <protection locked="0"/>
    </xf>
    <xf numFmtId="0" fontId="2" fillId="4" borderId="6" xfId="0" applyFont="1" applyFill="1" applyBorder="1" applyAlignment="1" applyProtection="1">
      <alignment horizontal="left" vertical="center" wrapText="1" readingOrder="2"/>
      <protection locked="0"/>
    </xf>
    <xf numFmtId="0" fontId="2" fillId="4" borderId="20" xfId="0" applyFont="1" applyFill="1" applyBorder="1" applyAlignment="1" applyProtection="1">
      <alignment horizontal="left" vertical="center" wrapText="1" readingOrder="2"/>
      <protection locked="0"/>
    </xf>
    <xf numFmtId="3" fontId="10" fillId="0" borderId="12" xfId="0" applyNumberFormat="1" applyFont="1" applyBorder="1" applyAlignment="1" applyProtection="1">
      <alignment horizontal="center" vertical="center" wrapText="1" readingOrder="2"/>
      <protection locked="0"/>
    </xf>
    <xf numFmtId="3" fontId="10" fillId="0" borderId="8" xfId="0" applyNumberFormat="1" applyFont="1" applyBorder="1" applyAlignment="1" applyProtection="1">
      <alignment horizontal="center" vertical="center" wrapText="1" readingOrder="2"/>
      <protection locked="0"/>
    </xf>
    <xf numFmtId="0" fontId="2" fillId="4" borderId="14" xfId="0" applyFont="1" applyFill="1" applyBorder="1" applyAlignment="1" applyProtection="1">
      <alignment horizontal="center" vertical="center" wrapText="1" readingOrder="2"/>
      <protection locked="0"/>
    </xf>
    <xf numFmtId="0" fontId="7" fillId="0" borderId="4" xfId="0" applyFont="1" applyBorder="1" applyAlignment="1">
      <alignment horizontal="center" vertical="center" wrapText="1" readingOrder="2"/>
    </xf>
    <xf numFmtId="0" fontId="7" fillId="4" borderId="4" xfId="0" applyFont="1" applyFill="1" applyBorder="1" applyAlignment="1" applyProtection="1">
      <alignment horizontal="center" vertical="center" wrapText="1" readingOrder="2"/>
      <protection locked="0"/>
    </xf>
  </cellXfs>
  <cellStyles count="6">
    <cellStyle name="40% - Accent4" xfId="1" builtinId="43"/>
    <cellStyle name="Neutral" xfId="5" builtinId="28"/>
    <cellStyle name="Normal" xfId="0" builtinId="0"/>
    <cellStyle name="التحقق من حسين" xfId="2"/>
    <cellStyle name="تم تعديل الجسامة" xfId="4"/>
    <cellStyle name="تم تعديل الصيغة" xfId="3"/>
  </cellStyles>
  <dxfs count="4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نسق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Y1414"/>
  <sheetViews>
    <sheetView showGridLines="0" rightToLeft="1" topLeftCell="A127" zoomScale="85" zoomScaleNormal="85" zoomScalePageLayoutView="85" workbookViewId="0">
      <selection activeCell="B132" sqref="B132"/>
    </sheetView>
  </sheetViews>
  <sheetFormatPr defaultColWidth="8.85546875" defaultRowHeight="18.75" x14ac:dyDescent="0.25"/>
  <cols>
    <col min="1" max="1" width="9.140625" style="56"/>
    <col min="2" max="2" width="39.42578125" style="14" customWidth="1"/>
    <col min="3" max="3" width="12.42578125" style="57" bestFit="1" customWidth="1"/>
    <col min="4" max="4" width="10.7109375" style="18" customWidth="1"/>
    <col min="5" max="16" width="10.7109375" style="4" customWidth="1"/>
    <col min="17" max="17" width="33.42578125" style="25" customWidth="1"/>
    <col min="18" max="18" width="30.5703125" style="95" customWidth="1"/>
    <col min="19" max="16384" width="8.85546875" style="2"/>
  </cols>
  <sheetData>
    <row r="1" spans="1:18" s="73" customFormat="1" ht="51" customHeight="1" x14ac:dyDescent="0.25">
      <c r="A1" s="129" t="s">
        <v>633</v>
      </c>
      <c r="B1" s="130"/>
      <c r="C1" s="130"/>
      <c r="D1" s="130"/>
      <c r="E1" s="130"/>
      <c r="F1" s="130"/>
      <c r="G1" s="130"/>
      <c r="H1" s="130"/>
      <c r="I1" s="130"/>
      <c r="J1" s="130"/>
      <c r="K1" s="130"/>
      <c r="L1" s="130"/>
      <c r="M1" s="130"/>
      <c r="N1" s="130"/>
      <c r="O1" s="130"/>
      <c r="P1" s="130"/>
      <c r="Q1" s="130"/>
      <c r="R1" s="130"/>
    </row>
    <row r="2" spans="1:18" ht="19.5" customHeight="1" x14ac:dyDescent="0.25">
      <c r="A2" s="131" t="s">
        <v>28</v>
      </c>
      <c r="B2" s="132"/>
      <c r="C2" s="132"/>
      <c r="D2" s="132"/>
      <c r="E2" s="132"/>
      <c r="F2" s="132"/>
      <c r="G2" s="132"/>
      <c r="H2" s="132"/>
      <c r="I2" s="132"/>
      <c r="J2" s="132"/>
      <c r="K2" s="132"/>
      <c r="L2" s="132"/>
      <c r="M2" s="132"/>
      <c r="N2" s="132"/>
      <c r="O2" s="132"/>
      <c r="P2" s="132"/>
      <c r="Q2" s="132"/>
      <c r="R2" s="132"/>
    </row>
    <row r="3" spans="1:18" ht="24" customHeight="1" x14ac:dyDescent="0.25">
      <c r="A3" s="133" t="s">
        <v>404</v>
      </c>
      <c r="B3" s="134"/>
      <c r="C3" s="134"/>
      <c r="D3" s="134"/>
      <c r="E3" s="134"/>
      <c r="F3" s="134"/>
      <c r="G3" s="134"/>
      <c r="H3" s="134"/>
      <c r="I3" s="134"/>
      <c r="J3" s="134"/>
      <c r="K3" s="134"/>
      <c r="L3" s="134"/>
      <c r="M3" s="134"/>
      <c r="N3" s="134"/>
      <c r="O3" s="134"/>
      <c r="P3" s="134"/>
      <c r="Q3" s="134"/>
      <c r="R3" s="134"/>
    </row>
    <row r="4" spans="1:18" ht="19.5" customHeight="1" x14ac:dyDescent="0.25">
      <c r="A4" s="123" t="s">
        <v>4</v>
      </c>
      <c r="B4" s="112" t="s">
        <v>3</v>
      </c>
      <c r="C4" s="136" t="s">
        <v>406</v>
      </c>
      <c r="D4" s="112" t="s">
        <v>2</v>
      </c>
      <c r="E4" s="112"/>
      <c r="F4" s="112"/>
      <c r="G4" s="112"/>
      <c r="H4" s="112" t="s">
        <v>1</v>
      </c>
      <c r="I4" s="112"/>
      <c r="J4" s="112"/>
      <c r="K4" s="112"/>
      <c r="L4" s="112" t="s">
        <v>0</v>
      </c>
      <c r="M4" s="112"/>
      <c r="N4" s="112"/>
      <c r="O4" s="112"/>
      <c r="P4" s="112" t="s">
        <v>405</v>
      </c>
      <c r="Q4" s="112" t="s">
        <v>37</v>
      </c>
      <c r="R4" s="128" t="s">
        <v>632</v>
      </c>
    </row>
    <row r="5" spans="1:18" ht="19.5" customHeight="1" x14ac:dyDescent="0.25">
      <c r="A5" s="123"/>
      <c r="B5" s="124"/>
      <c r="C5" s="136"/>
      <c r="D5" s="75" t="s">
        <v>8</v>
      </c>
      <c r="E5" s="76" t="s">
        <v>7</v>
      </c>
      <c r="F5" s="76" t="s">
        <v>6</v>
      </c>
      <c r="G5" s="76" t="s">
        <v>5</v>
      </c>
      <c r="H5" s="76" t="s">
        <v>8</v>
      </c>
      <c r="I5" s="76" t="s">
        <v>7</v>
      </c>
      <c r="J5" s="76" t="s">
        <v>6</v>
      </c>
      <c r="K5" s="76" t="s">
        <v>5</v>
      </c>
      <c r="L5" s="76" t="s">
        <v>8</v>
      </c>
      <c r="M5" s="76" t="s">
        <v>7</v>
      </c>
      <c r="N5" s="76" t="s">
        <v>6</v>
      </c>
      <c r="O5" s="76" t="s">
        <v>5</v>
      </c>
      <c r="P5" s="112"/>
      <c r="Q5" s="125"/>
      <c r="R5" s="128"/>
    </row>
    <row r="6" spans="1:18" ht="47.25" customHeight="1" x14ac:dyDescent="0.25">
      <c r="A6" s="99" t="s">
        <v>94</v>
      </c>
      <c r="B6" s="19" t="s">
        <v>29</v>
      </c>
      <c r="C6" s="77" t="s">
        <v>414</v>
      </c>
      <c r="D6" s="116">
        <v>100000</v>
      </c>
      <c r="E6" s="116"/>
      <c r="F6" s="116"/>
      <c r="G6" s="116"/>
      <c r="H6" s="116">
        <f>D6-(D6*20/100)</f>
        <v>80000</v>
      </c>
      <c r="I6" s="116"/>
      <c r="J6" s="116"/>
      <c r="K6" s="116"/>
      <c r="L6" s="116">
        <f>D6-(D6*40/100)</f>
        <v>60000</v>
      </c>
      <c r="M6" s="116"/>
      <c r="N6" s="116"/>
      <c r="O6" s="116"/>
      <c r="P6" s="20" t="s">
        <v>9</v>
      </c>
      <c r="Q6" s="26" t="s">
        <v>69</v>
      </c>
      <c r="R6" s="74" t="s">
        <v>647</v>
      </c>
    </row>
    <row r="7" spans="1:18" ht="47.25" customHeight="1" x14ac:dyDescent="0.25">
      <c r="A7" s="99" t="s">
        <v>97</v>
      </c>
      <c r="B7" s="19" t="s">
        <v>86</v>
      </c>
      <c r="C7" s="77" t="s">
        <v>414</v>
      </c>
      <c r="D7" s="116">
        <v>20000</v>
      </c>
      <c r="E7" s="116"/>
      <c r="F7" s="116"/>
      <c r="G7" s="116"/>
      <c r="H7" s="116">
        <f>D7-(D7*20/100)</f>
        <v>16000</v>
      </c>
      <c r="I7" s="116"/>
      <c r="J7" s="116"/>
      <c r="K7" s="116"/>
      <c r="L7" s="116">
        <f>D7-(D7*40/100)</f>
        <v>12000</v>
      </c>
      <c r="M7" s="116"/>
      <c r="N7" s="116"/>
      <c r="O7" s="116"/>
      <c r="P7" s="20" t="s">
        <v>9</v>
      </c>
      <c r="Q7" s="26" t="s">
        <v>69</v>
      </c>
      <c r="R7" s="74" t="s">
        <v>722</v>
      </c>
    </row>
    <row r="8" spans="1:18" ht="18" customHeight="1" x14ac:dyDescent="0.25">
      <c r="A8" s="118" t="s">
        <v>100</v>
      </c>
      <c r="B8" s="119" t="s">
        <v>36</v>
      </c>
      <c r="C8" s="77" t="s">
        <v>415</v>
      </c>
      <c r="D8" s="26">
        <v>5000</v>
      </c>
      <c r="E8" s="28">
        <f>D8-(D8*10/100)</f>
        <v>4500</v>
      </c>
      <c r="F8" s="28">
        <f>D8-(D8*20/100)</f>
        <v>4000</v>
      </c>
      <c r="G8" s="28">
        <f>D8-(D8*30/100)</f>
        <v>3500</v>
      </c>
      <c r="H8" s="28">
        <f>D8-(D8*10/100)</f>
        <v>4500</v>
      </c>
      <c r="I8" s="28">
        <f>H8-(H8*10/100)</f>
        <v>4050</v>
      </c>
      <c r="J8" s="28">
        <f>H8-(H8*20/100)</f>
        <v>3600</v>
      </c>
      <c r="K8" s="28">
        <f>H8-(H8*30/100)</f>
        <v>3150</v>
      </c>
      <c r="L8" s="28">
        <f>D8-(D8*20/100)</f>
        <v>4000</v>
      </c>
      <c r="M8" s="28">
        <f>L8-(L8*10/100)</f>
        <v>3600</v>
      </c>
      <c r="N8" s="28">
        <f>L8-(L8*20/100)</f>
        <v>3200</v>
      </c>
      <c r="O8" s="28">
        <f>L8-(L8*30/100)</f>
        <v>2800</v>
      </c>
      <c r="P8" s="115" t="s">
        <v>10</v>
      </c>
      <c r="Q8" s="121" t="s">
        <v>69</v>
      </c>
      <c r="R8" s="135" t="s">
        <v>682</v>
      </c>
    </row>
    <row r="9" spans="1:18" ht="18.75" customHeight="1" x14ac:dyDescent="0.25">
      <c r="A9" s="118"/>
      <c r="B9" s="119"/>
      <c r="C9" s="77" t="s">
        <v>416</v>
      </c>
      <c r="D9" s="28">
        <f t="shared" ref="D9:O9" si="0">D8*50/100</f>
        <v>2500</v>
      </c>
      <c r="E9" s="28">
        <f t="shared" si="0"/>
        <v>2250</v>
      </c>
      <c r="F9" s="28">
        <f t="shared" si="0"/>
        <v>2000</v>
      </c>
      <c r="G9" s="28">
        <f t="shared" si="0"/>
        <v>1750</v>
      </c>
      <c r="H9" s="28">
        <f t="shared" si="0"/>
        <v>2250</v>
      </c>
      <c r="I9" s="28">
        <f t="shared" si="0"/>
        <v>2025</v>
      </c>
      <c r="J9" s="28">
        <f t="shared" si="0"/>
        <v>1800</v>
      </c>
      <c r="K9" s="28">
        <f t="shared" si="0"/>
        <v>1575</v>
      </c>
      <c r="L9" s="28">
        <f t="shared" si="0"/>
        <v>2000</v>
      </c>
      <c r="M9" s="28">
        <f t="shared" si="0"/>
        <v>1800</v>
      </c>
      <c r="N9" s="28">
        <f t="shared" si="0"/>
        <v>1600</v>
      </c>
      <c r="O9" s="28">
        <f t="shared" si="0"/>
        <v>1400</v>
      </c>
      <c r="P9" s="115"/>
      <c r="Q9" s="121"/>
      <c r="R9" s="135"/>
    </row>
    <row r="10" spans="1:18" ht="18" customHeight="1" x14ac:dyDescent="0.25">
      <c r="A10" s="118" t="s">
        <v>103</v>
      </c>
      <c r="B10" s="119" t="s">
        <v>66</v>
      </c>
      <c r="C10" s="77" t="s">
        <v>415</v>
      </c>
      <c r="D10" s="26">
        <v>5000</v>
      </c>
      <c r="E10" s="28">
        <f>D10-(D10*10/100)</f>
        <v>4500</v>
      </c>
      <c r="F10" s="28">
        <f>D10-(D10*20/100)</f>
        <v>4000</v>
      </c>
      <c r="G10" s="28">
        <f>D10-(D10*30/100)</f>
        <v>3500</v>
      </c>
      <c r="H10" s="28">
        <f>D10-(D10*10/100)</f>
        <v>4500</v>
      </c>
      <c r="I10" s="28">
        <f>H10-(H10*10/100)</f>
        <v>4050</v>
      </c>
      <c r="J10" s="28">
        <f>H10-(H10*20/100)</f>
        <v>3600</v>
      </c>
      <c r="K10" s="28">
        <f>H10-(H10*30/100)</f>
        <v>3150</v>
      </c>
      <c r="L10" s="28">
        <f>D10-(D10*20/100)</f>
        <v>4000</v>
      </c>
      <c r="M10" s="28">
        <f>L10-(L10*10/100)</f>
        <v>3600</v>
      </c>
      <c r="N10" s="28">
        <f>L10-(L10*20/100)</f>
        <v>3200</v>
      </c>
      <c r="O10" s="28">
        <f>L10-(L10*30/100)</f>
        <v>2800</v>
      </c>
      <c r="P10" s="115" t="s">
        <v>10</v>
      </c>
      <c r="Q10" s="113" t="s">
        <v>55</v>
      </c>
      <c r="R10" s="117" t="s">
        <v>723</v>
      </c>
    </row>
    <row r="11" spans="1:18" ht="18.75" customHeight="1" x14ac:dyDescent="0.25">
      <c r="A11" s="118"/>
      <c r="B11" s="119"/>
      <c r="C11" s="77" t="s">
        <v>416</v>
      </c>
      <c r="D11" s="28">
        <f t="shared" ref="D11:O11" si="1">D10*50/100</f>
        <v>2500</v>
      </c>
      <c r="E11" s="28">
        <f t="shared" si="1"/>
        <v>2250</v>
      </c>
      <c r="F11" s="28">
        <f t="shared" si="1"/>
        <v>2000</v>
      </c>
      <c r="G11" s="28">
        <f t="shared" si="1"/>
        <v>1750</v>
      </c>
      <c r="H11" s="28">
        <f t="shared" si="1"/>
        <v>2250</v>
      </c>
      <c r="I11" s="28">
        <f t="shared" si="1"/>
        <v>2025</v>
      </c>
      <c r="J11" s="28">
        <f t="shared" si="1"/>
        <v>1800</v>
      </c>
      <c r="K11" s="28">
        <f t="shared" si="1"/>
        <v>1575</v>
      </c>
      <c r="L11" s="28">
        <f t="shared" si="1"/>
        <v>2000</v>
      </c>
      <c r="M11" s="28">
        <f t="shared" si="1"/>
        <v>1800</v>
      </c>
      <c r="N11" s="28">
        <f t="shared" si="1"/>
        <v>1600</v>
      </c>
      <c r="O11" s="28">
        <f t="shared" si="1"/>
        <v>1400</v>
      </c>
      <c r="P11" s="119"/>
      <c r="Q11" s="113"/>
      <c r="R11" s="117"/>
    </row>
    <row r="12" spans="1:18" ht="36" customHeight="1" x14ac:dyDescent="0.25">
      <c r="A12" s="99" t="s">
        <v>105</v>
      </c>
      <c r="B12" s="19" t="s">
        <v>407</v>
      </c>
      <c r="C12" s="77" t="s">
        <v>414</v>
      </c>
      <c r="D12" s="116">
        <v>100000</v>
      </c>
      <c r="E12" s="116"/>
      <c r="F12" s="116"/>
      <c r="G12" s="116"/>
      <c r="H12" s="116">
        <f>D12-(D12*20/100)</f>
        <v>80000</v>
      </c>
      <c r="I12" s="116"/>
      <c r="J12" s="116"/>
      <c r="K12" s="116"/>
      <c r="L12" s="116">
        <f>D12-(D12*40/100)</f>
        <v>60000</v>
      </c>
      <c r="M12" s="116"/>
      <c r="N12" s="116"/>
      <c r="O12" s="116"/>
      <c r="P12" s="20" t="s">
        <v>9</v>
      </c>
      <c r="Q12" s="26" t="s">
        <v>69</v>
      </c>
      <c r="R12" s="81" t="s">
        <v>724</v>
      </c>
    </row>
    <row r="13" spans="1:18" ht="18" customHeight="1" x14ac:dyDescent="0.25">
      <c r="A13" s="118" t="s">
        <v>107</v>
      </c>
      <c r="B13" s="119" t="s">
        <v>408</v>
      </c>
      <c r="C13" s="77" t="s">
        <v>415</v>
      </c>
      <c r="D13" s="26">
        <v>5000</v>
      </c>
      <c r="E13" s="28">
        <f>D13-(D13*10/100)</f>
        <v>4500</v>
      </c>
      <c r="F13" s="28">
        <f>D13-(D13*20/100)</f>
        <v>4000</v>
      </c>
      <c r="G13" s="28">
        <f>D13-(D13*30/100)</f>
        <v>3500</v>
      </c>
      <c r="H13" s="28">
        <f>D13-(D13*10/100)</f>
        <v>4500</v>
      </c>
      <c r="I13" s="28">
        <f>H13-(H13*10/100)</f>
        <v>4050</v>
      </c>
      <c r="J13" s="28">
        <f>H13-(H13*20/100)</f>
        <v>3600</v>
      </c>
      <c r="K13" s="28">
        <f>H13-(H13*30/100)</f>
        <v>3150</v>
      </c>
      <c r="L13" s="28">
        <f>D13-(D13*20/100)</f>
        <v>4000</v>
      </c>
      <c r="M13" s="28">
        <f>L13-(L13*10/100)</f>
        <v>3600</v>
      </c>
      <c r="N13" s="28">
        <f>L13-(L13*20/100)</f>
        <v>3200</v>
      </c>
      <c r="O13" s="28">
        <f>L13-(L13*30/100)</f>
        <v>2800</v>
      </c>
      <c r="P13" s="115" t="s">
        <v>10</v>
      </c>
      <c r="Q13" s="113" t="s">
        <v>69</v>
      </c>
      <c r="R13" s="117" t="s">
        <v>724</v>
      </c>
    </row>
    <row r="14" spans="1:18" ht="18.75" customHeight="1" x14ac:dyDescent="0.25">
      <c r="A14" s="118"/>
      <c r="B14" s="119"/>
      <c r="C14" s="77" t="s">
        <v>416</v>
      </c>
      <c r="D14" s="28">
        <f t="shared" ref="D14:O14" si="2">D13*50/100</f>
        <v>2500</v>
      </c>
      <c r="E14" s="28">
        <f t="shared" si="2"/>
        <v>2250</v>
      </c>
      <c r="F14" s="28">
        <f t="shared" si="2"/>
        <v>2000</v>
      </c>
      <c r="G14" s="28">
        <f t="shared" si="2"/>
        <v>1750</v>
      </c>
      <c r="H14" s="28">
        <f t="shared" si="2"/>
        <v>2250</v>
      </c>
      <c r="I14" s="28">
        <f t="shared" si="2"/>
        <v>2025</v>
      </c>
      <c r="J14" s="28">
        <f t="shared" si="2"/>
        <v>1800</v>
      </c>
      <c r="K14" s="28">
        <f t="shared" si="2"/>
        <v>1575</v>
      </c>
      <c r="L14" s="28">
        <f t="shared" si="2"/>
        <v>2000</v>
      </c>
      <c r="M14" s="28">
        <f t="shared" si="2"/>
        <v>1800</v>
      </c>
      <c r="N14" s="28">
        <f t="shared" si="2"/>
        <v>1600</v>
      </c>
      <c r="O14" s="28">
        <f t="shared" si="2"/>
        <v>1400</v>
      </c>
      <c r="P14" s="115"/>
      <c r="Q14" s="113"/>
      <c r="R14" s="117"/>
    </row>
    <row r="15" spans="1:18" ht="18" customHeight="1" x14ac:dyDescent="0.25">
      <c r="A15" s="118" t="s">
        <v>108</v>
      </c>
      <c r="B15" s="119" t="s">
        <v>554</v>
      </c>
      <c r="C15" s="77" t="s">
        <v>415</v>
      </c>
      <c r="D15" s="26">
        <v>5000</v>
      </c>
      <c r="E15" s="28">
        <f>D15-(D15*10/100)</f>
        <v>4500</v>
      </c>
      <c r="F15" s="28">
        <f>D15-(D15*20/100)</f>
        <v>4000</v>
      </c>
      <c r="G15" s="28">
        <f>D15-(D15*30/100)</f>
        <v>3500</v>
      </c>
      <c r="H15" s="28">
        <f>D15-(D15*10/100)</f>
        <v>4500</v>
      </c>
      <c r="I15" s="28">
        <f>H15-(H15*10/100)</f>
        <v>4050</v>
      </c>
      <c r="J15" s="28">
        <f>H15-(H15*20/100)</f>
        <v>3600</v>
      </c>
      <c r="K15" s="28">
        <f>H15-(H15*30/100)</f>
        <v>3150</v>
      </c>
      <c r="L15" s="28">
        <f>D15-(D15*20/100)</f>
        <v>4000</v>
      </c>
      <c r="M15" s="28">
        <f>L15-(L15*10/100)</f>
        <v>3600</v>
      </c>
      <c r="N15" s="28">
        <f>L15-(L15*20/100)</f>
        <v>3200</v>
      </c>
      <c r="O15" s="28">
        <f>L15-(L15*30/100)</f>
        <v>2800</v>
      </c>
      <c r="P15" s="115" t="s">
        <v>10</v>
      </c>
      <c r="Q15" s="113" t="s">
        <v>55</v>
      </c>
      <c r="R15" s="117" t="s">
        <v>725</v>
      </c>
    </row>
    <row r="16" spans="1:18" ht="18.75" customHeight="1" x14ac:dyDescent="0.25">
      <c r="A16" s="118"/>
      <c r="B16" s="119"/>
      <c r="C16" s="77" t="s">
        <v>416</v>
      </c>
      <c r="D16" s="28">
        <f t="shared" ref="D16:O16" si="3">D15*50/100</f>
        <v>2500</v>
      </c>
      <c r="E16" s="28">
        <f t="shared" si="3"/>
        <v>2250</v>
      </c>
      <c r="F16" s="28">
        <f t="shared" si="3"/>
        <v>2000</v>
      </c>
      <c r="G16" s="28">
        <f t="shared" si="3"/>
        <v>1750</v>
      </c>
      <c r="H16" s="28">
        <f t="shared" si="3"/>
        <v>2250</v>
      </c>
      <c r="I16" s="28">
        <f t="shared" si="3"/>
        <v>2025</v>
      </c>
      <c r="J16" s="28">
        <f t="shared" si="3"/>
        <v>1800</v>
      </c>
      <c r="K16" s="28">
        <f t="shared" si="3"/>
        <v>1575</v>
      </c>
      <c r="L16" s="28">
        <f t="shared" si="3"/>
        <v>2000</v>
      </c>
      <c r="M16" s="28">
        <f t="shared" si="3"/>
        <v>1800</v>
      </c>
      <c r="N16" s="28">
        <f t="shared" si="3"/>
        <v>1600</v>
      </c>
      <c r="O16" s="28">
        <f t="shared" si="3"/>
        <v>1400</v>
      </c>
      <c r="P16" s="115"/>
      <c r="Q16" s="113"/>
      <c r="R16" s="117"/>
    </row>
    <row r="17" spans="1:18" ht="47.25" customHeight="1" x14ac:dyDescent="0.25">
      <c r="A17" s="99" t="s">
        <v>343</v>
      </c>
      <c r="B17" s="19" t="s">
        <v>741</v>
      </c>
      <c r="C17" s="77" t="s">
        <v>414</v>
      </c>
      <c r="D17" s="116">
        <v>50000</v>
      </c>
      <c r="E17" s="116"/>
      <c r="F17" s="116"/>
      <c r="G17" s="116"/>
      <c r="H17" s="116">
        <f>D17-(D17*20/100)</f>
        <v>40000</v>
      </c>
      <c r="I17" s="116"/>
      <c r="J17" s="116"/>
      <c r="K17" s="116"/>
      <c r="L17" s="116">
        <f>D17-(D17*40/100)</f>
        <v>30000</v>
      </c>
      <c r="M17" s="116"/>
      <c r="N17" s="116"/>
      <c r="O17" s="116"/>
      <c r="P17" s="20" t="s">
        <v>9</v>
      </c>
      <c r="Q17" s="26" t="s">
        <v>69</v>
      </c>
      <c r="R17" s="81" t="s">
        <v>726</v>
      </c>
    </row>
    <row r="18" spans="1:18" ht="18" customHeight="1" x14ac:dyDescent="0.25">
      <c r="A18" s="118" t="s">
        <v>112</v>
      </c>
      <c r="B18" s="119" t="s">
        <v>742</v>
      </c>
      <c r="C18" s="77" t="s">
        <v>415</v>
      </c>
      <c r="D18" s="100">
        <v>5000</v>
      </c>
      <c r="E18" s="98">
        <f>D18-(D18*10/100)</f>
        <v>4500</v>
      </c>
      <c r="F18" s="98">
        <f>D18-(D18*20/100)</f>
        <v>4000</v>
      </c>
      <c r="G18" s="98">
        <f>D18-(D18*30/100)</f>
        <v>3500</v>
      </c>
      <c r="H18" s="98">
        <f>D18-(D18*10/100)</f>
        <v>4500</v>
      </c>
      <c r="I18" s="98">
        <f>H18-(H18*10/100)</f>
        <v>4050</v>
      </c>
      <c r="J18" s="98">
        <f>H18-(H18*20/100)</f>
        <v>3600</v>
      </c>
      <c r="K18" s="98">
        <f>H18-(H18*30/100)</f>
        <v>3150</v>
      </c>
      <c r="L18" s="98">
        <f>D18-(D18*20/100)</f>
        <v>4000</v>
      </c>
      <c r="M18" s="98">
        <f>L18-(L18*10/100)</f>
        <v>3600</v>
      </c>
      <c r="N18" s="98">
        <f>L18-(L18*20/100)</f>
        <v>3200</v>
      </c>
      <c r="O18" s="98">
        <f>L18-(L18*30/100)</f>
        <v>2800</v>
      </c>
      <c r="P18" s="115" t="s">
        <v>10</v>
      </c>
      <c r="Q18" s="113" t="s">
        <v>69</v>
      </c>
      <c r="R18" s="117" t="s">
        <v>726</v>
      </c>
    </row>
    <row r="19" spans="1:18" ht="18.75" customHeight="1" x14ac:dyDescent="0.25">
      <c r="A19" s="118"/>
      <c r="B19" s="119"/>
      <c r="C19" s="77" t="s">
        <v>416</v>
      </c>
      <c r="D19" s="98">
        <f t="shared" ref="D19:O19" si="4">D18*50/100</f>
        <v>2500</v>
      </c>
      <c r="E19" s="98">
        <f t="shared" si="4"/>
        <v>2250</v>
      </c>
      <c r="F19" s="98">
        <f t="shared" si="4"/>
        <v>2000</v>
      </c>
      <c r="G19" s="98">
        <f t="shared" si="4"/>
        <v>1750</v>
      </c>
      <c r="H19" s="98">
        <f t="shared" si="4"/>
        <v>2250</v>
      </c>
      <c r="I19" s="98">
        <f t="shared" si="4"/>
        <v>2025</v>
      </c>
      <c r="J19" s="98">
        <f t="shared" si="4"/>
        <v>1800</v>
      </c>
      <c r="K19" s="98">
        <f t="shared" si="4"/>
        <v>1575</v>
      </c>
      <c r="L19" s="98">
        <f t="shared" si="4"/>
        <v>2000</v>
      </c>
      <c r="M19" s="98">
        <f t="shared" si="4"/>
        <v>1800</v>
      </c>
      <c r="N19" s="98">
        <f t="shared" si="4"/>
        <v>1600</v>
      </c>
      <c r="O19" s="98">
        <f t="shared" si="4"/>
        <v>1400</v>
      </c>
      <c r="P19" s="115"/>
      <c r="Q19" s="113"/>
      <c r="R19" s="117"/>
    </row>
    <row r="20" spans="1:18" ht="18" customHeight="1" x14ac:dyDescent="0.25">
      <c r="A20" s="118" t="s">
        <v>114</v>
      </c>
      <c r="B20" s="119" t="s">
        <v>46</v>
      </c>
      <c r="C20" s="77" t="s">
        <v>415</v>
      </c>
      <c r="D20" s="26">
        <v>3000</v>
      </c>
      <c r="E20" s="28">
        <f>D20-(D20*10/100)</f>
        <v>2700</v>
      </c>
      <c r="F20" s="28">
        <f>D20-(D20*20/100)</f>
        <v>2400</v>
      </c>
      <c r="G20" s="28">
        <f>D20-(D20*30/100)</f>
        <v>2100</v>
      </c>
      <c r="H20" s="28">
        <f>D20-(D20*10/100)</f>
        <v>2700</v>
      </c>
      <c r="I20" s="28">
        <f>H20-(H20*10/100)</f>
        <v>2430</v>
      </c>
      <c r="J20" s="28">
        <f>H20-(H20*20/100)</f>
        <v>2160</v>
      </c>
      <c r="K20" s="28">
        <f>H20-(H20*30/100)</f>
        <v>1890</v>
      </c>
      <c r="L20" s="28">
        <f>D20-(D20*20/100)</f>
        <v>2400</v>
      </c>
      <c r="M20" s="28">
        <f>L20-(L20*10/100)</f>
        <v>2160</v>
      </c>
      <c r="N20" s="28">
        <f>L20-(L20*20/100)</f>
        <v>1920</v>
      </c>
      <c r="O20" s="28">
        <f>L20-(L20*30/100)</f>
        <v>1680</v>
      </c>
      <c r="P20" s="115" t="s">
        <v>10</v>
      </c>
      <c r="Q20" s="121" t="s">
        <v>69</v>
      </c>
      <c r="R20" s="117" t="s">
        <v>726</v>
      </c>
    </row>
    <row r="21" spans="1:18" ht="18.75" customHeight="1" x14ac:dyDescent="0.25">
      <c r="A21" s="118"/>
      <c r="B21" s="119"/>
      <c r="C21" s="77" t="s">
        <v>416</v>
      </c>
      <c r="D21" s="28">
        <f t="shared" ref="D21:O21" si="5">D20*50/100</f>
        <v>1500</v>
      </c>
      <c r="E21" s="28">
        <f t="shared" si="5"/>
        <v>1350</v>
      </c>
      <c r="F21" s="28">
        <f t="shared" si="5"/>
        <v>1200</v>
      </c>
      <c r="G21" s="28">
        <f t="shared" si="5"/>
        <v>1050</v>
      </c>
      <c r="H21" s="28">
        <f t="shared" si="5"/>
        <v>1350</v>
      </c>
      <c r="I21" s="28">
        <f t="shared" si="5"/>
        <v>1215</v>
      </c>
      <c r="J21" s="28">
        <f t="shared" si="5"/>
        <v>1080</v>
      </c>
      <c r="K21" s="28">
        <f t="shared" si="5"/>
        <v>945</v>
      </c>
      <c r="L21" s="28">
        <f t="shared" si="5"/>
        <v>1200</v>
      </c>
      <c r="M21" s="28">
        <f t="shared" si="5"/>
        <v>1080</v>
      </c>
      <c r="N21" s="28">
        <f t="shared" si="5"/>
        <v>960</v>
      </c>
      <c r="O21" s="28">
        <f t="shared" si="5"/>
        <v>840</v>
      </c>
      <c r="P21" s="115"/>
      <c r="Q21" s="121"/>
      <c r="R21" s="117"/>
    </row>
    <row r="22" spans="1:18" ht="47.25" customHeight="1" x14ac:dyDescent="0.25">
      <c r="A22" s="99" t="s">
        <v>117</v>
      </c>
      <c r="B22" s="19" t="s">
        <v>47</v>
      </c>
      <c r="C22" s="77" t="s">
        <v>414</v>
      </c>
      <c r="D22" s="116">
        <v>30000</v>
      </c>
      <c r="E22" s="116"/>
      <c r="F22" s="116"/>
      <c r="G22" s="116"/>
      <c r="H22" s="116">
        <f>D22-(D22*20/100)</f>
        <v>24000</v>
      </c>
      <c r="I22" s="116"/>
      <c r="J22" s="116"/>
      <c r="K22" s="116"/>
      <c r="L22" s="116">
        <f>D22-(D22*40/100)</f>
        <v>18000</v>
      </c>
      <c r="M22" s="116"/>
      <c r="N22" s="116"/>
      <c r="O22" s="116"/>
      <c r="P22" s="20" t="s">
        <v>9</v>
      </c>
      <c r="Q22" s="26" t="s">
        <v>69</v>
      </c>
      <c r="R22" s="81" t="s">
        <v>727</v>
      </c>
    </row>
    <row r="23" spans="1:18" ht="47.25" customHeight="1" x14ac:dyDescent="0.25">
      <c r="A23" s="99" t="s">
        <v>118</v>
      </c>
      <c r="B23" s="19" t="s">
        <v>746</v>
      </c>
      <c r="C23" s="77" t="s">
        <v>414</v>
      </c>
      <c r="D23" s="116">
        <v>30000</v>
      </c>
      <c r="E23" s="116"/>
      <c r="F23" s="116"/>
      <c r="G23" s="116"/>
      <c r="H23" s="116">
        <f>D23-(D23*20/100)</f>
        <v>24000</v>
      </c>
      <c r="I23" s="116"/>
      <c r="J23" s="116"/>
      <c r="K23" s="116"/>
      <c r="L23" s="116">
        <f>D23-(D23*40/100)</f>
        <v>18000</v>
      </c>
      <c r="M23" s="116"/>
      <c r="N23" s="116"/>
      <c r="O23" s="116"/>
      <c r="P23" s="20" t="s">
        <v>9</v>
      </c>
      <c r="Q23" s="26" t="s">
        <v>69</v>
      </c>
      <c r="R23" s="81" t="s">
        <v>728</v>
      </c>
    </row>
    <row r="24" spans="1:18" ht="18" customHeight="1" x14ac:dyDescent="0.25">
      <c r="A24" s="118" t="s">
        <v>120</v>
      </c>
      <c r="B24" s="119" t="s">
        <v>743</v>
      </c>
      <c r="C24" s="77" t="s">
        <v>415</v>
      </c>
      <c r="D24" s="100">
        <v>5000</v>
      </c>
      <c r="E24" s="98">
        <f>D24-(D24*10/100)</f>
        <v>4500</v>
      </c>
      <c r="F24" s="98">
        <f>D24-(D24*20/100)</f>
        <v>4000</v>
      </c>
      <c r="G24" s="98">
        <f>D24-(D24*30/100)</f>
        <v>3500</v>
      </c>
      <c r="H24" s="98">
        <f>D24-(D24*10/100)</f>
        <v>4500</v>
      </c>
      <c r="I24" s="98">
        <f>H24-(H24*10/100)</f>
        <v>4050</v>
      </c>
      <c r="J24" s="98">
        <f>H24-(H24*20/100)</f>
        <v>3600</v>
      </c>
      <c r="K24" s="98">
        <f>H24-(H24*30/100)</f>
        <v>3150</v>
      </c>
      <c r="L24" s="98">
        <f>D24-(D24*20/100)</f>
        <v>4000</v>
      </c>
      <c r="M24" s="98">
        <f>L24-(L24*10/100)</f>
        <v>3600</v>
      </c>
      <c r="N24" s="98">
        <f>L24-(L24*20/100)</f>
        <v>3200</v>
      </c>
      <c r="O24" s="98">
        <f>L24-(L24*30/100)</f>
        <v>2800</v>
      </c>
      <c r="P24" s="115" t="s">
        <v>10</v>
      </c>
      <c r="Q24" s="113" t="s">
        <v>69</v>
      </c>
      <c r="R24" s="117" t="s">
        <v>728</v>
      </c>
    </row>
    <row r="25" spans="1:18" ht="18.75" customHeight="1" x14ac:dyDescent="0.25">
      <c r="A25" s="118"/>
      <c r="B25" s="119"/>
      <c r="C25" s="77" t="s">
        <v>416</v>
      </c>
      <c r="D25" s="98">
        <f t="shared" ref="D25:O25" si="6">D24*50/100</f>
        <v>2500</v>
      </c>
      <c r="E25" s="98">
        <f t="shared" si="6"/>
        <v>2250</v>
      </c>
      <c r="F25" s="98">
        <f t="shared" si="6"/>
        <v>2000</v>
      </c>
      <c r="G25" s="98">
        <f t="shared" si="6"/>
        <v>1750</v>
      </c>
      <c r="H25" s="98">
        <f t="shared" si="6"/>
        <v>2250</v>
      </c>
      <c r="I25" s="98">
        <f t="shared" si="6"/>
        <v>2025</v>
      </c>
      <c r="J25" s="98">
        <f t="shared" si="6"/>
        <v>1800</v>
      </c>
      <c r="K25" s="98">
        <f t="shared" si="6"/>
        <v>1575</v>
      </c>
      <c r="L25" s="98">
        <f t="shared" si="6"/>
        <v>2000</v>
      </c>
      <c r="M25" s="98">
        <f t="shared" si="6"/>
        <v>1800</v>
      </c>
      <c r="N25" s="98">
        <f t="shared" si="6"/>
        <v>1600</v>
      </c>
      <c r="O25" s="98">
        <f t="shared" si="6"/>
        <v>1400</v>
      </c>
      <c r="P25" s="115"/>
      <c r="Q25" s="113"/>
      <c r="R25" s="117"/>
    </row>
    <row r="26" spans="1:18" ht="18" customHeight="1" x14ac:dyDescent="0.25">
      <c r="A26" s="118" t="s">
        <v>121</v>
      </c>
      <c r="B26" s="119" t="s">
        <v>22</v>
      </c>
      <c r="C26" s="77" t="s">
        <v>415</v>
      </c>
      <c r="D26" s="26">
        <v>5000</v>
      </c>
      <c r="E26" s="28">
        <f>D26-(D26*10/100)</f>
        <v>4500</v>
      </c>
      <c r="F26" s="28">
        <f>D26-(D26*20/100)</f>
        <v>4000</v>
      </c>
      <c r="G26" s="28">
        <f>D26-(D26*30/100)</f>
        <v>3500</v>
      </c>
      <c r="H26" s="28">
        <f>D26-(D26*10/100)</f>
        <v>4500</v>
      </c>
      <c r="I26" s="28">
        <f>H26-(H26*10/100)</f>
        <v>4050</v>
      </c>
      <c r="J26" s="28">
        <f>H26-(H26*20/100)</f>
        <v>3600</v>
      </c>
      <c r="K26" s="28">
        <f>H26-(H26*30/100)</f>
        <v>3150</v>
      </c>
      <c r="L26" s="28">
        <f>D26-(D26*20/100)</f>
        <v>4000</v>
      </c>
      <c r="M26" s="28">
        <f>L26-(L26*10/100)</f>
        <v>3600</v>
      </c>
      <c r="N26" s="28">
        <f>L26-(L26*20/100)</f>
        <v>3200</v>
      </c>
      <c r="O26" s="28">
        <f>L26-(L26*30/100)</f>
        <v>2800</v>
      </c>
      <c r="P26" s="115" t="s">
        <v>10</v>
      </c>
      <c r="Q26" s="113" t="s">
        <v>54</v>
      </c>
      <c r="R26" s="117" t="s">
        <v>729</v>
      </c>
    </row>
    <row r="27" spans="1:18" ht="36" customHeight="1" x14ac:dyDescent="0.25">
      <c r="A27" s="118"/>
      <c r="B27" s="119"/>
      <c r="C27" s="77" t="s">
        <v>416</v>
      </c>
      <c r="D27" s="28">
        <f t="shared" ref="D27:O27" si="7">D26*50/100</f>
        <v>2500</v>
      </c>
      <c r="E27" s="28">
        <f t="shared" si="7"/>
        <v>2250</v>
      </c>
      <c r="F27" s="28">
        <f t="shared" si="7"/>
        <v>2000</v>
      </c>
      <c r="G27" s="28">
        <f t="shared" si="7"/>
        <v>1750</v>
      </c>
      <c r="H27" s="28">
        <f t="shared" si="7"/>
        <v>2250</v>
      </c>
      <c r="I27" s="28">
        <f t="shared" si="7"/>
        <v>2025</v>
      </c>
      <c r="J27" s="28">
        <f t="shared" si="7"/>
        <v>1800</v>
      </c>
      <c r="K27" s="28">
        <f t="shared" si="7"/>
        <v>1575</v>
      </c>
      <c r="L27" s="28">
        <f t="shared" si="7"/>
        <v>2000</v>
      </c>
      <c r="M27" s="28">
        <f t="shared" si="7"/>
        <v>1800</v>
      </c>
      <c r="N27" s="28">
        <f t="shared" si="7"/>
        <v>1600</v>
      </c>
      <c r="O27" s="28">
        <f t="shared" si="7"/>
        <v>1400</v>
      </c>
      <c r="P27" s="115"/>
      <c r="Q27" s="113"/>
      <c r="R27" s="117"/>
    </row>
    <row r="28" spans="1:18" ht="18" customHeight="1" x14ac:dyDescent="0.25">
      <c r="A28" s="118" t="s">
        <v>618</v>
      </c>
      <c r="B28" s="119" t="s">
        <v>23</v>
      </c>
      <c r="C28" s="77" t="s">
        <v>415</v>
      </c>
      <c r="D28" s="26">
        <v>2000</v>
      </c>
      <c r="E28" s="28">
        <f>D28-(D28*10/100)</f>
        <v>1800</v>
      </c>
      <c r="F28" s="28">
        <f>D28-(D28*20/100)</f>
        <v>1600</v>
      </c>
      <c r="G28" s="28">
        <f>D28-(D28*30/100)</f>
        <v>1400</v>
      </c>
      <c r="H28" s="28">
        <f>D28-(D28*10/100)</f>
        <v>1800</v>
      </c>
      <c r="I28" s="28">
        <f>H28-(H28*10/100)</f>
        <v>1620</v>
      </c>
      <c r="J28" s="28">
        <f>H28-(H28*20/100)</f>
        <v>1440</v>
      </c>
      <c r="K28" s="28">
        <f>H28-(H28*30/100)</f>
        <v>1260</v>
      </c>
      <c r="L28" s="28">
        <f>D28-(D28*20/100)</f>
        <v>1600</v>
      </c>
      <c r="M28" s="28">
        <f>L28-(L28*10/100)</f>
        <v>1440</v>
      </c>
      <c r="N28" s="28">
        <f>L28-(L28*20/100)</f>
        <v>1280</v>
      </c>
      <c r="O28" s="28">
        <f>L28-(L28*30/100)</f>
        <v>1120</v>
      </c>
      <c r="P28" s="115" t="s">
        <v>10</v>
      </c>
      <c r="Q28" s="113" t="s">
        <v>54</v>
      </c>
      <c r="R28" s="117" t="s">
        <v>648</v>
      </c>
    </row>
    <row r="29" spans="1:18" ht="18.75" customHeight="1" x14ac:dyDescent="0.25">
      <c r="A29" s="118"/>
      <c r="B29" s="119"/>
      <c r="C29" s="77" t="s">
        <v>416</v>
      </c>
      <c r="D29" s="28">
        <f t="shared" ref="D29:O29" si="8">D28*50/100</f>
        <v>1000</v>
      </c>
      <c r="E29" s="28">
        <f t="shared" si="8"/>
        <v>900</v>
      </c>
      <c r="F29" s="28">
        <f t="shared" si="8"/>
        <v>800</v>
      </c>
      <c r="G29" s="28">
        <f t="shared" si="8"/>
        <v>700</v>
      </c>
      <c r="H29" s="28">
        <f t="shared" si="8"/>
        <v>900</v>
      </c>
      <c r="I29" s="28">
        <f t="shared" si="8"/>
        <v>810</v>
      </c>
      <c r="J29" s="28">
        <f t="shared" si="8"/>
        <v>720</v>
      </c>
      <c r="K29" s="28">
        <f t="shared" si="8"/>
        <v>630</v>
      </c>
      <c r="L29" s="28">
        <f t="shared" si="8"/>
        <v>800</v>
      </c>
      <c r="M29" s="28">
        <f t="shared" si="8"/>
        <v>720</v>
      </c>
      <c r="N29" s="28">
        <f t="shared" si="8"/>
        <v>640</v>
      </c>
      <c r="O29" s="28">
        <f t="shared" si="8"/>
        <v>560</v>
      </c>
      <c r="P29" s="115"/>
      <c r="Q29" s="113"/>
      <c r="R29" s="117"/>
    </row>
    <row r="30" spans="1:18" ht="18" customHeight="1" x14ac:dyDescent="0.25">
      <c r="A30" s="118" t="s">
        <v>124</v>
      </c>
      <c r="B30" s="119" t="s">
        <v>557</v>
      </c>
      <c r="C30" s="77" t="s">
        <v>415</v>
      </c>
      <c r="D30" s="26">
        <v>1000</v>
      </c>
      <c r="E30" s="28">
        <f>D30-(D30*10/100)</f>
        <v>900</v>
      </c>
      <c r="F30" s="28">
        <f>D30-(D30*20/100)</f>
        <v>800</v>
      </c>
      <c r="G30" s="28">
        <f>D30-(D30*30/100)</f>
        <v>700</v>
      </c>
      <c r="H30" s="28">
        <f>D30-(D30*10/100)</f>
        <v>900</v>
      </c>
      <c r="I30" s="28">
        <f>H30-(H30*10/100)</f>
        <v>810</v>
      </c>
      <c r="J30" s="28">
        <f>H30-(H30*20/100)</f>
        <v>720</v>
      </c>
      <c r="K30" s="28">
        <f>H30-(H30*30/100)</f>
        <v>630</v>
      </c>
      <c r="L30" s="28">
        <f>D30-(D30*20/100)</f>
        <v>800</v>
      </c>
      <c r="M30" s="28">
        <f>L30-(L30*10/100)</f>
        <v>720</v>
      </c>
      <c r="N30" s="28">
        <f>L30-(L30*20/100)</f>
        <v>640</v>
      </c>
      <c r="O30" s="28">
        <f>L30-(L30*30/100)</f>
        <v>560</v>
      </c>
      <c r="P30" s="115" t="s">
        <v>10</v>
      </c>
      <c r="Q30" s="113" t="s">
        <v>69</v>
      </c>
      <c r="R30" s="117" t="s">
        <v>639</v>
      </c>
    </row>
    <row r="31" spans="1:18" ht="18.75" customHeight="1" x14ac:dyDescent="0.25">
      <c r="A31" s="118"/>
      <c r="B31" s="119"/>
      <c r="C31" s="77" t="s">
        <v>416</v>
      </c>
      <c r="D31" s="28">
        <f t="shared" ref="D31:O31" si="9">D30*50/100</f>
        <v>500</v>
      </c>
      <c r="E31" s="28">
        <f t="shared" si="9"/>
        <v>450</v>
      </c>
      <c r="F31" s="28">
        <f t="shared" si="9"/>
        <v>400</v>
      </c>
      <c r="G31" s="28">
        <f t="shared" si="9"/>
        <v>350</v>
      </c>
      <c r="H31" s="28">
        <f t="shared" si="9"/>
        <v>450</v>
      </c>
      <c r="I31" s="28">
        <f t="shared" si="9"/>
        <v>405</v>
      </c>
      <c r="J31" s="28">
        <f t="shared" si="9"/>
        <v>360</v>
      </c>
      <c r="K31" s="28">
        <f t="shared" si="9"/>
        <v>315</v>
      </c>
      <c r="L31" s="28">
        <f t="shared" si="9"/>
        <v>400</v>
      </c>
      <c r="M31" s="28">
        <f t="shared" si="9"/>
        <v>360</v>
      </c>
      <c r="N31" s="28">
        <f t="shared" si="9"/>
        <v>320</v>
      </c>
      <c r="O31" s="28">
        <f t="shared" si="9"/>
        <v>280</v>
      </c>
      <c r="P31" s="115"/>
      <c r="Q31" s="113"/>
      <c r="R31" s="117"/>
    </row>
    <row r="32" spans="1:18" ht="47.25" customHeight="1" x14ac:dyDescent="0.25">
      <c r="A32" s="99" t="s">
        <v>341</v>
      </c>
      <c r="B32" s="19" t="s">
        <v>459</v>
      </c>
      <c r="C32" s="77" t="s">
        <v>414</v>
      </c>
      <c r="D32" s="116">
        <v>15000</v>
      </c>
      <c r="E32" s="116"/>
      <c r="F32" s="116"/>
      <c r="G32" s="116"/>
      <c r="H32" s="116">
        <f>D32-(D32*20/100)</f>
        <v>12000</v>
      </c>
      <c r="I32" s="116"/>
      <c r="J32" s="116"/>
      <c r="K32" s="116"/>
      <c r="L32" s="116">
        <f>D32-(D32*40/100)</f>
        <v>9000</v>
      </c>
      <c r="M32" s="116"/>
      <c r="N32" s="116"/>
      <c r="O32" s="116"/>
      <c r="P32" s="20" t="s">
        <v>9</v>
      </c>
      <c r="Q32" s="26" t="s">
        <v>55</v>
      </c>
      <c r="R32" s="81" t="s">
        <v>730</v>
      </c>
    </row>
    <row r="33" spans="1:18" ht="47.25" customHeight="1" x14ac:dyDescent="0.25">
      <c r="A33" s="99" t="s">
        <v>127</v>
      </c>
      <c r="B33" s="19" t="s">
        <v>12</v>
      </c>
      <c r="C33" s="77" t="s">
        <v>414</v>
      </c>
      <c r="D33" s="116">
        <v>15000</v>
      </c>
      <c r="E33" s="116"/>
      <c r="F33" s="116"/>
      <c r="G33" s="116"/>
      <c r="H33" s="116">
        <f>D33-(D33*20/100)</f>
        <v>12000</v>
      </c>
      <c r="I33" s="116"/>
      <c r="J33" s="116"/>
      <c r="K33" s="116"/>
      <c r="L33" s="116">
        <f>D33-(D33*40/100)</f>
        <v>9000</v>
      </c>
      <c r="M33" s="116"/>
      <c r="N33" s="116"/>
      <c r="O33" s="116"/>
      <c r="P33" s="20" t="s">
        <v>9</v>
      </c>
      <c r="Q33" s="26" t="s">
        <v>55</v>
      </c>
      <c r="R33" s="81" t="s">
        <v>667</v>
      </c>
    </row>
    <row r="34" spans="1:18" ht="18" customHeight="1" x14ac:dyDescent="0.25">
      <c r="A34" s="118" t="s">
        <v>558</v>
      </c>
      <c r="B34" s="119" t="s">
        <v>13</v>
      </c>
      <c r="C34" s="77" t="s">
        <v>415</v>
      </c>
      <c r="D34" s="26">
        <v>4000</v>
      </c>
      <c r="E34" s="28">
        <f>D34-(D34*10/100)</f>
        <v>3600</v>
      </c>
      <c r="F34" s="28">
        <f>D34-(D34*20/100)</f>
        <v>3200</v>
      </c>
      <c r="G34" s="28">
        <f>D34-(D34*30/100)</f>
        <v>2800</v>
      </c>
      <c r="H34" s="28">
        <f>D34-(D34*10/100)</f>
        <v>3600</v>
      </c>
      <c r="I34" s="28">
        <f>H34-(H34*10/100)</f>
        <v>3240</v>
      </c>
      <c r="J34" s="28">
        <f>H34-(H34*20/100)</f>
        <v>2880</v>
      </c>
      <c r="K34" s="28">
        <f>H34-(H34*30/100)</f>
        <v>2520</v>
      </c>
      <c r="L34" s="28">
        <f>D34-(D34*20/100)</f>
        <v>3200</v>
      </c>
      <c r="M34" s="28">
        <f>L34-(L34*10/100)</f>
        <v>2880</v>
      </c>
      <c r="N34" s="28">
        <f>L34-(L34*20/100)</f>
        <v>2560</v>
      </c>
      <c r="O34" s="28">
        <f>L34-(L34*30/100)</f>
        <v>2240</v>
      </c>
      <c r="P34" s="115" t="s">
        <v>10</v>
      </c>
      <c r="Q34" s="121" t="s">
        <v>58</v>
      </c>
      <c r="R34" s="117" t="s">
        <v>689</v>
      </c>
    </row>
    <row r="35" spans="1:18" ht="18.75" customHeight="1" x14ac:dyDescent="0.25">
      <c r="A35" s="118"/>
      <c r="B35" s="119"/>
      <c r="C35" s="77" t="s">
        <v>416</v>
      </c>
      <c r="D35" s="28">
        <f t="shared" ref="D35:O35" si="10">D34*50/100</f>
        <v>2000</v>
      </c>
      <c r="E35" s="28">
        <f t="shared" si="10"/>
        <v>1800</v>
      </c>
      <c r="F35" s="28">
        <f t="shared" si="10"/>
        <v>1600</v>
      </c>
      <c r="G35" s="28">
        <f t="shared" si="10"/>
        <v>1400</v>
      </c>
      <c r="H35" s="28">
        <f t="shared" si="10"/>
        <v>1800</v>
      </c>
      <c r="I35" s="28">
        <f t="shared" si="10"/>
        <v>1620</v>
      </c>
      <c r="J35" s="28">
        <f t="shared" si="10"/>
        <v>1440</v>
      </c>
      <c r="K35" s="28">
        <f t="shared" si="10"/>
        <v>1260</v>
      </c>
      <c r="L35" s="28">
        <f t="shared" si="10"/>
        <v>1600</v>
      </c>
      <c r="M35" s="28">
        <f t="shared" si="10"/>
        <v>1440</v>
      </c>
      <c r="N35" s="28">
        <f t="shared" si="10"/>
        <v>1280</v>
      </c>
      <c r="O35" s="28">
        <f t="shared" si="10"/>
        <v>1120</v>
      </c>
      <c r="P35" s="115"/>
      <c r="Q35" s="121"/>
      <c r="R35" s="117"/>
    </row>
    <row r="36" spans="1:18" ht="18" customHeight="1" x14ac:dyDescent="0.25">
      <c r="A36" s="118" t="s">
        <v>744</v>
      </c>
      <c r="B36" s="119" t="s">
        <v>409</v>
      </c>
      <c r="C36" s="77" t="s">
        <v>415</v>
      </c>
      <c r="D36" s="26">
        <v>500</v>
      </c>
      <c r="E36" s="28">
        <f>D36-(D36*10/100)</f>
        <v>450</v>
      </c>
      <c r="F36" s="28">
        <f>D36-(D36*20/100)</f>
        <v>400</v>
      </c>
      <c r="G36" s="28">
        <f>D36-(D36*30/100)</f>
        <v>350</v>
      </c>
      <c r="H36" s="28">
        <f>D36-(D36*10/100)</f>
        <v>450</v>
      </c>
      <c r="I36" s="28">
        <f>H36-(H36*10/100)</f>
        <v>405</v>
      </c>
      <c r="J36" s="28">
        <f>H36-(H36*20/100)</f>
        <v>360</v>
      </c>
      <c r="K36" s="28">
        <f>H36-(H36*30/100)</f>
        <v>315</v>
      </c>
      <c r="L36" s="28">
        <f>D36-(D36*20/100)</f>
        <v>400</v>
      </c>
      <c r="M36" s="28">
        <f>L36-(L36*10/100)</f>
        <v>360</v>
      </c>
      <c r="N36" s="28">
        <f>L36-(L36*20/100)</f>
        <v>320</v>
      </c>
      <c r="O36" s="28">
        <f>L36-(L36*30/100)</f>
        <v>280</v>
      </c>
      <c r="P36" s="115" t="s">
        <v>10</v>
      </c>
      <c r="Q36" s="121" t="s">
        <v>58</v>
      </c>
      <c r="R36" s="117" t="s">
        <v>669</v>
      </c>
    </row>
    <row r="37" spans="1:18" ht="18.75" customHeight="1" x14ac:dyDescent="0.25">
      <c r="A37" s="118"/>
      <c r="B37" s="119"/>
      <c r="C37" s="77" t="s">
        <v>416</v>
      </c>
      <c r="D37" s="28">
        <f t="shared" ref="D37:O37" si="11">D36*50/100</f>
        <v>250</v>
      </c>
      <c r="E37" s="28">
        <f t="shared" si="11"/>
        <v>225</v>
      </c>
      <c r="F37" s="28">
        <f t="shared" si="11"/>
        <v>200</v>
      </c>
      <c r="G37" s="28">
        <f t="shared" si="11"/>
        <v>175</v>
      </c>
      <c r="H37" s="28">
        <f t="shared" si="11"/>
        <v>225</v>
      </c>
      <c r="I37" s="28">
        <f t="shared" si="11"/>
        <v>202.5</v>
      </c>
      <c r="J37" s="28">
        <f t="shared" si="11"/>
        <v>180</v>
      </c>
      <c r="K37" s="28">
        <f t="shared" si="11"/>
        <v>157.5</v>
      </c>
      <c r="L37" s="28">
        <f t="shared" si="11"/>
        <v>200</v>
      </c>
      <c r="M37" s="28">
        <f t="shared" si="11"/>
        <v>180</v>
      </c>
      <c r="N37" s="28">
        <f t="shared" si="11"/>
        <v>160</v>
      </c>
      <c r="O37" s="28">
        <f t="shared" si="11"/>
        <v>140</v>
      </c>
      <c r="P37" s="115"/>
      <c r="Q37" s="121"/>
      <c r="R37" s="117"/>
    </row>
    <row r="38" spans="1:18" ht="47.25" customHeight="1" x14ac:dyDescent="0.25">
      <c r="A38" s="103" t="s">
        <v>745</v>
      </c>
      <c r="B38" s="19" t="s">
        <v>410</v>
      </c>
      <c r="C38" s="77" t="s">
        <v>414</v>
      </c>
      <c r="D38" s="116">
        <v>40000</v>
      </c>
      <c r="E38" s="116"/>
      <c r="F38" s="116"/>
      <c r="G38" s="116"/>
      <c r="H38" s="116">
        <f>D38-(D38*20/100)</f>
        <v>32000</v>
      </c>
      <c r="I38" s="116"/>
      <c r="J38" s="116"/>
      <c r="K38" s="116"/>
      <c r="L38" s="116">
        <f>D38-(D38*40/100)</f>
        <v>24000</v>
      </c>
      <c r="M38" s="116"/>
      <c r="N38" s="116"/>
      <c r="O38" s="116"/>
      <c r="P38" s="20" t="s">
        <v>9</v>
      </c>
      <c r="Q38" s="26" t="s">
        <v>69</v>
      </c>
      <c r="R38" s="81" t="s">
        <v>731</v>
      </c>
    </row>
    <row r="39" spans="1:18" ht="24" customHeight="1" x14ac:dyDescent="0.25">
      <c r="A39" s="127" t="s">
        <v>411</v>
      </c>
      <c r="B39" s="127"/>
      <c r="C39" s="127"/>
      <c r="D39" s="127"/>
      <c r="E39" s="127"/>
      <c r="F39" s="127"/>
      <c r="G39" s="127"/>
      <c r="H39" s="127"/>
      <c r="I39" s="127"/>
      <c r="J39" s="127"/>
      <c r="K39" s="127"/>
      <c r="L39" s="127"/>
      <c r="M39" s="127"/>
      <c r="N39" s="127"/>
      <c r="O39" s="127"/>
      <c r="P39" s="127"/>
      <c r="Q39" s="127"/>
      <c r="R39" s="127"/>
    </row>
    <row r="40" spans="1:18" ht="24" customHeight="1" x14ac:dyDescent="0.25">
      <c r="A40" s="123" t="s">
        <v>4</v>
      </c>
      <c r="B40" s="112" t="s">
        <v>3</v>
      </c>
      <c r="C40" s="122" t="s">
        <v>412</v>
      </c>
      <c r="D40" s="112" t="s">
        <v>2</v>
      </c>
      <c r="E40" s="112"/>
      <c r="F40" s="112"/>
      <c r="G40" s="112"/>
      <c r="H40" s="112" t="s">
        <v>1</v>
      </c>
      <c r="I40" s="112"/>
      <c r="J40" s="112"/>
      <c r="K40" s="112"/>
      <c r="L40" s="112" t="s">
        <v>0</v>
      </c>
      <c r="M40" s="112"/>
      <c r="N40" s="112"/>
      <c r="O40" s="112"/>
      <c r="P40" s="112" t="s">
        <v>405</v>
      </c>
      <c r="Q40" s="112" t="s">
        <v>37</v>
      </c>
      <c r="R40" s="128" t="s">
        <v>632</v>
      </c>
    </row>
    <row r="41" spans="1:18" ht="18.75" customHeight="1" x14ac:dyDescent="0.25">
      <c r="A41" s="123"/>
      <c r="B41" s="112"/>
      <c r="C41" s="122"/>
      <c r="D41" s="75" t="s">
        <v>8</v>
      </c>
      <c r="E41" s="76" t="s">
        <v>7</v>
      </c>
      <c r="F41" s="76" t="s">
        <v>6</v>
      </c>
      <c r="G41" s="76" t="s">
        <v>5</v>
      </c>
      <c r="H41" s="76" t="s">
        <v>8</v>
      </c>
      <c r="I41" s="76" t="s">
        <v>7</v>
      </c>
      <c r="J41" s="76" t="s">
        <v>6</v>
      </c>
      <c r="K41" s="76" t="s">
        <v>5</v>
      </c>
      <c r="L41" s="76" t="s">
        <v>8</v>
      </c>
      <c r="M41" s="76" t="s">
        <v>7</v>
      </c>
      <c r="N41" s="76" t="s">
        <v>6</v>
      </c>
      <c r="O41" s="76" t="s">
        <v>5</v>
      </c>
      <c r="P41" s="112"/>
      <c r="Q41" s="112"/>
      <c r="R41" s="128"/>
    </row>
    <row r="42" spans="1:18" ht="47.25" customHeight="1" x14ac:dyDescent="0.25">
      <c r="A42" s="23" t="s">
        <v>128</v>
      </c>
      <c r="B42" s="22" t="s">
        <v>68</v>
      </c>
      <c r="C42" s="78" t="s">
        <v>414</v>
      </c>
      <c r="D42" s="114">
        <v>20000</v>
      </c>
      <c r="E42" s="114"/>
      <c r="F42" s="114"/>
      <c r="G42" s="114"/>
      <c r="H42" s="114">
        <f>D42-(D42*20/100)</f>
        <v>16000</v>
      </c>
      <c r="I42" s="114"/>
      <c r="J42" s="114"/>
      <c r="K42" s="114"/>
      <c r="L42" s="114">
        <f>D42-(D42*40/100)</f>
        <v>12000</v>
      </c>
      <c r="M42" s="114"/>
      <c r="N42" s="114"/>
      <c r="O42" s="114"/>
      <c r="P42" s="31" t="s">
        <v>9</v>
      </c>
      <c r="Q42" s="32" t="s">
        <v>417</v>
      </c>
      <c r="R42" s="81" t="s">
        <v>732</v>
      </c>
    </row>
    <row r="43" spans="1:18" ht="47.25" customHeight="1" x14ac:dyDescent="0.25">
      <c r="A43" s="23" t="s">
        <v>129</v>
      </c>
      <c r="B43" s="19" t="s">
        <v>21</v>
      </c>
      <c r="C43" s="77" t="s">
        <v>414</v>
      </c>
      <c r="D43" s="116">
        <v>50000</v>
      </c>
      <c r="E43" s="116"/>
      <c r="F43" s="116"/>
      <c r="G43" s="116"/>
      <c r="H43" s="116">
        <f t="shared" ref="H43:H59" si="12">D43-(D43*20/100)</f>
        <v>40000</v>
      </c>
      <c r="I43" s="116"/>
      <c r="J43" s="116"/>
      <c r="K43" s="116"/>
      <c r="L43" s="116">
        <f t="shared" ref="L43:L59" si="13">D43-(D43*40/100)</f>
        <v>30000</v>
      </c>
      <c r="M43" s="116"/>
      <c r="N43" s="116"/>
      <c r="O43" s="116"/>
      <c r="P43" s="20" t="s">
        <v>9</v>
      </c>
      <c r="Q43" s="26" t="s">
        <v>69</v>
      </c>
      <c r="R43" s="96" t="s">
        <v>747</v>
      </c>
    </row>
    <row r="44" spans="1:18" ht="47.25" customHeight="1" x14ac:dyDescent="0.25">
      <c r="A44" s="23" t="s">
        <v>130</v>
      </c>
      <c r="B44" s="19" t="s">
        <v>467</v>
      </c>
      <c r="C44" s="77" t="s">
        <v>414</v>
      </c>
      <c r="D44" s="116">
        <v>50</v>
      </c>
      <c r="E44" s="116"/>
      <c r="F44" s="116"/>
      <c r="G44" s="116"/>
      <c r="H44" s="116">
        <f t="shared" si="12"/>
        <v>40</v>
      </c>
      <c r="I44" s="116"/>
      <c r="J44" s="116"/>
      <c r="K44" s="116"/>
      <c r="L44" s="116">
        <f t="shared" si="13"/>
        <v>30</v>
      </c>
      <c r="M44" s="116"/>
      <c r="N44" s="116"/>
      <c r="O44" s="116"/>
      <c r="P44" s="20" t="s">
        <v>9</v>
      </c>
      <c r="Q44" s="67" t="s">
        <v>748</v>
      </c>
      <c r="R44" s="81" t="s">
        <v>733</v>
      </c>
    </row>
    <row r="45" spans="1:18" s="34" customFormat="1" ht="47.25" customHeight="1" x14ac:dyDescent="0.25">
      <c r="A45" s="23" t="s">
        <v>131</v>
      </c>
      <c r="B45" s="19" t="s">
        <v>419</v>
      </c>
      <c r="C45" s="77" t="s">
        <v>414</v>
      </c>
      <c r="D45" s="116">
        <v>50</v>
      </c>
      <c r="E45" s="116">
        <v>10000</v>
      </c>
      <c r="F45" s="116"/>
      <c r="G45" s="116"/>
      <c r="H45" s="116">
        <f>D45-(D45*20/100)</f>
        <v>40</v>
      </c>
      <c r="I45" s="116"/>
      <c r="J45" s="116"/>
      <c r="K45" s="116"/>
      <c r="L45" s="116">
        <f>D45-(D45*40/100)</f>
        <v>30</v>
      </c>
      <c r="M45" s="116"/>
      <c r="N45" s="116"/>
      <c r="O45" s="116"/>
      <c r="P45" s="20" t="s">
        <v>9</v>
      </c>
      <c r="Q45" s="67" t="s">
        <v>619</v>
      </c>
      <c r="R45" s="81" t="s">
        <v>692</v>
      </c>
    </row>
    <row r="46" spans="1:18" s="34" customFormat="1" ht="47.25" customHeight="1" x14ac:dyDescent="0.25">
      <c r="A46" s="23" t="s">
        <v>132</v>
      </c>
      <c r="B46" s="19" t="s">
        <v>543</v>
      </c>
      <c r="C46" s="77" t="s">
        <v>414</v>
      </c>
      <c r="D46" s="116">
        <v>50</v>
      </c>
      <c r="E46" s="116">
        <v>10000</v>
      </c>
      <c r="F46" s="116"/>
      <c r="G46" s="116"/>
      <c r="H46" s="116">
        <f>D46-(D46*20/100)</f>
        <v>40</v>
      </c>
      <c r="I46" s="116"/>
      <c r="J46" s="116"/>
      <c r="K46" s="116"/>
      <c r="L46" s="116">
        <f>D46-(D46*40/100)</f>
        <v>30</v>
      </c>
      <c r="M46" s="116"/>
      <c r="N46" s="116"/>
      <c r="O46" s="116"/>
      <c r="P46" s="20" t="s">
        <v>9</v>
      </c>
      <c r="Q46" s="67" t="s">
        <v>619</v>
      </c>
      <c r="R46" s="81" t="s">
        <v>723</v>
      </c>
    </row>
    <row r="47" spans="1:18" ht="47.25" customHeight="1" x14ac:dyDescent="0.25">
      <c r="A47" s="23" t="s">
        <v>133</v>
      </c>
      <c r="B47" s="19" t="s">
        <v>420</v>
      </c>
      <c r="C47" s="77" t="s">
        <v>414</v>
      </c>
      <c r="D47" s="116">
        <v>5000</v>
      </c>
      <c r="E47" s="116"/>
      <c r="F47" s="116"/>
      <c r="G47" s="116"/>
      <c r="H47" s="116">
        <f t="shared" si="12"/>
        <v>4000</v>
      </c>
      <c r="I47" s="116"/>
      <c r="J47" s="116"/>
      <c r="K47" s="116"/>
      <c r="L47" s="116">
        <f t="shared" si="13"/>
        <v>3000</v>
      </c>
      <c r="M47" s="116"/>
      <c r="N47" s="116"/>
      <c r="O47" s="116"/>
      <c r="P47" s="20" t="s">
        <v>9</v>
      </c>
      <c r="Q47" s="26" t="s">
        <v>55</v>
      </c>
      <c r="R47" s="81" t="s">
        <v>723</v>
      </c>
    </row>
    <row r="48" spans="1:18" ht="47.25" customHeight="1" x14ac:dyDescent="0.25">
      <c r="A48" s="23" t="s">
        <v>136</v>
      </c>
      <c r="B48" s="19" t="s">
        <v>596</v>
      </c>
      <c r="C48" s="77" t="s">
        <v>414</v>
      </c>
      <c r="D48" s="116">
        <v>5000</v>
      </c>
      <c r="E48" s="116"/>
      <c r="F48" s="116"/>
      <c r="G48" s="116"/>
      <c r="H48" s="116">
        <f>D48-(D48*20/100)</f>
        <v>4000</v>
      </c>
      <c r="I48" s="116"/>
      <c r="J48" s="116"/>
      <c r="K48" s="116"/>
      <c r="L48" s="116">
        <f>D48-(D48*40/100)</f>
        <v>3000</v>
      </c>
      <c r="M48" s="116"/>
      <c r="N48" s="116"/>
      <c r="O48" s="116"/>
      <c r="P48" s="20" t="s">
        <v>9</v>
      </c>
      <c r="Q48" s="26" t="s">
        <v>82</v>
      </c>
      <c r="R48" s="81" t="s">
        <v>723</v>
      </c>
    </row>
    <row r="49" spans="1:18" ht="47.25" customHeight="1" x14ac:dyDescent="0.25">
      <c r="A49" s="23" t="s">
        <v>137</v>
      </c>
      <c r="B49" s="19" t="s">
        <v>620</v>
      </c>
      <c r="C49" s="77" t="s">
        <v>414</v>
      </c>
      <c r="D49" s="116">
        <v>5000</v>
      </c>
      <c r="E49" s="116"/>
      <c r="F49" s="116"/>
      <c r="G49" s="116"/>
      <c r="H49" s="116">
        <f t="shared" si="12"/>
        <v>4000</v>
      </c>
      <c r="I49" s="116"/>
      <c r="J49" s="116"/>
      <c r="K49" s="116"/>
      <c r="L49" s="116">
        <f t="shared" si="13"/>
        <v>3000</v>
      </c>
      <c r="M49" s="116"/>
      <c r="N49" s="116"/>
      <c r="O49" s="116"/>
      <c r="P49" s="20" t="s">
        <v>9</v>
      </c>
      <c r="Q49" s="26" t="s">
        <v>55</v>
      </c>
      <c r="R49" s="81" t="s">
        <v>723</v>
      </c>
    </row>
    <row r="50" spans="1:18" ht="47.25" customHeight="1" x14ac:dyDescent="0.25">
      <c r="A50" s="23" t="s">
        <v>138</v>
      </c>
      <c r="B50" s="19" t="s">
        <v>422</v>
      </c>
      <c r="C50" s="77" t="s">
        <v>414</v>
      </c>
      <c r="D50" s="116">
        <v>5000</v>
      </c>
      <c r="E50" s="116"/>
      <c r="F50" s="116"/>
      <c r="G50" s="116"/>
      <c r="H50" s="116">
        <f t="shared" si="12"/>
        <v>4000</v>
      </c>
      <c r="I50" s="116"/>
      <c r="J50" s="116"/>
      <c r="K50" s="116"/>
      <c r="L50" s="116">
        <f t="shared" si="13"/>
        <v>3000</v>
      </c>
      <c r="M50" s="116"/>
      <c r="N50" s="116"/>
      <c r="O50" s="116"/>
      <c r="P50" s="20" t="s">
        <v>9</v>
      </c>
      <c r="Q50" s="26" t="s">
        <v>55</v>
      </c>
      <c r="R50" s="81" t="s">
        <v>723</v>
      </c>
    </row>
    <row r="51" spans="1:18" ht="47.25" customHeight="1" x14ac:dyDescent="0.25">
      <c r="A51" s="23" t="s">
        <v>139</v>
      </c>
      <c r="B51" s="19" t="s">
        <v>621</v>
      </c>
      <c r="C51" s="77" t="s">
        <v>414</v>
      </c>
      <c r="D51" s="116">
        <v>5000</v>
      </c>
      <c r="E51" s="116"/>
      <c r="F51" s="116"/>
      <c r="G51" s="116"/>
      <c r="H51" s="116">
        <f t="shared" si="12"/>
        <v>4000</v>
      </c>
      <c r="I51" s="116"/>
      <c r="J51" s="116"/>
      <c r="K51" s="116"/>
      <c r="L51" s="116">
        <f t="shared" si="13"/>
        <v>3000</v>
      </c>
      <c r="M51" s="116"/>
      <c r="N51" s="116"/>
      <c r="O51" s="116"/>
      <c r="P51" s="20" t="s">
        <v>9</v>
      </c>
      <c r="Q51" s="26" t="s">
        <v>56</v>
      </c>
      <c r="R51" s="81" t="s">
        <v>723</v>
      </c>
    </row>
    <row r="52" spans="1:18" ht="47.25" customHeight="1" x14ac:dyDescent="0.25">
      <c r="A52" s="23" t="s">
        <v>140</v>
      </c>
      <c r="B52" s="19" t="s">
        <v>555</v>
      </c>
      <c r="C52" s="77" t="s">
        <v>414</v>
      </c>
      <c r="D52" s="116">
        <v>5000</v>
      </c>
      <c r="E52" s="116"/>
      <c r="F52" s="116"/>
      <c r="G52" s="116"/>
      <c r="H52" s="116">
        <f t="shared" si="12"/>
        <v>4000</v>
      </c>
      <c r="I52" s="116"/>
      <c r="J52" s="116"/>
      <c r="K52" s="116"/>
      <c r="L52" s="116">
        <f t="shared" si="13"/>
        <v>3000</v>
      </c>
      <c r="M52" s="116"/>
      <c r="N52" s="116"/>
      <c r="O52" s="116"/>
      <c r="P52" s="20" t="s">
        <v>9</v>
      </c>
      <c r="Q52" s="26" t="s">
        <v>58</v>
      </c>
      <c r="R52" s="81" t="s">
        <v>723</v>
      </c>
    </row>
    <row r="53" spans="1:18" ht="47.25" customHeight="1" x14ac:dyDescent="0.25">
      <c r="A53" s="23" t="s">
        <v>141</v>
      </c>
      <c r="B53" s="19" t="s">
        <v>556</v>
      </c>
      <c r="C53" s="77" t="s">
        <v>414</v>
      </c>
      <c r="D53" s="116">
        <v>5000</v>
      </c>
      <c r="E53" s="116"/>
      <c r="F53" s="116"/>
      <c r="G53" s="116"/>
      <c r="H53" s="116">
        <f t="shared" si="12"/>
        <v>4000</v>
      </c>
      <c r="I53" s="116"/>
      <c r="J53" s="116"/>
      <c r="K53" s="116"/>
      <c r="L53" s="116">
        <f t="shared" si="13"/>
        <v>3000</v>
      </c>
      <c r="M53" s="116"/>
      <c r="N53" s="116"/>
      <c r="O53" s="116"/>
      <c r="P53" s="20" t="s">
        <v>9</v>
      </c>
      <c r="Q53" s="26" t="s">
        <v>58</v>
      </c>
      <c r="R53" s="81" t="s">
        <v>723</v>
      </c>
    </row>
    <row r="54" spans="1:18" ht="47.25" customHeight="1" x14ac:dyDescent="0.25">
      <c r="A54" s="23" t="s">
        <v>142</v>
      </c>
      <c r="B54" s="19" t="s">
        <v>87</v>
      </c>
      <c r="C54" s="77" t="s">
        <v>414</v>
      </c>
      <c r="D54" s="116">
        <v>10000</v>
      </c>
      <c r="E54" s="116"/>
      <c r="F54" s="116"/>
      <c r="G54" s="116"/>
      <c r="H54" s="116">
        <f t="shared" si="12"/>
        <v>8000</v>
      </c>
      <c r="I54" s="116"/>
      <c r="J54" s="116"/>
      <c r="K54" s="116"/>
      <c r="L54" s="116">
        <f t="shared" si="13"/>
        <v>6000</v>
      </c>
      <c r="M54" s="116"/>
      <c r="N54" s="116"/>
      <c r="O54" s="116"/>
      <c r="P54" s="20" t="s">
        <v>9</v>
      </c>
      <c r="Q54" s="26" t="s">
        <v>57</v>
      </c>
      <c r="R54" s="81" t="s">
        <v>723</v>
      </c>
    </row>
    <row r="55" spans="1:18" ht="47.25" customHeight="1" x14ac:dyDescent="0.25">
      <c r="A55" s="23" t="s">
        <v>143</v>
      </c>
      <c r="B55" s="19" t="s">
        <v>88</v>
      </c>
      <c r="C55" s="77" t="s">
        <v>414</v>
      </c>
      <c r="D55" s="116">
        <v>10000</v>
      </c>
      <c r="E55" s="116"/>
      <c r="F55" s="116"/>
      <c r="G55" s="116"/>
      <c r="H55" s="116">
        <f t="shared" si="12"/>
        <v>8000</v>
      </c>
      <c r="I55" s="116"/>
      <c r="J55" s="116"/>
      <c r="K55" s="116"/>
      <c r="L55" s="116">
        <f t="shared" si="13"/>
        <v>6000</v>
      </c>
      <c r="M55" s="116"/>
      <c r="N55" s="116"/>
      <c r="O55" s="116"/>
      <c r="P55" s="20" t="s">
        <v>9</v>
      </c>
      <c r="Q55" s="26" t="s">
        <v>56</v>
      </c>
      <c r="R55" s="81" t="s">
        <v>723</v>
      </c>
    </row>
    <row r="56" spans="1:18" ht="47.25" customHeight="1" x14ac:dyDescent="0.25">
      <c r="A56" s="23" t="s">
        <v>144</v>
      </c>
      <c r="B56" s="19" t="s">
        <v>423</v>
      </c>
      <c r="C56" s="77" t="s">
        <v>414</v>
      </c>
      <c r="D56" s="116">
        <v>10000</v>
      </c>
      <c r="E56" s="116"/>
      <c r="F56" s="116"/>
      <c r="G56" s="116"/>
      <c r="H56" s="116">
        <f t="shared" si="12"/>
        <v>8000</v>
      </c>
      <c r="I56" s="116"/>
      <c r="J56" s="116"/>
      <c r="K56" s="116"/>
      <c r="L56" s="116">
        <f t="shared" si="13"/>
        <v>6000</v>
      </c>
      <c r="M56" s="116"/>
      <c r="N56" s="116"/>
      <c r="O56" s="116"/>
      <c r="P56" s="20" t="s">
        <v>9</v>
      </c>
      <c r="Q56" s="26" t="s">
        <v>55</v>
      </c>
      <c r="R56" s="81" t="s">
        <v>723</v>
      </c>
    </row>
    <row r="57" spans="1:18" s="33" customFormat="1" ht="47.25" customHeight="1" x14ac:dyDescent="0.25">
      <c r="A57" s="30" t="s">
        <v>145</v>
      </c>
      <c r="B57" s="22" t="s">
        <v>413</v>
      </c>
      <c r="C57" s="78" t="s">
        <v>414</v>
      </c>
      <c r="D57" s="114">
        <v>2000</v>
      </c>
      <c r="E57" s="114"/>
      <c r="F57" s="114"/>
      <c r="G57" s="114"/>
      <c r="H57" s="114">
        <f>D57-(D57*20/100)</f>
        <v>1600</v>
      </c>
      <c r="I57" s="114"/>
      <c r="J57" s="114"/>
      <c r="K57" s="114"/>
      <c r="L57" s="114">
        <f>D57-(D57*40/100)</f>
        <v>1200</v>
      </c>
      <c r="M57" s="114"/>
      <c r="N57" s="114"/>
      <c r="O57" s="114"/>
      <c r="P57" s="31" t="s">
        <v>9</v>
      </c>
      <c r="Q57" s="66" t="s">
        <v>418</v>
      </c>
      <c r="R57" s="81" t="s">
        <v>734</v>
      </c>
    </row>
    <row r="58" spans="1:18" s="33" customFormat="1" ht="47.25" customHeight="1" x14ac:dyDescent="0.25">
      <c r="A58" s="30" t="s">
        <v>559</v>
      </c>
      <c r="B58" s="22" t="s">
        <v>560</v>
      </c>
      <c r="C58" s="77" t="s">
        <v>414</v>
      </c>
      <c r="D58" s="116">
        <v>500</v>
      </c>
      <c r="E58" s="116"/>
      <c r="F58" s="116"/>
      <c r="G58" s="116"/>
      <c r="H58" s="116">
        <f>D58-(D58*20/100)</f>
        <v>400</v>
      </c>
      <c r="I58" s="116"/>
      <c r="J58" s="116"/>
      <c r="K58" s="116"/>
      <c r="L58" s="116">
        <f>D58-(D58*40/100)</f>
        <v>300</v>
      </c>
      <c r="M58" s="116"/>
      <c r="N58" s="116"/>
      <c r="O58" s="116"/>
      <c r="P58" s="20" t="s">
        <v>9</v>
      </c>
      <c r="Q58" s="26" t="s">
        <v>424</v>
      </c>
      <c r="R58" s="81" t="s">
        <v>694</v>
      </c>
    </row>
    <row r="59" spans="1:18" ht="47.25" customHeight="1" x14ac:dyDescent="0.25">
      <c r="A59" s="23" t="s">
        <v>146</v>
      </c>
      <c r="B59" s="19" t="s">
        <v>24</v>
      </c>
      <c r="C59" s="77" t="s">
        <v>414</v>
      </c>
      <c r="D59" s="116">
        <v>500</v>
      </c>
      <c r="E59" s="116"/>
      <c r="F59" s="116"/>
      <c r="G59" s="116"/>
      <c r="H59" s="116">
        <f t="shared" si="12"/>
        <v>400</v>
      </c>
      <c r="I59" s="116"/>
      <c r="J59" s="116"/>
      <c r="K59" s="116"/>
      <c r="L59" s="116">
        <f t="shared" si="13"/>
        <v>300</v>
      </c>
      <c r="M59" s="116"/>
      <c r="N59" s="116"/>
      <c r="O59" s="116"/>
      <c r="P59" s="20" t="s">
        <v>9</v>
      </c>
      <c r="Q59" s="26" t="s">
        <v>424</v>
      </c>
      <c r="R59" s="81" t="s">
        <v>749</v>
      </c>
    </row>
    <row r="60" spans="1:18" ht="47.25" customHeight="1" x14ac:dyDescent="0.25">
      <c r="A60" s="23" t="s">
        <v>147</v>
      </c>
      <c r="B60" s="19" t="s">
        <v>425</v>
      </c>
      <c r="C60" s="77" t="s">
        <v>414</v>
      </c>
      <c r="D60" s="116">
        <v>5000</v>
      </c>
      <c r="E60" s="116"/>
      <c r="F60" s="116"/>
      <c r="G60" s="116"/>
      <c r="H60" s="116">
        <f>D60-(D60*20/100)</f>
        <v>4000</v>
      </c>
      <c r="I60" s="116"/>
      <c r="J60" s="116"/>
      <c r="K60" s="116"/>
      <c r="L60" s="116">
        <f>D60-(D60*40/100)</f>
        <v>3000</v>
      </c>
      <c r="M60" s="116"/>
      <c r="N60" s="116"/>
      <c r="O60" s="116"/>
      <c r="P60" s="20" t="s">
        <v>9</v>
      </c>
      <c r="Q60" s="26" t="s">
        <v>426</v>
      </c>
      <c r="R60" s="81" t="s">
        <v>750</v>
      </c>
    </row>
    <row r="61" spans="1:18" s="36" customFormat="1" ht="47.25" customHeight="1" x14ac:dyDescent="0.45">
      <c r="A61" s="23" t="s">
        <v>148</v>
      </c>
      <c r="B61" s="35" t="s">
        <v>427</v>
      </c>
      <c r="C61" s="79" t="s">
        <v>414</v>
      </c>
      <c r="D61" s="126">
        <v>2000</v>
      </c>
      <c r="E61" s="126"/>
      <c r="F61" s="126"/>
      <c r="G61" s="126"/>
      <c r="H61" s="126">
        <f>D61-(D61*20/100)</f>
        <v>1600</v>
      </c>
      <c r="I61" s="126"/>
      <c r="J61" s="126"/>
      <c r="K61" s="126"/>
      <c r="L61" s="126">
        <f>D61-(D61*40/100)</f>
        <v>1200</v>
      </c>
      <c r="M61" s="126"/>
      <c r="N61" s="126"/>
      <c r="O61" s="126"/>
      <c r="P61" s="31" t="s">
        <v>9</v>
      </c>
      <c r="Q61" s="65" t="s">
        <v>428</v>
      </c>
      <c r="R61" s="93" t="s">
        <v>735</v>
      </c>
    </row>
    <row r="62" spans="1:18" ht="18" customHeight="1" x14ac:dyDescent="0.25">
      <c r="A62" s="118" t="s">
        <v>149</v>
      </c>
      <c r="B62" s="119" t="s">
        <v>25</v>
      </c>
      <c r="C62" s="77" t="s">
        <v>415</v>
      </c>
      <c r="D62" s="26">
        <v>2000</v>
      </c>
      <c r="E62" s="28">
        <f>D62-(D62*10/100)</f>
        <v>1800</v>
      </c>
      <c r="F62" s="28">
        <f>D62-(D62*20/100)</f>
        <v>1600</v>
      </c>
      <c r="G62" s="28">
        <f>D62-(D62*30/100)</f>
        <v>1400</v>
      </c>
      <c r="H62" s="28">
        <f>D62-(D62*10/100)</f>
        <v>1800</v>
      </c>
      <c r="I62" s="28">
        <f>H62-(H62*10/100)</f>
        <v>1620</v>
      </c>
      <c r="J62" s="28">
        <f>H62-(H62*20/100)</f>
        <v>1440</v>
      </c>
      <c r="K62" s="28">
        <f>H62-(H62*30/100)</f>
        <v>1260</v>
      </c>
      <c r="L62" s="28">
        <f>D62-(D62*20/100)</f>
        <v>1600</v>
      </c>
      <c r="M62" s="28">
        <f>L62-(L62*10/100)</f>
        <v>1440</v>
      </c>
      <c r="N62" s="28">
        <f>L62-(L62*20/100)</f>
        <v>1280</v>
      </c>
      <c r="O62" s="28">
        <f>L62-(L62*30/100)</f>
        <v>1120</v>
      </c>
      <c r="P62" s="115" t="s">
        <v>10</v>
      </c>
      <c r="Q62" s="113" t="s">
        <v>55</v>
      </c>
      <c r="R62" s="117" t="s">
        <v>699</v>
      </c>
    </row>
    <row r="63" spans="1:18" ht="18.75" customHeight="1" x14ac:dyDescent="0.25">
      <c r="A63" s="118"/>
      <c r="B63" s="119"/>
      <c r="C63" s="77" t="s">
        <v>416</v>
      </c>
      <c r="D63" s="28">
        <f t="shared" ref="D63:O63" si="14">D62*50/100</f>
        <v>1000</v>
      </c>
      <c r="E63" s="28">
        <f t="shared" si="14"/>
        <v>900</v>
      </c>
      <c r="F63" s="28">
        <f t="shared" si="14"/>
        <v>800</v>
      </c>
      <c r="G63" s="28">
        <f t="shared" si="14"/>
        <v>700</v>
      </c>
      <c r="H63" s="28">
        <f t="shared" si="14"/>
        <v>900</v>
      </c>
      <c r="I63" s="28">
        <f t="shared" si="14"/>
        <v>810</v>
      </c>
      <c r="J63" s="28">
        <f t="shared" si="14"/>
        <v>720</v>
      </c>
      <c r="K63" s="28">
        <f t="shared" si="14"/>
        <v>630</v>
      </c>
      <c r="L63" s="28">
        <f t="shared" si="14"/>
        <v>800</v>
      </c>
      <c r="M63" s="28">
        <f t="shared" si="14"/>
        <v>720</v>
      </c>
      <c r="N63" s="28">
        <f t="shared" si="14"/>
        <v>640</v>
      </c>
      <c r="O63" s="28">
        <f t="shared" si="14"/>
        <v>560</v>
      </c>
      <c r="P63" s="115"/>
      <c r="Q63" s="113"/>
      <c r="R63" s="117"/>
    </row>
    <row r="64" spans="1:18" s="38" customFormat="1" ht="47.25" customHeight="1" x14ac:dyDescent="0.25">
      <c r="A64" s="23" t="s">
        <v>150</v>
      </c>
      <c r="B64" s="9" t="s">
        <v>35</v>
      </c>
      <c r="C64" s="77" t="s">
        <v>414</v>
      </c>
      <c r="D64" s="116">
        <v>15000</v>
      </c>
      <c r="E64" s="116"/>
      <c r="F64" s="116"/>
      <c r="G64" s="116"/>
      <c r="H64" s="116">
        <f t="shared" ref="H64:H76" si="15">D64-(D64*20/100)</f>
        <v>12000</v>
      </c>
      <c r="I64" s="116"/>
      <c r="J64" s="116"/>
      <c r="K64" s="116"/>
      <c r="L64" s="116">
        <f t="shared" ref="L64:L76" si="16">D64-(D64*40/100)</f>
        <v>9000</v>
      </c>
      <c r="M64" s="116"/>
      <c r="N64" s="116"/>
      <c r="O64" s="116"/>
      <c r="P64" s="20" t="s">
        <v>9</v>
      </c>
      <c r="Q64" s="26" t="s">
        <v>58</v>
      </c>
      <c r="R64" s="94" t="s">
        <v>701</v>
      </c>
    </row>
    <row r="65" spans="1:18" ht="47.25" customHeight="1" x14ac:dyDescent="0.25">
      <c r="A65" s="23" t="s">
        <v>151</v>
      </c>
      <c r="B65" s="39" t="s">
        <v>429</v>
      </c>
      <c r="C65" s="77" t="s">
        <v>414</v>
      </c>
      <c r="D65" s="116">
        <v>60000</v>
      </c>
      <c r="E65" s="116"/>
      <c r="F65" s="116"/>
      <c r="G65" s="116"/>
      <c r="H65" s="116">
        <f t="shared" si="15"/>
        <v>48000</v>
      </c>
      <c r="I65" s="116"/>
      <c r="J65" s="116"/>
      <c r="K65" s="116"/>
      <c r="L65" s="116">
        <f t="shared" si="16"/>
        <v>36000</v>
      </c>
      <c r="M65" s="116"/>
      <c r="N65" s="116"/>
      <c r="O65" s="116"/>
      <c r="P65" s="20" t="s">
        <v>9</v>
      </c>
      <c r="Q65" s="26" t="s">
        <v>58</v>
      </c>
      <c r="R65" s="81" t="s">
        <v>702</v>
      </c>
    </row>
    <row r="66" spans="1:18" ht="47.25" customHeight="1" x14ac:dyDescent="0.25">
      <c r="A66" s="23" t="s">
        <v>152</v>
      </c>
      <c r="B66" s="19" t="s">
        <v>561</v>
      </c>
      <c r="C66" s="77" t="s">
        <v>414</v>
      </c>
      <c r="D66" s="116">
        <v>40000</v>
      </c>
      <c r="E66" s="116"/>
      <c r="F66" s="116"/>
      <c r="G66" s="116"/>
      <c r="H66" s="116">
        <f t="shared" si="15"/>
        <v>32000</v>
      </c>
      <c r="I66" s="116"/>
      <c r="J66" s="116"/>
      <c r="K66" s="116"/>
      <c r="L66" s="116">
        <f t="shared" si="16"/>
        <v>24000</v>
      </c>
      <c r="M66" s="116"/>
      <c r="N66" s="116"/>
      <c r="O66" s="116"/>
      <c r="P66" s="20" t="s">
        <v>9</v>
      </c>
      <c r="Q66" s="26" t="s">
        <v>58</v>
      </c>
      <c r="R66" s="81" t="s">
        <v>702</v>
      </c>
    </row>
    <row r="67" spans="1:18" ht="47.25" customHeight="1" x14ac:dyDescent="0.25">
      <c r="A67" s="23" t="s">
        <v>153</v>
      </c>
      <c r="B67" s="19" t="s">
        <v>77</v>
      </c>
      <c r="C67" s="77" t="s">
        <v>414</v>
      </c>
      <c r="D67" s="116">
        <v>30000</v>
      </c>
      <c r="E67" s="116"/>
      <c r="F67" s="116"/>
      <c r="G67" s="116"/>
      <c r="H67" s="116">
        <f t="shared" si="15"/>
        <v>24000</v>
      </c>
      <c r="I67" s="116"/>
      <c r="J67" s="116"/>
      <c r="K67" s="116"/>
      <c r="L67" s="116">
        <f t="shared" si="16"/>
        <v>18000</v>
      </c>
      <c r="M67" s="116"/>
      <c r="N67" s="116"/>
      <c r="O67" s="116"/>
      <c r="P67" s="20" t="s">
        <v>9</v>
      </c>
      <c r="Q67" s="26" t="s">
        <v>58</v>
      </c>
      <c r="R67" s="81" t="s">
        <v>702</v>
      </c>
    </row>
    <row r="68" spans="1:18" ht="47.25" customHeight="1" x14ac:dyDescent="0.25">
      <c r="A68" s="23" t="s">
        <v>154</v>
      </c>
      <c r="B68" s="19" t="s">
        <v>78</v>
      </c>
      <c r="C68" s="77" t="s">
        <v>414</v>
      </c>
      <c r="D68" s="116">
        <v>20000</v>
      </c>
      <c r="E68" s="116"/>
      <c r="F68" s="116"/>
      <c r="G68" s="116"/>
      <c r="H68" s="116">
        <f t="shared" si="15"/>
        <v>16000</v>
      </c>
      <c r="I68" s="116"/>
      <c r="J68" s="116"/>
      <c r="K68" s="116"/>
      <c r="L68" s="116">
        <f t="shared" si="16"/>
        <v>12000</v>
      </c>
      <c r="M68" s="116"/>
      <c r="N68" s="116"/>
      <c r="O68" s="116"/>
      <c r="P68" s="20" t="s">
        <v>9</v>
      </c>
      <c r="Q68" s="26" t="s">
        <v>58</v>
      </c>
      <c r="R68" s="81" t="s">
        <v>702</v>
      </c>
    </row>
    <row r="69" spans="1:18" ht="47.25" customHeight="1" x14ac:dyDescent="0.25">
      <c r="A69" s="23" t="s">
        <v>155</v>
      </c>
      <c r="B69" s="19" t="s">
        <v>430</v>
      </c>
      <c r="C69" s="77" t="s">
        <v>414</v>
      </c>
      <c r="D69" s="116">
        <v>2000</v>
      </c>
      <c r="E69" s="116"/>
      <c r="F69" s="116"/>
      <c r="G69" s="116"/>
      <c r="H69" s="116">
        <f t="shared" si="15"/>
        <v>1600</v>
      </c>
      <c r="I69" s="116"/>
      <c r="J69" s="116"/>
      <c r="K69" s="116"/>
      <c r="L69" s="116">
        <f t="shared" si="16"/>
        <v>1200</v>
      </c>
      <c r="M69" s="116"/>
      <c r="N69" s="116"/>
      <c r="O69" s="116"/>
      <c r="P69" s="20" t="s">
        <v>9</v>
      </c>
      <c r="Q69" s="26" t="s">
        <v>431</v>
      </c>
      <c r="R69" s="81" t="s">
        <v>702</v>
      </c>
    </row>
    <row r="70" spans="1:18" ht="47.25" customHeight="1" x14ac:dyDescent="0.25">
      <c r="A70" s="23" t="s">
        <v>156</v>
      </c>
      <c r="B70" s="19" t="s">
        <v>432</v>
      </c>
      <c r="C70" s="77" t="s">
        <v>414</v>
      </c>
      <c r="D70" s="116">
        <v>2000</v>
      </c>
      <c r="E70" s="116"/>
      <c r="F70" s="116"/>
      <c r="G70" s="116"/>
      <c r="H70" s="116">
        <f t="shared" si="15"/>
        <v>1600</v>
      </c>
      <c r="I70" s="116"/>
      <c r="J70" s="116"/>
      <c r="K70" s="116"/>
      <c r="L70" s="116">
        <f t="shared" si="16"/>
        <v>1200</v>
      </c>
      <c r="M70" s="116"/>
      <c r="N70" s="116"/>
      <c r="O70" s="116"/>
      <c r="P70" s="20" t="s">
        <v>9</v>
      </c>
      <c r="Q70" s="26" t="s">
        <v>433</v>
      </c>
      <c r="R70" s="81" t="s">
        <v>736</v>
      </c>
    </row>
    <row r="71" spans="1:18" ht="47.25" customHeight="1" x14ac:dyDescent="0.25">
      <c r="A71" s="23" t="s">
        <v>157</v>
      </c>
      <c r="B71" s="19" t="s">
        <v>79</v>
      </c>
      <c r="C71" s="77" t="s">
        <v>414</v>
      </c>
      <c r="D71" s="116">
        <v>500</v>
      </c>
      <c r="E71" s="116"/>
      <c r="F71" s="116"/>
      <c r="G71" s="116"/>
      <c r="H71" s="116">
        <f t="shared" si="15"/>
        <v>400</v>
      </c>
      <c r="I71" s="116"/>
      <c r="J71" s="116"/>
      <c r="K71" s="116"/>
      <c r="L71" s="116">
        <f t="shared" si="16"/>
        <v>300</v>
      </c>
      <c r="M71" s="116"/>
      <c r="N71" s="116"/>
      <c r="O71" s="116"/>
      <c r="P71" s="20" t="s">
        <v>9</v>
      </c>
      <c r="Q71" s="26" t="s">
        <v>435</v>
      </c>
      <c r="R71" s="81" t="s">
        <v>704</v>
      </c>
    </row>
    <row r="72" spans="1:18" ht="47.25" customHeight="1" x14ac:dyDescent="0.25">
      <c r="A72" s="23" t="s">
        <v>158</v>
      </c>
      <c r="B72" s="19" t="s">
        <v>562</v>
      </c>
      <c r="C72" s="77" t="s">
        <v>414</v>
      </c>
      <c r="D72" s="116">
        <v>2000</v>
      </c>
      <c r="E72" s="116"/>
      <c r="F72" s="116"/>
      <c r="G72" s="116"/>
      <c r="H72" s="116">
        <f t="shared" si="15"/>
        <v>1600</v>
      </c>
      <c r="I72" s="116"/>
      <c r="J72" s="116"/>
      <c r="K72" s="116"/>
      <c r="L72" s="116">
        <f t="shared" si="16"/>
        <v>1200</v>
      </c>
      <c r="M72" s="116"/>
      <c r="N72" s="116"/>
      <c r="O72" s="116"/>
      <c r="P72" s="20" t="s">
        <v>9</v>
      </c>
      <c r="Q72" s="26" t="s">
        <v>433</v>
      </c>
      <c r="R72" s="81" t="s">
        <v>737</v>
      </c>
    </row>
    <row r="73" spans="1:18" ht="47.25" customHeight="1" x14ac:dyDescent="0.25">
      <c r="A73" s="23" t="s">
        <v>159</v>
      </c>
      <c r="B73" s="19" t="s">
        <v>615</v>
      </c>
      <c r="C73" s="77" t="s">
        <v>414</v>
      </c>
      <c r="D73" s="116">
        <v>2000</v>
      </c>
      <c r="E73" s="116"/>
      <c r="F73" s="116"/>
      <c r="G73" s="116"/>
      <c r="H73" s="116">
        <f t="shared" si="15"/>
        <v>1600</v>
      </c>
      <c r="I73" s="116"/>
      <c r="J73" s="116"/>
      <c r="K73" s="116"/>
      <c r="L73" s="116">
        <f t="shared" si="16"/>
        <v>1200</v>
      </c>
      <c r="M73" s="116"/>
      <c r="N73" s="116"/>
      <c r="O73" s="116"/>
      <c r="P73" s="20" t="s">
        <v>9</v>
      </c>
      <c r="Q73" s="26" t="s">
        <v>433</v>
      </c>
      <c r="R73" s="81" t="s">
        <v>737</v>
      </c>
    </row>
    <row r="74" spans="1:18" ht="47.25" customHeight="1" x14ac:dyDescent="0.25">
      <c r="A74" s="23" t="s">
        <v>160</v>
      </c>
      <c r="B74" s="19" t="s">
        <v>622</v>
      </c>
      <c r="C74" s="77" t="s">
        <v>414</v>
      </c>
      <c r="D74" s="116">
        <v>500</v>
      </c>
      <c r="E74" s="116"/>
      <c r="F74" s="116"/>
      <c r="G74" s="116"/>
      <c r="H74" s="116">
        <f t="shared" si="15"/>
        <v>400</v>
      </c>
      <c r="I74" s="116"/>
      <c r="J74" s="116"/>
      <c r="K74" s="116"/>
      <c r="L74" s="116">
        <f t="shared" si="16"/>
        <v>300</v>
      </c>
      <c r="M74" s="116"/>
      <c r="N74" s="116"/>
      <c r="O74" s="116"/>
      <c r="P74" s="20" t="s">
        <v>9</v>
      </c>
      <c r="Q74" s="26" t="s">
        <v>433</v>
      </c>
      <c r="R74" s="81" t="s">
        <v>738</v>
      </c>
    </row>
    <row r="75" spans="1:18" s="33" customFormat="1" ht="47.25" customHeight="1" x14ac:dyDescent="0.25">
      <c r="A75" s="23" t="s">
        <v>161</v>
      </c>
      <c r="B75" s="22" t="s">
        <v>90</v>
      </c>
      <c r="C75" s="78" t="s">
        <v>414</v>
      </c>
      <c r="D75" s="114">
        <v>500</v>
      </c>
      <c r="E75" s="114"/>
      <c r="F75" s="114"/>
      <c r="G75" s="114"/>
      <c r="H75" s="114">
        <f t="shared" si="15"/>
        <v>400</v>
      </c>
      <c r="I75" s="114"/>
      <c r="J75" s="114"/>
      <c r="K75" s="114"/>
      <c r="L75" s="114">
        <f t="shared" si="16"/>
        <v>300</v>
      </c>
      <c r="M75" s="114"/>
      <c r="N75" s="114"/>
      <c r="O75" s="114"/>
      <c r="P75" s="31" t="s">
        <v>9</v>
      </c>
      <c r="Q75" s="26" t="s">
        <v>433</v>
      </c>
      <c r="R75" s="81" t="s">
        <v>728</v>
      </c>
    </row>
    <row r="76" spans="1:18" ht="47.25" customHeight="1" x14ac:dyDescent="0.25">
      <c r="A76" s="23" t="s">
        <v>162</v>
      </c>
      <c r="B76" s="19" t="s">
        <v>72</v>
      </c>
      <c r="C76" s="77" t="s">
        <v>414</v>
      </c>
      <c r="D76" s="116">
        <v>20000</v>
      </c>
      <c r="E76" s="116"/>
      <c r="F76" s="116"/>
      <c r="G76" s="116"/>
      <c r="H76" s="116">
        <f t="shared" si="15"/>
        <v>16000</v>
      </c>
      <c r="I76" s="116"/>
      <c r="J76" s="116"/>
      <c r="K76" s="116"/>
      <c r="L76" s="116">
        <f t="shared" si="16"/>
        <v>12000</v>
      </c>
      <c r="M76" s="116"/>
      <c r="N76" s="116"/>
      <c r="O76" s="116"/>
      <c r="P76" s="20" t="s">
        <v>9</v>
      </c>
      <c r="Q76" s="26" t="s">
        <v>58</v>
      </c>
      <c r="R76" s="81" t="s">
        <v>707</v>
      </c>
    </row>
    <row r="77" spans="1:18" ht="18" customHeight="1" x14ac:dyDescent="0.25">
      <c r="A77" s="118" t="s">
        <v>163</v>
      </c>
      <c r="B77" s="119" t="s">
        <v>434</v>
      </c>
      <c r="C77" s="77" t="s">
        <v>415</v>
      </c>
      <c r="D77" s="26">
        <v>1000</v>
      </c>
      <c r="E77" s="28">
        <f>D77-(D77*10/100)</f>
        <v>900</v>
      </c>
      <c r="F77" s="28">
        <f>D77-(D77*20/100)</f>
        <v>800</v>
      </c>
      <c r="G77" s="28">
        <f>D77-(D77*30/100)</f>
        <v>700</v>
      </c>
      <c r="H77" s="28">
        <f>D77-(D77*10/100)</f>
        <v>900</v>
      </c>
      <c r="I77" s="28">
        <f>H77-(H77*10/100)</f>
        <v>810</v>
      </c>
      <c r="J77" s="28">
        <f>H77-(H77*20/100)</f>
        <v>720</v>
      </c>
      <c r="K77" s="28">
        <f>H77-(H77*30/100)</f>
        <v>630</v>
      </c>
      <c r="L77" s="28">
        <f>D77-(D77*20/100)</f>
        <v>800</v>
      </c>
      <c r="M77" s="28">
        <f>L77-(L77*10/100)</f>
        <v>720</v>
      </c>
      <c r="N77" s="28">
        <f>L77-(L77*20/100)</f>
        <v>640</v>
      </c>
      <c r="O77" s="28">
        <f>L77-(L77*30/100)</f>
        <v>560</v>
      </c>
      <c r="P77" s="115" t="s">
        <v>10</v>
      </c>
      <c r="Q77" s="113" t="s">
        <v>55</v>
      </c>
      <c r="R77" s="117" t="s">
        <v>751</v>
      </c>
    </row>
    <row r="78" spans="1:18" ht="18.75" customHeight="1" x14ac:dyDescent="0.25">
      <c r="A78" s="118"/>
      <c r="B78" s="119"/>
      <c r="C78" s="77" t="s">
        <v>416</v>
      </c>
      <c r="D78" s="28">
        <f t="shared" ref="D78:O78" si="17">D77*50/100</f>
        <v>500</v>
      </c>
      <c r="E78" s="28">
        <f t="shared" si="17"/>
        <v>450</v>
      </c>
      <c r="F78" s="28">
        <f t="shared" si="17"/>
        <v>400</v>
      </c>
      <c r="G78" s="28">
        <f t="shared" si="17"/>
        <v>350</v>
      </c>
      <c r="H78" s="28">
        <f t="shared" si="17"/>
        <v>450</v>
      </c>
      <c r="I78" s="28">
        <f t="shared" si="17"/>
        <v>405</v>
      </c>
      <c r="J78" s="28">
        <f t="shared" si="17"/>
        <v>360</v>
      </c>
      <c r="K78" s="28">
        <f t="shared" si="17"/>
        <v>315</v>
      </c>
      <c r="L78" s="28">
        <f t="shared" si="17"/>
        <v>400</v>
      </c>
      <c r="M78" s="28">
        <f t="shared" si="17"/>
        <v>360</v>
      </c>
      <c r="N78" s="28">
        <f t="shared" si="17"/>
        <v>320</v>
      </c>
      <c r="O78" s="28">
        <f t="shared" si="17"/>
        <v>280</v>
      </c>
      <c r="P78" s="115"/>
      <c r="Q78" s="113"/>
      <c r="R78" s="117"/>
    </row>
    <row r="79" spans="1:18" ht="47.25" customHeight="1" x14ac:dyDescent="0.25">
      <c r="A79" s="23" t="s">
        <v>164</v>
      </c>
      <c r="B79" s="19" t="s">
        <v>604</v>
      </c>
      <c r="C79" s="77" t="s">
        <v>414</v>
      </c>
      <c r="D79" s="116">
        <v>2000</v>
      </c>
      <c r="E79" s="116"/>
      <c r="F79" s="116"/>
      <c r="G79" s="116"/>
      <c r="H79" s="116">
        <f>D79-(D79*20/100)</f>
        <v>1600</v>
      </c>
      <c r="I79" s="116"/>
      <c r="J79" s="116"/>
      <c r="K79" s="116"/>
      <c r="L79" s="116">
        <f>D79-(D79*40/100)</f>
        <v>1200</v>
      </c>
      <c r="M79" s="116"/>
      <c r="N79" s="116"/>
      <c r="O79" s="116"/>
      <c r="P79" s="20" t="s">
        <v>9</v>
      </c>
      <c r="Q79" s="26" t="s">
        <v>435</v>
      </c>
      <c r="R79" s="81" t="s">
        <v>739</v>
      </c>
    </row>
    <row r="80" spans="1:18" ht="18" customHeight="1" x14ac:dyDescent="0.25">
      <c r="A80" s="118" t="s">
        <v>438</v>
      </c>
      <c r="B80" s="119" t="s">
        <v>436</v>
      </c>
      <c r="C80" s="77" t="s">
        <v>415</v>
      </c>
      <c r="D80" s="26">
        <v>2000</v>
      </c>
      <c r="E80" s="28">
        <f>D80-(D80*10/100)</f>
        <v>1800</v>
      </c>
      <c r="F80" s="28">
        <f>D80-(D80*20/100)</f>
        <v>1600</v>
      </c>
      <c r="G80" s="28">
        <f>D80-(D80*30/100)</f>
        <v>1400</v>
      </c>
      <c r="H80" s="28">
        <f>D80-(D80*10/100)</f>
        <v>1800</v>
      </c>
      <c r="I80" s="28">
        <f>H80-(H80*10/100)</f>
        <v>1620</v>
      </c>
      <c r="J80" s="28">
        <f>H80-(H80*20/100)</f>
        <v>1440</v>
      </c>
      <c r="K80" s="28">
        <f>H80-(H80*30/100)</f>
        <v>1260</v>
      </c>
      <c r="L80" s="28">
        <f>D80-(D80*20/100)</f>
        <v>1600</v>
      </c>
      <c r="M80" s="28">
        <f>L80-(L80*10/100)</f>
        <v>1440</v>
      </c>
      <c r="N80" s="28">
        <f>L80-(L80*20/100)</f>
        <v>1280</v>
      </c>
      <c r="O80" s="28">
        <f>L80-(L80*30/100)</f>
        <v>1120</v>
      </c>
      <c r="P80" s="115" t="s">
        <v>10</v>
      </c>
      <c r="Q80" s="113" t="s">
        <v>55</v>
      </c>
      <c r="R80" s="117" t="s">
        <v>723</v>
      </c>
    </row>
    <row r="81" spans="1:18" ht="18.75" customHeight="1" x14ac:dyDescent="0.25">
      <c r="A81" s="118"/>
      <c r="B81" s="119"/>
      <c r="C81" s="77" t="s">
        <v>416</v>
      </c>
      <c r="D81" s="28">
        <f t="shared" ref="D81:O81" si="18">D80*50/100</f>
        <v>1000</v>
      </c>
      <c r="E81" s="28">
        <f t="shared" si="18"/>
        <v>900</v>
      </c>
      <c r="F81" s="28">
        <f t="shared" si="18"/>
        <v>800</v>
      </c>
      <c r="G81" s="28">
        <f t="shared" si="18"/>
        <v>700</v>
      </c>
      <c r="H81" s="28">
        <f t="shared" si="18"/>
        <v>900</v>
      </c>
      <c r="I81" s="28">
        <f t="shared" si="18"/>
        <v>810</v>
      </c>
      <c r="J81" s="28">
        <f t="shared" si="18"/>
        <v>720</v>
      </c>
      <c r="K81" s="28">
        <f t="shared" si="18"/>
        <v>630</v>
      </c>
      <c r="L81" s="28">
        <f t="shared" si="18"/>
        <v>800</v>
      </c>
      <c r="M81" s="28">
        <f t="shared" si="18"/>
        <v>720</v>
      </c>
      <c r="N81" s="28">
        <f t="shared" si="18"/>
        <v>640</v>
      </c>
      <c r="O81" s="28">
        <f t="shared" si="18"/>
        <v>560</v>
      </c>
      <c r="P81" s="115"/>
      <c r="Q81" s="113"/>
      <c r="R81" s="117"/>
    </row>
    <row r="82" spans="1:18" ht="18" customHeight="1" x14ac:dyDescent="0.25">
      <c r="A82" s="118" t="s">
        <v>165</v>
      </c>
      <c r="B82" s="119" t="s">
        <v>437</v>
      </c>
      <c r="C82" s="77" t="s">
        <v>415</v>
      </c>
      <c r="D82" s="26">
        <v>2000</v>
      </c>
      <c r="E82" s="28">
        <f>D82-(D82*10/100)</f>
        <v>1800</v>
      </c>
      <c r="F82" s="28">
        <f>D82-(D82*20/100)</f>
        <v>1600</v>
      </c>
      <c r="G82" s="28">
        <f>D82-(D82*30/100)</f>
        <v>1400</v>
      </c>
      <c r="H82" s="28">
        <f>D82-(D82*10/100)</f>
        <v>1800</v>
      </c>
      <c r="I82" s="28">
        <f>H82-(H82*10/100)</f>
        <v>1620</v>
      </c>
      <c r="J82" s="28">
        <f>H82-(H82*20/100)</f>
        <v>1440</v>
      </c>
      <c r="K82" s="28">
        <f>H82-(H82*30/100)</f>
        <v>1260</v>
      </c>
      <c r="L82" s="28">
        <f>D82-(D82*20/100)</f>
        <v>1600</v>
      </c>
      <c r="M82" s="28">
        <f>L82-(L82*10/100)</f>
        <v>1440</v>
      </c>
      <c r="N82" s="28">
        <f>L82-(L82*20/100)</f>
        <v>1280</v>
      </c>
      <c r="O82" s="28">
        <f>L82-(L82*30/100)</f>
        <v>1120</v>
      </c>
      <c r="P82" s="115" t="s">
        <v>10</v>
      </c>
      <c r="Q82" s="113" t="s">
        <v>55</v>
      </c>
      <c r="R82" s="117" t="s">
        <v>723</v>
      </c>
    </row>
    <row r="83" spans="1:18" ht="18.75" customHeight="1" x14ac:dyDescent="0.25">
      <c r="A83" s="118"/>
      <c r="B83" s="119"/>
      <c r="C83" s="77" t="s">
        <v>416</v>
      </c>
      <c r="D83" s="28">
        <f t="shared" ref="D83:O83" si="19">D82*50/100</f>
        <v>1000</v>
      </c>
      <c r="E83" s="28">
        <f t="shared" si="19"/>
        <v>900</v>
      </c>
      <c r="F83" s="28">
        <f t="shared" si="19"/>
        <v>800</v>
      </c>
      <c r="G83" s="28">
        <f t="shared" si="19"/>
        <v>700</v>
      </c>
      <c r="H83" s="28">
        <f t="shared" si="19"/>
        <v>900</v>
      </c>
      <c r="I83" s="28">
        <f t="shared" si="19"/>
        <v>810</v>
      </c>
      <c r="J83" s="28">
        <f t="shared" si="19"/>
        <v>720</v>
      </c>
      <c r="K83" s="28">
        <f t="shared" si="19"/>
        <v>630</v>
      </c>
      <c r="L83" s="28">
        <f t="shared" si="19"/>
        <v>800</v>
      </c>
      <c r="M83" s="28">
        <f t="shared" si="19"/>
        <v>720</v>
      </c>
      <c r="N83" s="28">
        <f t="shared" si="19"/>
        <v>640</v>
      </c>
      <c r="O83" s="28">
        <f t="shared" si="19"/>
        <v>560</v>
      </c>
      <c r="P83" s="115"/>
      <c r="Q83" s="113"/>
      <c r="R83" s="117"/>
    </row>
    <row r="84" spans="1:18" s="42" customFormat="1" ht="47.25" customHeight="1" x14ac:dyDescent="0.25">
      <c r="A84" s="23" t="s">
        <v>166</v>
      </c>
      <c r="B84" s="40" t="s">
        <v>33</v>
      </c>
      <c r="C84" s="80" t="s">
        <v>414</v>
      </c>
      <c r="D84" s="120">
        <v>50000</v>
      </c>
      <c r="E84" s="120"/>
      <c r="F84" s="120"/>
      <c r="G84" s="120"/>
      <c r="H84" s="120">
        <f>D84-(D84*20/100)</f>
        <v>40000</v>
      </c>
      <c r="I84" s="120"/>
      <c r="J84" s="120"/>
      <c r="K84" s="120"/>
      <c r="L84" s="120">
        <f>D84-(D84*40/100)</f>
        <v>30000</v>
      </c>
      <c r="M84" s="120"/>
      <c r="N84" s="120"/>
      <c r="O84" s="120"/>
      <c r="P84" s="41" t="s">
        <v>9</v>
      </c>
      <c r="Q84" s="43" t="s">
        <v>58</v>
      </c>
      <c r="R84" s="74" t="s">
        <v>719</v>
      </c>
    </row>
    <row r="85" spans="1:18" s="42" customFormat="1" ht="47.25" customHeight="1" x14ac:dyDescent="0.25">
      <c r="A85" s="23" t="s">
        <v>167</v>
      </c>
      <c r="B85" s="40" t="s">
        <v>439</v>
      </c>
      <c r="C85" s="80" t="s">
        <v>414</v>
      </c>
      <c r="D85" s="120">
        <v>25000</v>
      </c>
      <c r="E85" s="120"/>
      <c r="F85" s="120"/>
      <c r="G85" s="120"/>
      <c r="H85" s="120">
        <f>D85-(D85*20/100)</f>
        <v>20000</v>
      </c>
      <c r="I85" s="120"/>
      <c r="J85" s="120"/>
      <c r="K85" s="120"/>
      <c r="L85" s="120">
        <f>D85-(D85*40/100)</f>
        <v>15000</v>
      </c>
      <c r="M85" s="120"/>
      <c r="N85" s="120"/>
      <c r="O85" s="120"/>
      <c r="P85" s="41" t="s">
        <v>9</v>
      </c>
      <c r="Q85" s="43" t="s">
        <v>58</v>
      </c>
      <c r="R85" s="74" t="s">
        <v>649</v>
      </c>
    </row>
    <row r="86" spans="1:18" s="42" customFormat="1" ht="47.25" customHeight="1" x14ac:dyDescent="0.25">
      <c r="A86" s="23" t="s">
        <v>168</v>
      </c>
      <c r="B86" s="40" t="s">
        <v>73</v>
      </c>
      <c r="C86" s="80" t="s">
        <v>414</v>
      </c>
      <c r="D86" s="120">
        <v>50000</v>
      </c>
      <c r="E86" s="120"/>
      <c r="F86" s="120"/>
      <c r="G86" s="120"/>
      <c r="H86" s="120">
        <f>D86-(D86*20/100)</f>
        <v>40000</v>
      </c>
      <c r="I86" s="120"/>
      <c r="J86" s="120"/>
      <c r="K86" s="120"/>
      <c r="L86" s="120">
        <f>D86-(D86*40/100)</f>
        <v>30000</v>
      </c>
      <c r="M86" s="120"/>
      <c r="N86" s="120"/>
      <c r="O86" s="120"/>
      <c r="P86" s="41" t="s">
        <v>9</v>
      </c>
      <c r="Q86" s="43" t="s">
        <v>58</v>
      </c>
      <c r="R86" s="74" t="s">
        <v>740</v>
      </c>
    </row>
    <row r="87" spans="1:18" ht="47.25" customHeight="1" x14ac:dyDescent="0.25">
      <c r="A87" s="23" t="s">
        <v>169</v>
      </c>
      <c r="B87" s="44" t="s">
        <v>563</v>
      </c>
      <c r="C87" s="77" t="s">
        <v>414</v>
      </c>
      <c r="D87" s="116">
        <v>50000</v>
      </c>
      <c r="E87" s="116"/>
      <c r="F87" s="116"/>
      <c r="G87" s="116"/>
      <c r="H87" s="116">
        <f>D87-(D87*20/100)</f>
        <v>40000</v>
      </c>
      <c r="I87" s="116"/>
      <c r="J87" s="116"/>
      <c r="K87" s="116"/>
      <c r="L87" s="116">
        <f>D87-(D87*40/100)</f>
        <v>30000</v>
      </c>
      <c r="M87" s="116"/>
      <c r="N87" s="116"/>
      <c r="O87" s="116"/>
      <c r="P87" s="20" t="s">
        <v>9</v>
      </c>
      <c r="Q87" s="43" t="s">
        <v>549</v>
      </c>
      <c r="R87" s="81" t="s">
        <v>650</v>
      </c>
    </row>
    <row r="88" spans="1:18" ht="18" customHeight="1" x14ac:dyDescent="0.25">
      <c r="A88" s="118" t="s">
        <v>170</v>
      </c>
      <c r="B88" s="119" t="s">
        <v>564</v>
      </c>
      <c r="C88" s="77" t="s">
        <v>415</v>
      </c>
      <c r="D88" s="26">
        <v>1000</v>
      </c>
      <c r="E88" s="28">
        <f>D88-(D88*10/100)</f>
        <v>900</v>
      </c>
      <c r="F88" s="28">
        <f>D88-(D88*20/100)</f>
        <v>800</v>
      </c>
      <c r="G88" s="28">
        <f>D88-(D88*30/100)</f>
        <v>700</v>
      </c>
      <c r="H88" s="28">
        <f>D88-(D88*10/100)</f>
        <v>900</v>
      </c>
      <c r="I88" s="28">
        <f>H88-(H88*10/100)</f>
        <v>810</v>
      </c>
      <c r="J88" s="28">
        <f>H88-(H88*20/100)</f>
        <v>720</v>
      </c>
      <c r="K88" s="28">
        <f>H88-(H88*30/100)</f>
        <v>630</v>
      </c>
      <c r="L88" s="28">
        <f>D88-(D88*20/100)</f>
        <v>800</v>
      </c>
      <c r="M88" s="28">
        <f>L88-(L88*10/100)</f>
        <v>720</v>
      </c>
      <c r="N88" s="28">
        <f>L88-(L88*20/100)</f>
        <v>640</v>
      </c>
      <c r="O88" s="28">
        <f>L88-(L88*30/100)</f>
        <v>560</v>
      </c>
      <c r="P88" s="115" t="s">
        <v>10</v>
      </c>
      <c r="Q88" s="113" t="s">
        <v>55</v>
      </c>
      <c r="R88" s="117" t="s">
        <v>673</v>
      </c>
    </row>
    <row r="89" spans="1:18" ht="18.75" customHeight="1" x14ac:dyDescent="0.25">
      <c r="A89" s="118"/>
      <c r="B89" s="119"/>
      <c r="C89" s="77" t="s">
        <v>416</v>
      </c>
      <c r="D89" s="28">
        <f t="shared" ref="D89:O89" si="20">D88*50/100</f>
        <v>500</v>
      </c>
      <c r="E89" s="28">
        <f t="shared" si="20"/>
        <v>450</v>
      </c>
      <c r="F89" s="28">
        <f t="shared" si="20"/>
        <v>400</v>
      </c>
      <c r="G89" s="28">
        <f t="shared" si="20"/>
        <v>350</v>
      </c>
      <c r="H89" s="28">
        <f t="shared" si="20"/>
        <v>450</v>
      </c>
      <c r="I89" s="28">
        <f t="shared" si="20"/>
        <v>405</v>
      </c>
      <c r="J89" s="28">
        <f t="shared" si="20"/>
        <v>360</v>
      </c>
      <c r="K89" s="28">
        <f t="shared" si="20"/>
        <v>315</v>
      </c>
      <c r="L89" s="28">
        <f t="shared" si="20"/>
        <v>400</v>
      </c>
      <c r="M89" s="28">
        <f t="shared" si="20"/>
        <v>360</v>
      </c>
      <c r="N89" s="28">
        <f t="shared" si="20"/>
        <v>320</v>
      </c>
      <c r="O89" s="28">
        <f t="shared" si="20"/>
        <v>280</v>
      </c>
      <c r="P89" s="115"/>
      <c r="Q89" s="113"/>
      <c r="R89" s="117"/>
    </row>
    <row r="90" spans="1:18" ht="47.25" customHeight="1" x14ac:dyDescent="0.25">
      <c r="A90" s="23" t="s">
        <v>171</v>
      </c>
      <c r="B90" s="19" t="s">
        <v>53</v>
      </c>
      <c r="C90" s="77" t="s">
        <v>414</v>
      </c>
      <c r="D90" s="116">
        <v>2000</v>
      </c>
      <c r="E90" s="116"/>
      <c r="F90" s="116"/>
      <c r="G90" s="116"/>
      <c r="H90" s="116">
        <f t="shared" ref="H90:H97" si="21">D90-(D90*20/100)</f>
        <v>1600</v>
      </c>
      <c r="I90" s="116"/>
      <c r="J90" s="116"/>
      <c r="K90" s="116"/>
      <c r="L90" s="116">
        <f t="shared" ref="L90:L97" si="22">D90-(D90*40/100)</f>
        <v>1200</v>
      </c>
      <c r="M90" s="116"/>
      <c r="N90" s="116"/>
      <c r="O90" s="116"/>
      <c r="P90" s="20" t="s">
        <v>18</v>
      </c>
      <c r="Q90" s="26" t="s">
        <v>440</v>
      </c>
      <c r="R90" s="81" t="s">
        <v>651</v>
      </c>
    </row>
    <row r="91" spans="1:18" ht="47.25" customHeight="1" x14ac:dyDescent="0.25">
      <c r="A91" s="23" t="s">
        <v>172</v>
      </c>
      <c r="B91" s="19" t="s">
        <v>19</v>
      </c>
      <c r="C91" s="77" t="s">
        <v>414</v>
      </c>
      <c r="D91" s="116">
        <v>20000</v>
      </c>
      <c r="E91" s="116"/>
      <c r="F91" s="116"/>
      <c r="G91" s="116"/>
      <c r="H91" s="116">
        <f t="shared" si="21"/>
        <v>16000</v>
      </c>
      <c r="I91" s="116"/>
      <c r="J91" s="116"/>
      <c r="K91" s="116"/>
      <c r="L91" s="116">
        <f t="shared" si="22"/>
        <v>12000</v>
      </c>
      <c r="M91" s="116"/>
      <c r="N91" s="116"/>
      <c r="O91" s="116"/>
      <c r="P91" s="20" t="s">
        <v>9</v>
      </c>
      <c r="Q91" s="26" t="s">
        <v>58</v>
      </c>
      <c r="R91" s="81" t="s">
        <v>652</v>
      </c>
    </row>
    <row r="92" spans="1:18" ht="18" customHeight="1" x14ac:dyDescent="0.25">
      <c r="A92" s="118" t="s">
        <v>173</v>
      </c>
      <c r="B92" s="119" t="s">
        <v>441</v>
      </c>
      <c r="C92" s="77" t="s">
        <v>415</v>
      </c>
      <c r="D92" s="26">
        <v>1000</v>
      </c>
      <c r="E92" s="28">
        <f>D92-(D92*10/100)</f>
        <v>900</v>
      </c>
      <c r="F92" s="28">
        <f>D92-(D92*20/100)</f>
        <v>800</v>
      </c>
      <c r="G92" s="28">
        <f>D92-(D92*30/100)</f>
        <v>700</v>
      </c>
      <c r="H92" s="28">
        <f>D92-(D92*10/100)</f>
        <v>900</v>
      </c>
      <c r="I92" s="28">
        <f>H92-(H92*10/100)</f>
        <v>810</v>
      </c>
      <c r="J92" s="28">
        <f>H92-(H92*20/100)</f>
        <v>720</v>
      </c>
      <c r="K92" s="28">
        <f>H92-(H92*30/100)</f>
        <v>630</v>
      </c>
      <c r="L92" s="28">
        <f>D92-(D92*20/100)</f>
        <v>800</v>
      </c>
      <c r="M92" s="28">
        <f>L92-(L92*10/100)</f>
        <v>720</v>
      </c>
      <c r="N92" s="28">
        <f>L92-(L92*20/100)</f>
        <v>640</v>
      </c>
      <c r="O92" s="28">
        <f>L92-(L92*30/100)</f>
        <v>560</v>
      </c>
      <c r="P92" s="115" t="s">
        <v>10</v>
      </c>
      <c r="Q92" s="113" t="s">
        <v>58</v>
      </c>
      <c r="R92" s="117" t="s">
        <v>675</v>
      </c>
    </row>
    <row r="93" spans="1:18" ht="18.75" customHeight="1" x14ac:dyDescent="0.25">
      <c r="A93" s="118"/>
      <c r="B93" s="119"/>
      <c r="C93" s="77" t="s">
        <v>416</v>
      </c>
      <c r="D93" s="28">
        <f t="shared" ref="D93:O93" si="23">D92*50/100</f>
        <v>500</v>
      </c>
      <c r="E93" s="28">
        <f t="shared" si="23"/>
        <v>450</v>
      </c>
      <c r="F93" s="28">
        <f t="shared" si="23"/>
        <v>400</v>
      </c>
      <c r="G93" s="28">
        <f t="shared" si="23"/>
        <v>350</v>
      </c>
      <c r="H93" s="28">
        <f t="shared" si="23"/>
        <v>450</v>
      </c>
      <c r="I93" s="28">
        <f t="shared" si="23"/>
        <v>405</v>
      </c>
      <c r="J93" s="28">
        <f t="shared" si="23"/>
        <v>360</v>
      </c>
      <c r="K93" s="28">
        <f t="shared" si="23"/>
        <v>315</v>
      </c>
      <c r="L93" s="28">
        <f t="shared" si="23"/>
        <v>400</v>
      </c>
      <c r="M93" s="28">
        <f t="shared" si="23"/>
        <v>360</v>
      </c>
      <c r="N93" s="28">
        <f t="shared" si="23"/>
        <v>320</v>
      </c>
      <c r="O93" s="28">
        <f t="shared" si="23"/>
        <v>280</v>
      </c>
      <c r="P93" s="115"/>
      <c r="Q93" s="113"/>
      <c r="R93" s="117"/>
    </row>
    <row r="94" spans="1:18" ht="47.25" customHeight="1" x14ac:dyDescent="0.25">
      <c r="A94" s="23" t="s">
        <v>174</v>
      </c>
      <c r="B94" s="19" t="s">
        <v>565</v>
      </c>
      <c r="C94" s="77" t="s">
        <v>414</v>
      </c>
      <c r="D94" s="116">
        <v>50000</v>
      </c>
      <c r="E94" s="116"/>
      <c r="F94" s="116"/>
      <c r="G94" s="116"/>
      <c r="H94" s="116">
        <f t="shared" si="21"/>
        <v>40000</v>
      </c>
      <c r="I94" s="116"/>
      <c r="J94" s="116"/>
      <c r="K94" s="116"/>
      <c r="L94" s="116">
        <f t="shared" si="22"/>
        <v>30000</v>
      </c>
      <c r="M94" s="116"/>
      <c r="N94" s="116"/>
      <c r="O94" s="116"/>
      <c r="P94" s="20" t="s">
        <v>9</v>
      </c>
      <c r="Q94" s="26" t="s">
        <v>442</v>
      </c>
      <c r="R94" s="81" t="s">
        <v>653</v>
      </c>
    </row>
    <row r="95" spans="1:18" s="38" customFormat="1" ht="47.25" customHeight="1" x14ac:dyDescent="0.25">
      <c r="A95" s="23" t="s">
        <v>175</v>
      </c>
      <c r="B95" s="19" t="s">
        <v>485</v>
      </c>
      <c r="C95" s="77" t="s">
        <v>414</v>
      </c>
      <c r="D95" s="116">
        <v>15000</v>
      </c>
      <c r="E95" s="116"/>
      <c r="F95" s="116"/>
      <c r="G95" s="116"/>
      <c r="H95" s="116">
        <f t="shared" si="21"/>
        <v>12000</v>
      </c>
      <c r="I95" s="116"/>
      <c r="J95" s="116"/>
      <c r="K95" s="116"/>
      <c r="L95" s="116">
        <f t="shared" si="22"/>
        <v>9000</v>
      </c>
      <c r="M95" s="116"/>
      <c r="N95" s="116"/>
      <c r="O95" s="116"/>
      <c r="P95" s="20" t="s">
        <v>9</v>
      </c>
      <c r="Q95" s="26" t="s">
        <v>58</v>
      </c>
      <c r="R95" s="81" t="s">
        <v>676</v>
      </c>
    </row>
    <row r="96" spans="1:18" ht="47.25" customHeight="1" x14ac:dyDescent="0.25">
      <c r="A96" s="23" t="s">
        <v>176</v>
      </c>
      <c r="B96" s="19" t="s">
        <v>51</v>
      </c>
      <c r="C96" s="77" t="s">
        <v>414</v>
      </c>
      <c r="D96" s="116">
        <v>15000</v>
      </c>
      <c r="E96" s="116"/>
      <c r="F96" s="116"/>
      <c r="G96" s="116"/>
      <c r="H96" s="116">
        <f t="shared" si="21"/>
        <v>12000</v>
      </c>
      <c r="I96" s="116"/>
      <c r="J96" s="116"/>
      <c r="K96" s="116"/>
      <c r="L96" s="116">
        <f t="shared" si="22"/>
        <v>9000</v>
      </c>
      <c r="M96" s="116"/>
      <c r="N96" s="116"/>
      <c r="O96" s="116"/>
      <c r="P96" s="20" t="s">
        <v>9</v>
      </c>
      <c r="Q96" s="26" t="s">
        <v>55</v>
      </c>
      <c r="R96" s="81" t="s">
        <v>654</v>
      </c>
    </row>
    <row r="97" spans="1:18" s="33" customFormat="1" ht="47.25" customHeight="1" x14ac:dyDescent="0.25">
      <c r="A97" s="23" t="s">
        <v>177</v>
      </c>
      <c r="B97" s="22" t="s">
        <v>566</v>
      </c>
      <c r="C97" s="78" t="s">
        <v>414</v>
      </c>
      <c r="D97" s="114">
        <v>30000</v>
      </c>
      <c r="E97" s="114"/>
      <c r="F97" s="114"/>
      <c r="G97" s="114"/>
      <c r="H97" s="114">
        <f t="shared" si="21"/>
        <v>24000</v>
      </c>
      <c r="I97" s="114"/>
      <c r="J97" s="114"/>
      <c r="K97" s="114"/>
      <c r="L97" s="114">
        <f t="shared" si="22"/>
        <v>18000</v>
      </c>
      <c r="M97" s="114"/>
      <c r="N97" s="114"/>
      <c r="O97" s="114"/>
      <c r="P97" s="31" t="s">
        <v>9</v>
      </c>
      <c r="Q97" s="26" t="s">
        <v>442</v>
      </c>
      <c r="R97" s="81" t="s">
        <v>655</v>
      </c>
    </row>
    <row r="98" spans="1:18" ht="18" customHeight="1" x14ac:dyDescent="0.25">
      <c r="A98" s="118" t="s">
        <v>178</v>
      </c>
      <c r="B98" s="119" t="s">
        <v>444</v>
      </c>
      <c r="C98" s="77" t="s">
        <v>415</v>
      </c>
      <c r="D98" s="26">
        <v>3000</v>
      </c>
      <c r="E98" s="28">
        <f>D98-(D98*10/100)</f>
        <v>2700</v>
      </c>
      <c r="F98" s="28">
        <f>D98-(D98*20/100)</f>
        <v>2400</v>
      </c>
      <c r="G98" s="28">
        <f>D98-(D98*30/100)</f>
        <v>2100</v>
      </c>
      <c r="H98" s="28">
        <f>D98-(D98*10/100)</f>
        <v>2700</v>
      </c>
      <c r="I98" s="28">
        <f>H98-(H98*10/100)</f>
        <v>2430</v>
      </c>
      <c r="J98" s="28">
        <f>H98-(H98*20/100)</f>
        <v>2160</v>
      </c>
      <c r="K98" s="28">
        <f>H98-(H98*30/100)</f>
        <v>1890</v>
      </c>
      <c r="L98" s="28">
        <f>D98-(D98*20/100)</f>
        <v>2400</v>
      </c>
      <c r="M98" s="28">
        <f>L98-(L98*10/100)</f>
        <v>2160</v>
      </c>
      <c r="N98" s="28">
        <f>L98-(L98*20/100)</f>
        <v>1920</v>
      </c>
      <c r="O98" s="28">
        <f>L98-(L98*30/100)</f>
        <v>1680</v>
      </c>
      <c r="P98" s="115" t="s">
        <v>10</v>
      </c>
      <c r="Q98" s="113" t="s">
        <v>55</v>
      </c>
      <c r="R98" s="117" t="s">
        <v>656</v>
      </c>
    </row>
    <row r="99" spans="1:18" ht="18.75" customHeight="1" x14ac:dyDescent="0.25">
      <c r="A99" s="118"/>
      <c r="B99" s="119"/>
      <c r="C99" s="77" t="s">
        <v>416</v>
      </c>
      <c r="D99" s="28">
        <f t="shared" ref="D99:O99" si="24">D98*50/100</f>
        <v>1500</v>
      </c>
      <c r="E99" s="28">
        <f t="shared" si="24"/>
        <v>1350</v>
      </c>
      <c r="F99" s="28">
        <f t="shared" si="24"/>
        <v>1200</v>
      </c>
      <c r="G99" s="28">
        <f t="shared" si="24"/>
        <v>1050</v>
      </c>
      <c r="H99" s="28">
        <f t="shared" si="24"/>
        <v>1350</v>
      </c>
      <c r="I99" s="28">
        <f t="shared" si="24"/>
        <v>1215</v>
      </c>
      <c r="J99" s="28">
        <f t="shared" si="24"/>
        <v>1080</v>
      </c>
      <c r="K99" s="28">
        <f t="shared" si="24"/>
        <v>945</v>
      </c>
      <c r="L99" s="28">
        <f t="shared" si="24"/>
        <v>1200</v>
      </c>
      <c r="M99" s="28">
        <f t="shared" si="24"/>
        <v>1080</v>
      </c>
      <c r="N99" s="28">
        <f t="shared" si="24"/>
        <v>960</v>
      </c>
      <c r="O99" s="28">
        <f t="shared" si="24"/>
        <v>840</v>
      </c>
      <c r="P99" s="115"/>
      <c r="Q99" s="113"/>
      <c r="R99" s="117"/>
    </row>
    <row r="100" spans="1:18" ht="18" customHeight="1" x14ac:dyDescent="0.25">
      <c r="A100" s="118" t="s">
        <v>179</v>
      </c>
      <c r="B100" s="119" t="s">
        <v>27</v>
      </c>
      <c r="C100" s="77" t="s">
        <v>415</v>
      </c>
      <c r="D100" s="26">
        <v>3000</v>
      </c>
      <c r="E100" s="28">
        <f>D100-(D100*10/100)</f>
        <v>2700</v>
      </c>
      <c r="F100" s="28">
        <f>D100-(D100*20/100)</f>
        <v>2400</v>
      </c>
      <c r="G100" s="28">
        <f>D100-(D100*30/100)</f>
        <v>2100</v>
      </c>
      <c r="H100" s="28">
        <f>D100-(D100*10/100)</f>
        <v>2700</v>
      </c>
      <c r="I100" s="28">
        <f>H100-(H100*10/100)</f>
        <v>2430</v>
      </c>
      <c r="J100" s="28">
        <f>H100-(H100*20/100)</f>
        <v>2160</v>
      </c>
      <c r="K100" s="28">
        <f>H100-(H100*30/100)</f>
        <v>1890</v>
      </c>
      <c r="L100" s="28">
        <f>D100-(D100*20/100)</f>
        <v>2400</v>
      </c>
      <c r="M100" s="28">
        <f>L100-(L100*10/100)</f>
        <v>2160</v>
      </c>
      <c r="N100" s="28">
        <f>L100-(L100*20/100)</f>
        <v>1920</v>
      </c>
      <c r="O100" s="28">
        <f>L100-(L100*30/100)</f>
        <v>1680</v>
      </c>
      <c r="P100" s="115" t="s">
        <v>10</v>
      </c>
      <c r="Q100" s="113" t="s">
        <v>55</v>
      </c>
      <c r="R100" s="117" t="s">
        <v>656</v>
      </c>
    </row>
    <row r="101" spans="1:18" ht="18.75" customHeight="1" x14ac:dyDescent="0.25">
      <c r="A101" s="118"/>
      <c r="B101" s="119"/>
      <c r="C101" s="77" t="s">
        <v>416</v>
      </c>
      <c r="D101" s="28">
        <f t="shared" ref="D101:O101" si="25">D100*50/100</f>
        <v>1500</v>
      </c>
      <c r="E101" s="28">
        <f t="shared" si="25"/>
        <v>1350</v>
      </c>
      <c r="F101" s="28">
        <f t="shared" si="25"/>
        <v>1200</v>
      </c>
      <c r="G101" s="28">
        <f t="shared" si="25"/>
        <v>1050</v>
      </c>
      <c r="H101" s="28">
        <f t="shared" si="25"/>
        <v>1350</v>
      </c>
      <c r="I101" s="28">
        <f t="shared" si="25"/>
        <v>1215</v>
      </c>
      <c r="J101" s="28">
        <f t="shared" si="25"/>
        <v>1080</v>
      </c>
      <c r="K101" s="28">
        <f t="shared" si="25"/>
        <v>945</v>
      </c>
      <c r="L101" s="28">
        <f t="shared" si="25"/>
        <v>1200</v>
      </c>
      <c r="M101" s="28">
        <f t="shared" si="25"/>
        <v>1080</v>
      </c>
      <c r="N101" s="28">
        <f t="shared" si="25"/>
        <v>960</v>
      </c>
      <c r="O101" s="28">
        <f t="shared" si="25"/>
        <v>840</v>
      </c>
      <c r="P101" s="115"/>
      <c r="Q101" s="113"/>
      <c r="R101" s="117"/>
    </row>
    <row r="102" spans="1:18" ht="47.25" customHeight="1" x14ac:dyDescent="0.25">
      <c r="A102" s="23" t="s">
        <v>180</v>
      </c>
      <c r="B102" s="19" t="s">
        <v>38</v>
      </c>
      <c r="C102" s="77" t="s">
        <v>414</v>
      </c>
      <c r="D102" s="116">
        <v>15000</v>
      </c>
      <c r="E102" s="116"/>
      <c r="F102" s="116"/>
      <c r="G102" s="116"/>
      <c r="H102" s="116">
        <f>D102-(D102*20/100)</f>
        <v>12000</v>
      </c>
      <c r="I102" s="116"/>
      <c r="J102" s="116"/>
      <c r="K102" s="116"/>
      <c r="L102" s="116">
        <f>D102-(D102*40/100)</f>
        <v>9000</v>
      </c>
      <c r="M102" s="116"/>
      <c r="N102" s="116"/>
      <c r="O102" s="116"/>
      <c r="P102" s="20" t="s">
        <v>9</v>
      </c>
      <c r="Q102" s="26" t="s">
        <v>83</v>
      </c>
      <c r="R102" s="81" t="s">
        <v>657</v>
      </c>
    </row>
    <row r="103" spans="1:18" ht="47.25" customHeight="1" x14ac:dyDescent="0.25">
      <c r="A103" s="23" t="s">
        <v>182</v>
      </c>
      <c r="B103" s="19" t="s">
        <v>567</v>
      </c>
      <c r="C103" s="77" t="s">
        <v>414</v>
      </c>
      <c r="D103" s="116">
        <v>15000</v>
      </c>
      <c r="E103" s="116"/>
      <c r="F103" s="116"/>
      <c r="G103" s="116"/>
      <c r="H103" s="116">
        <f>D103-(D103*20/100)</f>
        <v>12000</v>
      </c>
      <c r="I103" s="116"/>
      <c r="J103" s="116"/>
      <c r="K103" s="116"/>
      <c r="L103" s="116">
        <f>D103-(D103*40/100)</f>
        <v>9000</v>
      </c>
      <c r="M103" s="116"/>
      <c r="N103" s="116"/>
      <c r="O103" s="116"/>
      <c r="P103" s="20" t="s">
        <v>9</v>
      </c>
      <c r="Q103" s="26" t="s">
        <v>545</v>
      </c>
      <c r="R103" s="81" t="s">
        <v>657</v>
      </c>
    </row>
    <row r="104" spans="1:18" ht="47.25" customHeight="1" x14ac:dyDescent="0.25">
      <c r="A104" s="23" t="s">
        <v>445</v>
      </c>
      <c r="B104" s="19" t="s">
        <v>40</v>
      </c>
      <c r="C104" s="77" t="s">
        <v>414</v>
      </c>
      <c r="D104" s="116">
        <v>50000</v>
      </c>
      <c r="E104" s="116"/>
      <c r="F104" s="116"/>
      <c r="G104" s="116"/>
      <c r="H104" s="116">
        <f>D104-(D104*20/100)</f>
        <v>40000</v>
      </c>
      <c r="I104" s="116"/>
      <c r="J104" s="116"/>
      <c r="K104" s="116"/>
      <c r="L104" s="116">
        <f>D104-(D104*40/100)</f>
        <v>30000</v>
      </c>
      <c r="M104" s="116"/>
      <c r="N104" s="116"/>
      <c r="O104" s="116"/>
      <c r="P104" s="20" t="s">
        <v>9</v>
      </c>
      <c r="Q104" s="26" t="s">
        <v>442</v>
      </c>
      <c r="R104" s="81" t="s">
        <v>677</v>
      </c>
    </row>
    <row r="105" spans="1:18" ht="18" customHeight="1" x14ac:dyDescent="0.25">
      <c r="A105" s="118" t="s">
        <v>446</v>
      </c>
      <c r="B105" s="119" t="s">
        <v>568</v>
      </c>
      <c r="C105" s="77" t="s">
        <v>415</v>
      </c>
      <c r="D105" s="26">
        <v>1000</v>
      </c>
      <c r="E105" s="28">
        <f>D105-(D105*10/100)</f>
        <v>900</v>
      </c>
      <c r="F105" s="28">
        <f>D105-(D105*20/100)</f>
        <v>800</v>
      </c>
      <c r="G105" s="28">
        <f>D105-(D105*30/100)</f>
        <v>700</v>
      </c>
      <c r="H105" s="28">
        <f>D105-(D105*10/100)</f>
        <v>900</v>
      </c>
      <c r="I105" s="28">
        <f>H105-(H105*10/100)</f>
        <v>810</v>
      </c>
      <c r="J105" s="28">
        <f>H105-(H105*20/100)</f>
        <v>720</v>
      </c>
      <c r="K105" s="28">
        <f>H105-(H105*30/100)</f>
        <v>630</v>
      </c>
      <c r="L105" s="28">
        <f>D105-(D105*20/100)</f>
        <v>800</v>
      </c>
      <c r="M105" s="28">
        <f>L105-(L105*10/100)</f>
        <v>720</v>
      </c>
      <c r="N105" s="28">
        <f>L105-(L105*20/100)</f>
        <v>640</v>
      </c>
      <c r="O105" s="28">
        <f>L105-(L105*30/100)</f>
        <v>560</v>
      </c>
      <c r="P105" s="115" t="s">
        <v>10</v>
      </c>
      <c r="Q105" s="113" t="s">
        <v>85</v>
      </c>
      <c r="R105" s="117" t="s">
        <v>723</v>
      </c>
    </row>
    <row r="106" spans="1:18" ht="18.75" customHeight="1" x14ac:dyDescent="0.25">
      <c r="A106" s="118"/>
      <c r="B106" s="119"/>
      <c r="C106" s="77" t="s">
        <v>416</v>
      </c>
      <c r="D106" s="28">
        <f t="shared" ref="D106:O106" si="26">D105*50/100</f>
        <v>500</v>
      </c>
      <c r="E106" s="28">
        <f t="shared" si="26"/>
        <v>450</v>
      </c>
      <c r="F106" s="28">
        <f t="shared" si="26"/>
        <v>400</v>
      </c>
      <c r="G106" s="28">
        <f t="shared" si="26"/>
        <v>350</v>
      </c>
      <c r="H106" s="28">
        <f t="shared" si="26"/>
        <v>450</v>
      </c>
      <c r="I106" s="28">
        <f t="shared" si="26"/>
        <v>405</v>
      </c>
      <c r="J106" s="28">
        <f t="shared" si="26"/>
        <v>360</v>
      </c>
      <c r="K106" s="28">
        <f t="shared" si="26"/>
        <v>315</v>
      </c>
      <c r="L106" s="28">
        <f t="shared" si="26"/>
        <v>400</v>
      </c>
      <c r="M106" s="28">
        <f t="shared" si="26"/>
        <v>360</v>
      </c>
      <c r="N106" s="28">
        <f t="shared" si="26"/>
        <v>320</v>
      </c>
      <c r="O106" s="28">
        <f t="shared" si="26"/>
        <v>280</v>
      </c>
      <c r="P106" s="115"/>
      <c r="Q106" s="113"/>
      <c r="R106" s="117"/>
    </row>
    <row r="107" spans="1:18" ht="18" customHeight="1" x14ac:dyDescent="0.25">
      <c r="A107" s="118" t="s">
        <v>544</v>
      </c>
      <c r="B107" s="119" t="s">
        <v>569</v>
      </c>
      <c r="C107" s="77" t="s">
        <v>415</v>
      </c>
      <c r="D107" s="26">
        <v>5000</v>
      </c>
      <c r="E107" s="28">
        <f>D107-(D107*10/100)</f>
        <v>4500</v>
      </c>
      <c r="F107" s="28">
        <f>D107-(D107*20/100)</f>
        <v>4000</v>
      </c>
      <c r="G107" s="28">
        <f>D107-(D107*30/100)</f>
        <v>3500</v>
      </c>
      <c r="H107" s="28">
        <f>D107-(D107*10/100)</f>
        <v>4500</v>
      </c>
      <c r="I107" s="28">
        <f>H107-(H107*10/100)</f>
        <v>4050</v>
      </c>
      <c r="J107" s="28">
        <f>H107-(H107*20/100)</f>
        <v>3600</v>
      </c>
      <c r="K107" s="28">
        <f>H107-(H107*30/100)</f>
        <v>3150</v>
      </c>
      <c r="L107" s="28">
        <f>D107-(D107*20/100)</f>
        <v>4000</v>
      </c>
      <c r="M107" s="28">
        <f>L107-(L107*10/100)</f>
        <v>3600</v>
      </c>
      <c r="N107" s="28">
        <f>L107-(L107*20/100)</f>
        <v>3200</v>
      </c>
      <c r="O107" s="28">
        <f>L107-(L107*30/100)</f>
        <v>2800</v>
      </c>
      <c r="P107" s="115" t="s">
        <v>10</v>
      </c>
      <c r="Q107" s="113" t="s">
        <v>85</v>
      </c>
      <c r="R107" s="117" t="s">
        <v>723</v>
      </c>
    </row>
    <row r="108" spans="1:18" ht="18.75" customHeight="1" x14ac:dyDescent="0.25">
      <c r="A108" s="118"/>
      <c r="B108" s="119"/>
      <c r="C108" s="77" t="s">
        <v>416</v>
      </c>
      <c r="D108" s="28">
        <f t="shared" ref="D108:O108" si="27">D107*50/100</f>
        <v>2500</v>
      </c>
      <c r="E108" s="28">
        <f t="shared" si="27"/>
        <v>2250</v>
      </c>
      <c r="F108" s="28">
        <f t="shared" si="27"/>
        <v>2000</v>
      </c>
      <c r="G108" s="28">
        <f t="shared" si="27"/>
        <v>1750</v>
      </c>
      <c r="H108" s="28">
        <f t="shared" si="27"/>
        <v>2250</v>
      </c>
      <c r="I108" s="28">
        <f t="shared" si="27"/>
        <v>2025</v>
      </c>
      <c r="J108" s="28">
        <f t="shared" si="27"/>
        <v>1800</v>
      </c>
      <c r="K108" s="28">
        <f t="shared" si="27"/>
        <v>1575</v>
      </c>
      <c r="L108" s="28">
        <f t="shared" si="27"/>
        <v>2000</v>
      </c>
      <c r="M108" s="28">
        <f t="shared" si="27"/>
        <v>1800</v>
      </c>
      <c r="N108" s="28">
        <f t="shared" si="27"/>
        <v>1600</v>
      </c>
      <c r="O108" s="28">
        <f t="shared" si="27"/>
        <v>1400</v>
      </c>
      <c r="P108" s="115"/>
      <c r="Q108" s="113"/>
      <c r="R108" s="117"/>
    </row>
    <row r="109" spans="1:18" ht="18" customHeight="1" x14ac:dyDescent="0.25">
      <c r="A109" s="118" t="s">
        <v>550</v>
      </c>
      <c r="B109" s="119" t="s">
        <v>570</v>
      </c>
      <c r="C109" s="77" t="s">
        <v>415</v>
      </c>
      <c r="D109" s="26">
        <v>5000</v>
      </c>
      <c r="E109" s="28">
        <f>D109-(D109*10/100)</f>
        <v>4500</v>
      </c>
      <c r="F109" s="28">
        <f>D109-(D109*20/100)</f>
        <v>4000</v>
      </c>
      <c r="G109" s="28">
        <f>D109-(D109*30/100)</f>
        <v>3500</v>
      </c>
      <c r="H109" s="28">
        <f>D109-(D109*10/100)</f>
        <v>4500</v>
      </c>
      <c r="I109" s="28">
        <f>H109-(H109*10/100)</f>
        <v>4050</v>
      </c>
      <c r="J109" s="28">
        <f>H109-(H109*20/100)</f>
        <v>3600</v>
      </c>
      <c r="K109" s="28">
        <f>H109-(H109*30/100)</f>
        <v>3150</v>
      </c>
      <c r="L109" s="28">
        <f>D109-(D109*20/100)</f>
        <v>4000</v>
      </c>
      <c r="M109" s="28">
        <f>L109-(L109*10/100)</f>
        <v>3600</v>
      </c>
      <c r="N109" s="28">
        <f>L109-(L109*20/100)</f>
        <v>3200</v>
      </c>
      <c r="O109" s="28">
        <f>L109-(L109*30/100)</f>
        <v>2800</v>
      </c>
      <c r="P109" s="115" t="s">
        <v>10</v>
      </c>
      <c r="Q109" s="113" t="s">
        <v>85</v>
      </c>
      <c r="R109" s="117" t="s">
        <v>723</v>
      </c>
    </row>
    <row r="110" spans="1:18" ht="18.75" customHeight="1" x14ac:dyDescent="0.25">
      <c r="A110" s="118"/>
      <c r="B110" s="119"/>
      <c r="C110" s="77" t="s">
        <v>416</v>
      </c>
      <c r="D110" s="28">
        <f t="shared" ref="D110:O110" si="28">D109*50/100</f>
        <v>2500</v>
      </c>
      <c r="E110" s="28">
        <f t="shared" si="28"/>
        <v>2250</v>
      </c>
      <c r="F110" s="28">
        <f t="shared" si="28"/>
        <v>2000</v>
      </c>
      <c r="G110" s="28">
        <f t="shared" si="28"/>
        <v>1750</v>
      </c>
      <c r="H110" s="28">
        <f t="shared" si="28"/>
        <v>2250</v>
      </c>
      <c r="I110" s="28">
        <f t="shared" si="28"/>
        <v>2025</v>
      </c>
      <c r="J110" s="28">
        <f t="shared" si="28"/>
        <v>1800</v>
      </c>
      <c r="K110" s="28">
        <f t="shared" si="28"/>
        <v>1575</v>
      </c>
      <c r="L110" s="28">
        <f t="shared" si="28"/>
        <v>2000</v>
      </c>
      <c r="M110" s="28">
        <f t="shared" si="28"/>
        <v>1800</v>
      </c>
      <c r="N110" s="28">
        <f t="shared" si="28"/>
        <v>1600</v>
      </c>
      <c r="O110" s="28">
        <f t="shared" si="28"/>
        <v>1400</v>
      </c>
      <c r="P110" s="115"/>
      <c r="Q110" s="113"/>
      <c r="R110" s="117"/>
    </row>
    <row r="111" spans="1:18" ht="24" customHeight="1" x14ac:dyDescent="0.25">
      <c r="A111" s="127" t="s">
        <v>614</v>
      </c>
      <c r="B111" s="127"/>
      <c r="C111" s="127"/>
      <c r="D111" s="127"/>
      <c r="E111" s="127"/>
      <c r="F111" s="127"/>
      <c r="G111" s="127"/>
      <c r="H111" s="127"/>
      <c r="I111" s="127"/>
      <c r="J111" s="127"/>
      <c r="K111" s="127"/>
      <c r="L111" s="127"/>
      <c r="M111" s="127"/>
      <c r="N111" s="127"/>
      <c r="O111" s="127"/>
      <c r="P111" s="127"/>
      <c r="Q111" s="127"/>
      <c r="R111" s="127"/>
    </row>
    <row r="112" spans="1:18" ht="24" customHeight="1" x14ac:dyDescent="0.25">
      <c r="A112" s="123" t="s">
        <v>4</v>
      </c>
      <c r="B112" s="112" t="s">
        <v>3</v>
      </c>
      <c r="C112" s="122" t="s">
        <v>406</v>
      </c>
      <c r="D112" s="112" t="s">
        <v>2</v>
      </c>
      <c r="E112" s="112"/>
      <c r="F112" s="112"/>
      <c r="G112" s="112"/>
      <c r="H112" s="112" t="s">
        <v>1</v>
      </c>
      <c r="I112" s="112"/>
      <c r="J112" s="112"/>
      <c r="K112" s="112"/>
      <c r="L112" s="112" t="s">
        <v>0</v>
      </c>
      <c r="M112" s="112"/>
      <c r="N112" s="112"/>
      <c r="O112" s="112"/>
      <c r="P112" s="112" t="s">
        <v>405</v>
      </c>
      <c r="Q112" s="112"/>
      <c r="R112" s="128" t="s">
        <v>632</v>
      </c>
    </row>
    <row r="113" spans="1:18" ht="18.75" customHeight="1" x14ac:dyDescent="0.25">
      <c r="A113" s="123"/>
      <c r="B113" s="112"/>
      <c r="C113" s="122"/>
      <c r="D113" s="75" t="s">
        <v>8</v>
      </c>
      <c r="E113" s="76" t="s">
        <v>7</v>
      </c>
      <c r="F113" s="76" t="s">
        <v>6</v>
      </c>
      <c r="G113" s="76" t="s">
        <v>5</v>
      </c>
      <c r="H113" s="76" t="s">
        <v>8</v>
      </c>
      <c r="I113" s="76" t="s">
        <v>7</v>
      </c>
      <c r="J113" s="76" t="s">
        <v>6</v>
      </c>
      <c r="K113" s="76" t="s">
        <v>5</v>
      </c>
      <c r="L113" s="76" t="s">
        <v>8</v>
      </c>
      <c r="M113" s="76" t="s">
        <v>7</v>
      </c>
      <c r="N113" s="76" t="s">
        <v>6</v>
      </c>
      <c r="O113" s="76" t="s">
        <v>5</v>
      </c>
      <c r="P113" s="112"/>
      <c r="Q113" s="112"/>
      <c r="R113" s="128"/>
    </row>
    <row r="114" spans="1:18" ht="47.25" customHeight="1" x14ac:dyDescent="0.25">
      <c r="A114" s="23" t="s">
        <v>183</v>
      </c>
      <c r="B114" s="19" t="s">
        <v>447</v>
      </c>
      <c r="C114" s="77" t="s">
        <v>414</v>
      </c>
      <c r="D114" s="116">
        <v>2000</v>
      </c>
      <c r="E114" s="116"/>
      <c r="F114" s="116"/>
      <c r="G114" s="116"/>
      <c r="H114" s="116">
        <f t="shared" ref="H114:H119" si="29">D114-(D114*20/100)</f>
        <v>1600</v>
      </c>
      <c r="I114" s="116"/>
      <c r="J114" s="116"/>
      <c r="K114" s="116"/>
      <c r="L114" s="116">
        <f t="shared" ref="L114:L119" si="30">D114-(D114*40/100)</f>
        <v>1200</v>
      </c>
      <c r="M114" s="116"/>
      <c r="N114" s="116"/>
      <c r="O114" s="116"/>
      <c r="P114" s="20" t="s">
        <v>9</v>
      </c>
      <c r="Q114" s="26" t="s">
        <v>448</v>
      </c>
      <c r="R114" s="81" t="s">
        <v>640</v>
      </c>
    </row>
    <row r="115" spans="1:18" ht="47.25" customHeight="1" x14ac:dyDescent="0.25">
      <c r="A115" s="23" t="s">
        <v>185</v>
      </c>
      <c r="B115" s="19" t="s">
        <v>571</v>
      </c>
      <c r="C115" s="77" t="s">
        <v>414</v>
      </c>
      <c r="D115" s="116">
        <v>20000</v>
      </c>
      <c r="E115" s="116"/>
      <c r="F115" s="116"/>
      <c r="G115" s="116"/>
      <c r="H115" s="116">
        <f t="shared" si="29"/>
        <v>16000</v>
      </c>
      <c r="I115" s="116"/>
      <c r="J115" s="116"/>
      <c r="K115" s="116"/>
      <c r="L115" s="116">
        <f t="shared" si="30"/>
        <v>12000</v>
      </c>
      <c r="M115" s="116"/>
      <c r="N115" s="116"/>
      <c r="O115" s="116"/>
      <c r="P115" s="20" t="s">
        <v>9</v>
      </c>
      <c r="Q115" s="26" t="s">
        <v>69</v>
      </c>
      <c r="R115" s="81" t="s">
        <v>641</v>
      </c>
    </row>
    <row r="116" spans="1:18" s="47" customFormat="1" ht="60" customHeight="1" x14ac:dyDescent="0.25">
      <c r="A116" s="23" t="s">
        <v>186</v>
      </c>
      <c r="B116" s="19" t="s">
        <v>572</v>
      </c>
      <c r="C116" s="77" t="s">
        <v>414</v>
      </c>
      <c r="D116" s="119">
        <v>5000</v>
      </c>
      <c r="E116" s="125"/>
      <c r="F116" s="125"/>
      <c r="G116" s="125"/>
      <c r="H116" s="119">
        <f t="shared" si="29"/>
        <v>4000</v>
      </c>
      <c r="I116" s="125"/>
      <c r="J116" s="125"/>
      <c r="K116" s="125"/>
      <c r="L116" s="119">
        <f t="shared" si="30"/>
        <v>3000</v>
      </c>
      <c r="M116" s="125"/>
      <c r="N116" s="125"/>
      <c r="O116" s="125"/>
      <c r="P116" s="20" t="s">
        <v>9</v>
      </c>
      <c r="Q116" s="26" t="s">
        <v>55</v>
      </c>
      <c r="R116" s="97" t="s">
        <v>719</v>
      </c>
    </row>
    <row r="117" spans="1:18" ht="47.25" customHeight="1" x14ac:dyDescent="0.25">
      <c r="A117" s="23" t="s">
        <v>187</v>
      </c>
      <c r="B117" s="19" t="s">
        <v>44</v>
      </c>
      <c r="C117" s="77" t="s">
        <v>414</v>
      </c>
      <c r="D117" s="116">
        <v>50000</v>
      </c>
      <c r="E117" s="116"/>
      <c r="F117" s="116"/>
      <c r="G117" s="116"/>
      <c r="H117" s="116">
        <f t="shared" si="29"/>
        <v>40000</v>
      </c>
      <c r="I117" s="116"/>
      <c r="J117" s="116"/>
      <c r="K117" s="116"/>
      <c r="L117" s="116">
        <f t="shared" si="30"/>
        <v>30000</v>
      </c>
      <c r="M117" s="116"/>
      <c r="N117" s="116"/>
      <c r="O117" s="116"/>
      <c r="P117" s="20" t="s">
        <v>9</v>
      </c>
      <c r="Q117" s="26" t="s">
        <v>449</v>
      </c>
      <c r="R117" s="97" t="s">
        <v>719</v>
      </c>
    </row>
    <row r="118" spans="1:18" ht="47.25" customHeight="1" x14ac:dyDescent="0.25">
      <c r="A118" s="23" t="s">
        <v>188</v>
      </c>
      <c r="B118" s="19" t="s">
        <v>450</v>
      </c>
      <c r="C118" s="77" t="s">
        <v>414</v>
      </c>
      <c r="D118" s="116">
        <v>15000</v>
      </c>
      <c r="E118" s="116"/>
      <c r="F118" s="116"/>
      <c r="G118" s="116"/>
      <c r="H118" s="116">
        <f t="shared" si="29"/>
        <v>12000</v>
      </c>
      <c r="I118" s="116"/>
      <c r="J118" s="116"/>
      <c r="K118" s="116"/>
      <c r="L118" s="116">
        <f t="shared" si="30"/>
        <v>9000</v>
      </c>
      <c r="M118" s="116"/>
      <c r="N118" s="116"/>
      <c r="O118" s="116"/>
      <c r="P118" s="20" t="s">
        <v>9</v>
      </c>
      <c r="Q118" s="26" t="s">
        <v>451</v>
      </c>
      <c r="R118" s="97" t="s">
        <v>719</v>
      </c>
    </row>
    <row r="119" spans="1:18" ht="47.25" customHeight="1" x14ac:dyDescent="0.25">
      <c r="A119" s="23" t="s">
        <v>189</v>
      </c>
      <c r="B119" s="19" t="s">
        <v>452</v>
      </c>
      <c r="C119" s="77" t="s">
        <v>414</v>
      </c>
      <c r="D119" s="116">
        <v>5000</v>
      </c>
      <c r="E119" s="116"/>
      <c r="F119" s="116"/>
      <c r="G119" s="116"/>
      <c r="H119" s="116">
        <f t="shared" si="29"/>
        <v>4000</v>
      </c>
      <c r="I119" s="116"/>
      <c r="J119" s="116"/>
      <c r="K119" s="116"/>
      <c r="L119" s="116">
        <f t="shared" si="30"/>
        <v>3000</v>
      </c>
      <c r="M119" s="116"/>
      <c r="N119" s="116"/>
      <c r="O119" s="116"/>
      <c r="P119" s="20" t="s">
        <v>9</v>
      </c>
      <c r="Q119" s="26" t="s">
        <v>55</v>
      </c>
      <c r="R119" s="97" t="s">
        <v>719</v>
      </c>
    </row>
    <row r="120" spans="1:18" ht="18" customHeight="1" x14ac:dyDescent="0.25">
      <c r="A120" s="118" t="s">
        <v>190</v>
      </c>
      <c r="B120" s="119" t="s">
        <v>30</v>
      </c>
      <c r="C120" s="77" t="s">
        <v>415</v>
      </c>
      <c r="D120" s="26">
        <v>2000</v>
      </c>
      <c r="E120" s="28">
        <f>D120-(D120*10/100)</f>
        <v>1800</v>
      </c>
      <c r="F120" s="28">
        <f>D120-(D120*20/100)</f>
        <v>1600</v>
      </c>
      <c r="G120" s="28">
        <f>D120-(D120*30/100)</f>
        <v>1400</v>
      </c>
      <c r="H120" s="28">
        <f>D120-(D120*10/100)</f>
        <v>1800</v>
      </c>
      <c r="I120" s="28">
        <f>H120-(H120*10/100)</f>
        <v>1620</v>
      </c>
      <c r="J120" s="28">
        <f>H120-(H120*20/100)</f>
        <v>1440</v>
      </c>
      <c r="K120" s="28">
        <f>H120-(H120*30/100)</f>
        <v>1260</v>
      </c>
      <c r="L120" s="28">
        <f>D120-(D120*20/100)</f>
        <v>1600</v>
      </c>
      <c r="M120" s="28">
        <f>L120-(L120*10/100)</f>
        <v>1440</v>
      </c>
      <c r="N120" s="28">
        <f>L120-(L120*20/100)</f>
        <v>1280</v>
      </c>
      <c r="O120" s="28">
        <f>L120-(L120*30/100)</f>
        <v>1120</v>
      </c>
      <c r="P120" s="115" t="s">
        <v>10</v>
      </c>
      <c r="Q120" s="121" t="s">
        <v>55</v>
      </c>
      <c r="R120" s="117" t="s">
        <v>658</v>
      </c>
    </row>
    <row r="121" spans="1:18" ht="18.75" customHeight="1" x14ac:dyDescent="0.25">
      <c r="A121" s="118"/>
      <c r="B121" s="119"/>
      <c r="C121" s="77" t="s">
        <v>416</v>
      </c>
      <c r="D121" s="28">
        <f t="shared" ref="D121:O121" si="31">D120*50/100</f>
        <v>1000</v>
      </c>
      <c r="E121" s="28">
        <f t="shared" si="31"/>
        <v>900</v>
      </c>
      <c r="F121" s="28">
        <f t="shared" si="31"/>
        <v>800</v>
      </c>
      <c r="G121" s="28">
        <f t="shared" si="31"/>
        <v>700</v>
      </c>
      <c r="H121" s="28">
        <f t="shared" si="31"/>
        <v>900</v>
      </c>
      <c r="I121" s="28">
        <f t="shared" si="31"/>
        <v>810</v>
      </c>
      <c r="J121" s="28">
        <f t="shared" si="31"/>
        <v>720</v>
      </c>
      <c r="K121" s="28">
        <f t="shared" si="31"/>
        <v>630</v>
      </c>
      <c r="L121" s="28">
        <f t="shared" si="31"/>
        <v>800</v>
      </c>
      <c r="M121" s="28">
        <f t="shared" si="31"/>
        <v>720</v>
      </c>
      <c r="N121" s="28">
        <f t="shared" si="31"/>
        <v>640</v>
      </c>
      <c r="O121" s="28">
        <f t="shared" si="31"/>
        <v>560</v>
      </c>
      <c r="P121" s="115"/>
      <c r="Q121" s="121"/>
      <c r="R121" s="117"/>
    </row>
    <row r="122" spans="1:18" ht="47.25" customHeight="1" x14ac:dyDescent="0.25">
      <c r="A122" s="23" t="s">
        <v>192</v>
      </c>
      <c r="B122" s="19" t="s">
        <v>63</v>
      </c>
      <c r="C122" s="77" t="s">
        <v>414</v>
      </c>
      <c r="D122" s="116">
        <v>15000</v>
      </c>
      <c r="E122" s="116"/>
      <c r="F122" s="116"/>
      <c r="G122" s="116"/>
      <c r="H122" s="116">
        <f t="shared" ref="H122:H127" si="32">D122-(D122*20/100)</f>
        <v>12000</v>
      </c>
      <c r="I122" s="116"/>
      <c r="J122" s="116"/>
      <c r="K122" s="116"/>
      <c r="L122" s="116">
        <f t="shared" ref="L122:L127" si="33">D122-(D122*40/100)</f>
        <v>9000</v>
      </c>
      <c r="M122" s="116"/>
      <c r="N122" s="116"/>
      <c r="O122" s="116"/>
      <c r="P122" s="20" t="s">
        <v>9</v>
      </c>
      <c r="Q122" s="26" t="s">
        <v>69</v>
      </c>
      <c r="R122" s="81" t="s">
        <v>659</v>
      </c>
    </row>
    <row r="123" spans="1:18" ht="47.25" customHeight="1" x14ac:dyDescent="0.25">
      <c r="A123" s="23" t="s">
        <v>193</v>
      </c>
      <c r="B123" s="19" t="s">
        <v>45</v>
      </c>
      <c r="C123" s="77" t="s">
        <v>414</v>
      </c>
      <c r="D123" s="116">
        <v>30000</v>
      </c>
      <c r="E123" s="116"/>
      <c r="F123" s="116"/>
      <c r="G123" s="116"/>
      <c r="H123" s="116">
        <f t="shared" si="32"/>
        <v>24000</v>
      </c>
      <c r="I123" s="116"/>
      <c r="J123" s="116"/>
      <c r="K123" s="116"/>
      <c r="L123" s="116">
        <f t="shared" si="33"/>
        <v>18000</v>
      </c>
      <c r="M123" s="116"/>
      <c r="N123" s="116"/>
      <c r="O123" s="116"/>
      <c r="P123" s="20" t="s">
        <v>9</v>
      </c>
      <c r="Q123" s="26" t="s">
        <v>69</v>
      </c>
      <c r="R123" s="81" t="s">
        <v>649</v>
      </c>
    </row>
    <row r="124" spans="1:18" ht="47.25" customHeight="1" x14ac:dyDescent="0.25">
      <c r="A124" s="23" t="s">
        <v>194</v>
      </c>
      <c r="B124" s="19" t="s">
        <v>581</v>
      </c>
      <c r="C124" s="77" t="s">
        <v>414</v>
      </c>
      <c r="D124" s="116">
        <v>20000</v>
      </c>
      <c r="E124" s="116"/>
      <c r="F124" s="116"/>
      <c r="G124" s="116"/>
      <c r="H124" s="116">
        <f t="shared" si="32"/>
        <v>16000</v>
      </c>
      <c r="I124" s="116"/>
      <c r="J124" s="116"/>
      <c r="K124" s="116"/>
      <c r="L124" s="116">
        <f t="shared" si="33"/>
        <v>12000</v>
      </c>
      <c r="M124" s="116"/>
      <c r="N124" s="116"/>
      <c r="O124" s="116"/>
      <c r="P124" s="20" t="s">
        <v>9</v>
      </c>
      <c r="Q124" s="26" t="s">
        <v>69</v>
      </c>
      <c r="R124" s="81" t="s">
        <v>649</v>
      </c>
    </row>
    <row r="125" spans="1:18" ht="47.25" customHeight="1" x14ac:dyDescent="0.25">
      <c r="A125" s="23" t="s">
        <v>195</v>
      </c>
      <c r="B125" s="19" t="s">
        <v>546</v>
      </c>
      <c r="C125" s="77" t="s">
        <v>414</v>
      </c>
      <c r="D125" s="116">
        <v>200000</v>
      </c>
      <c r="E125" s="116"/>
      <c r="F125" s="116"/>
      <c r="G125" s="116"/>
      <c r="H125" s="116">
        <f t="shared" si="32"/>
        <v>160000</v>
      </c>
      <c r="I125" s="116"/>
      <c r="J125" s="116"/>
      <c r="K125" s="116"/>
      <c r="L125" s="116">
        <f t="shared" si="33"/>
        <v>120000</v>
      </c>
      <c r="M125" s="116"/>
      <c r="N125" s="116"/>
      <c r="O125" s="116"/>
      <c r="P125" s="20" t="s">
        <v>9</v>
      </c>
      <c r="Q125" s="26" t="s">
        <v>69</v>
      </c>
      <c r="R125" s="81" t="s">
        <v>642</v>
      </c>
    </row>
    <row r="126" spans="1:18" ht="47.25" customHeight="1" x14ac:dyDescent="0.25">
      <c r="A126" s="23" t="s">
        <v>196</v>
      </c>
      <c r="B126" s="19" t="s">
        <v>547</v>
      </c>
      <c r="C126" s="77" t="s">
        <v>414</v>
      </c>
      <c r="D126" s="116">
        <v>50000</v>
      </c>
      <c r="E126" s="116"/>
      <c r="F126" s="116"/>
      <c r="G126" s="116"/>
      <c r="H126" s="116">
        <f t="shared" si="32"/>
        <v>40000</v>
      </c>
      <c r="I126" s="116"/>
      <c r="J126" s="116"/>
      <c r="K126" s="116"/>
      <c r="L126" s="116">
        <f t="shared" si="33"/>
        <v>30000</v>
      </c>
      <c r="M126" s="116"/>
      <c r="N126" s="116"/>
      <c r="O126" s="116"/>
      <c r="P126" s="20" t="s">
        <v>9</v>
      </c>
      <c r="Q126" s="26" t="s">
        <v>69</v>
      </c>
      <c r="R126" s="81" t="s">
        <v>642</v>
      </c>
    </row>
    <row r="127" spans="1:18" ht="47.25" customHeight="1" x14ac:dyDescent="0.25">
      <c r="A127" s="23" t="s">
        <v>197</v>
      </c>
      <c r="B127" s="19" t="s">
        <v>67</v>
      </c>
      <c r="C127" s="77" t="s">
        <v>414</v>
      </c>
      <c r="D127" s="116">
        <v>10000</v>
      </c>
      <c r="E127" s="116"/>
      <c r="F127" s="116"/>
      <c r="G127" s="116"/>
      <c r="H127" s="116">
        <f t="shared" si="32"/>
        <v>8000</v>
      </c>
      <c r="I127" s="116"/>
      <c r="J127" s="116"/>
      <c r="K127" s="116"/>
      <c r="L127" s="116">
        <f t="shared" si="33"/>
        <v>6000</v>
      </c>
      <c r="M127" s="116"/>
      <c r="N127" s="116"/>
      <c r="O127" s="116"/>
      <c r="P127" s="20" t="s">
        <v>9</v>
      </c>
      <c r="Q127" s="32" t="s">
        <v>55</v>
      </c>
      <c r="R127" s="81" t="s">
        <v>723</v>
      </c>
    </row>
    <row r="128" spans="1:18" ht="18" customHeight="1" x14ac:dyDescent="0.25">
      <c r="A128" s="118" t="s">
        <v>198</v>
      </c>
      <c r="B128" s="119" t="s">
        <v>42</v>
      </c>
      <c r="C128" s="77" t="s">
        <v>415</v>
      </c>
      <c r="D128" s="26">
        <v>5000</v>
      </c>
      <c r="E128" s="28">
        <f>D128-(D128*10/100)</f>
        <v>4500</v>
      </c>
      <c r="F128" s="28">
        <f>D128-(D128*20/100)</f>
        <v>4000</v>
      </c>
      <c r="G128" s="28">
        <f>D128-(D128*30/100)</f>
        <v>3500</v>
      </c>
      <c r="H128" s="28">
        <f>D128-(D128*10/100)</f>
        <v>4500</v>
      </c>
      <c r="I128" s="28">
        <f>H128-(H128*10/100)</f>
        <v>4050</v>
      </c>
      <c r="J128" s="28">
        <f>H128-(H128*20/100)</f>
        <v>3600</v>
      </c>
      <c r="K128" s="28">
        <f>H128-(H128*30/100)</f>
        <v>3150</v>
      </c>
      <c r="L128" s="28">
        <f>D128-(D128*20/100)</f>
        <v>4000</v>
      </c>
      <c r="M128" s="28">
        <f>L128-(L128*10/100)</f>
        <v>3600</v>
      </c>
      <c r="N128" s="28">
        <f>L128-(L128*20/100)</f>
        <v>3200</v>
      </c>
      <c r="O128" s="28">
        <f>L128-(L128*30/100)</f>
        <v>2800</v>
      </c>
      <c r="P128" s="115" t="s">
        <v>10</v>
      </c>
      <c r="Q128" s="113" t="s">
        <v>59</v>
      </c>
      <c r="R128" s="117" t="s">
        <v>643</v>
      </c>
    </row>
    <row r="129" spans="1:25" ht="18.75" customHeight="1" x14ac:dyDescent="0.25">
      <c r="A129" s="118"/>
      <c r="B129" s="119"/>
      <c r="C129" s="77" t="s">
        <v>416</v>
      </c>
      <c r="D129" s="28">
        <f t="shared" ref="D129:O129" si="34">D128*50/100</f>
        <v>2500</v>
      </c>
      <c r="E129" s="28">
        <f t="shared" si="34"/>
        <v>2250</v>
      </c>
      <c r="F129" s="28">
        <f t="shared" si="34"/>
        <v>2000</v>
      </c>
      <c r="G129" s="28">
        <f t="shared" si="34"/>
        <v>1750</v>
      </c>
      <c r="H129" s="28">
        <f t="shared" si="34"/>
        <v>2250</v>
      </c>
      <c r="I129" s="28">
        <f t="shared" si="34"/>
        <v>2025</v>
      </c>
      <c r="J129" s="28">
        <f t="shared" si="34"/>
        <v>1800</v>
      </c>
      <c r="K129" s="28">
        <f t="shared" si="34"/>
        <v>1575</v>
      </c>
      <c r="L129" s="28">
        <f t="shared" si="34"/>
        <v>2000</v>
      </c>
      <c r="M129" s="28">
        <f t="shared" si="34"/>
        <v>1800</v>
      </c>
      <c r="N129" s="28">
        <f t="shared" si="34"/>
        <v>1600</v>
      </c>
      <c r="O129" s="28">
        <f t="shared" si="34"/>
        <v>1400</v>
      </c>
      <c r="P129" s="115"/>
      <c r="Q129" s="113"/>
      <c r="R129" s="117"/>
    </row>
    <row r="130" spans="1:25" ht="18" customHeight="1" x14ac:dyDescent="0.25">
      <c r="A130" s="118" t="s">
        <v>200</v>
      </c>
      <c r="B130" s="119" t="s">
        <v>573</v>
      </c>
      <c r="C130" s="77" t="s">
        <v>415</v>
      </c>
      <c r="D130" s="26">
        <v>2000</v>
      </c>
      <c r="E130" s="28">
        <f>D130-(D130*10/100)</f>
        <v>1800</v>
      </c>
      <c r="F130" s="28">
        <f>D130-(D130*20/100)</f>
        <v>1600</v>
      </c>
      <c r="G130" s="28">
        <f>D130-(D130*30/100)</f>
        <v>1400</v>
      </c>
      <c r="H130" s="28">
        <f>D130-(D130*10/100)</f>
        <v>1800</v>
      </c>
      <c r="I130" s="28">
        <f>H130-(H130*10/100)</f>
        <v>1620</v>
      </c>
      <c r="J130" s="28">
        <f>H130-(H130*20/100)</f>
        <v>1440</v>
      </c>
      <c r="K130" s="28">
        <f>H130-(H130*30/100)</f>
        <v>1260</v>
      </c>
      <c r="L130" s="28">
        <f>D130-(D130*20/100)</f>
        <v>1600</v>
      </c>
      <c r="M130" s="28">
        <f>L130-(L130*10/100)</f>
        <v>1440</v>
      </c>
      <c r="N130" s="28">
        <f>L130-(L130*20/100)</f>
        <v>1280</v>
      </c>
      <c r="O130" s="28">
        <f>L130-(L130*30/100)</f>
        <v>1120</v>
      </c>
      <c r="P130" s="115" t="s">
        <v>10</v>
      </c>
      <c r="Q130" s="113" t="s">
        <v>55</v>
      </c>
      <c r="R130" s="117" t="s">
        <v>644</v>
      </c>
    </row>
    <row r="131" spans="1:25" ht="18.75" customHeight="1" x14ac:dyDescent="0.25">
      <c r="A131" s="118"/>
      <c r="B131" s="119"/>
      <c r="C131" s="77" t="s">
        <v>416</v>
      </c>
      <c r="D131" s="28">
        <f t="shared" ref="D131:O131" si="35">D130*50/100</f>
        <v>1000</v>
      </c>
      <c r="E131" s="28">
        <f t="shared" si="35"/>
        <v>900</v>
      </c>
      <c r="F131" s="28">
        <f t="shared" si="35"/>
        <v>800</v>
      </c>
      <c r="G131" s="28">
        <f t="shared" si="35"/>
        <v>700</v>
      </c>
      <c r="H131" s="28">
        <f t="shared" si="35"/>
        <v>900</v>
      </c>
      <c r="I131" s="28">
        <f t="shared" si="35"/>
        <v>810</v>
      </c>
      <c r="J131" s="28">
        <f t="shared" si="35"/>
        <v>720</v>
      </c>
      <c r="K131" s="28">
        <f t="shared" si="35"/>
        <v>630</v>
      </c>
      <c r="L131" s="28">
        <f t="shared" si="35"/>
        <v>800</v>
      </c>
      <c r="M131" s="28">
        <f t="shared" si="35"/>
        <v>720</v>
      </c>
      <c r="N131" s="28">
        <f t="shared" si="35"/>
        <v>640</v>
      </c>
      <c r="O131" s="28">
        <f t="shared" si="35"/>
        <v>560</v>
      </c>
      <c r="P131" s="115"/>
      <c r="Q131" s="113"/>
      <c r="R131" s="117"/>
    </row>
    <row r="132" spans="1:25" ht="72" customHeight="1" x14ac:dyDescent="0.25">
      <c r="A132" s="23" t="s">
        <v>201</v>
      </c>
      <c r="B132" s="19" t="s">
        <v>752</v>
      </c>
      <c r="C132" s="77" t="s">
        <v>414</v>
      </c>
      <c r="D132" s="116">
        <v>20000</v>
      </c>
      <c r="E132" s="116">
        <f>D132-(D132*10/100)</f>
        <v>18000</v>
      </c>
      <c r="F132" s="116">
        <f>D132-(D132*20/100)</f>
        <v>16000</v>
      </c>
      <c r="G132" s="116">
        <f>D132-(D132*30/100)</f>
        <v>14000</v>
      </c>
      <c r="H132" s="116">
        <f>D132-(D132*20/100)</f>
        <v>16000</v>
      </c>
      <c r="I132" s="116"/>
      <c r="J132" s="116"/>
      <c r="K132" s="116"/>
      <c r="L132" s="116">
        <f>D132-(D132*40/100)</f>
        <v>12000</v>
      </c>
      <c r="M132" s="116"/>
      <c r="N132" s="116"/>
      <c r="O132" s="116"/>
      <c r="P132" s="20" t="s">
        <v>9</v>
      </c>
      <c r="Q132" s="26" t="s">
        <v>60</v>
      </c>
      <c r="R132" s="74" t="s">
        <v>671</v>
      </c>
    </row>
    <row r="133" spans="1:25" ht="18" customHeight="1" x14ac:dyDescent="0.25">
      <c r="A133" s="118" t="s">
        <v>202</v>
      </c>
      <c r="B133" s="119" t="s">
        <v>753</v>
      </c>
      <c r="C133" s="77" t="s">
        <v>415</v>
      </c>
      <c r="D133" s="100">
        <v>5000</v>
      </c>
      <c r="E133" s="98">
        <f>D133-(D133*10/100)</f>
        <v>4500</v>
      </c>
      <c r="F133" s="98">
        <f>D133-(D133*20/100)</f>
        <v>4000</v>
      </c>
      <c r="G133" s="98">
        <f>D133-(D133*30/100)</f>
        <v>3500</v>
      </c>
      <c r="H133" s="98">
        <f>D133-(D133*10/100)</f>
        <v>4500</v>
      </c>
      <c r="I133" s="98">
        <f>H133-(H133*10/100)</f>
        <v>4050</v>
      </c>
      <c r="J133" s="98">
        <f>H133-(H133*20/100)</f>
        <v>3600</v>
      </c>
      <c r="K133" s="98">
        <f>H133-(H133*30/100)</f>
        <v>3150</v>
      </c>
      <c r="L133" s="98">
        <f>D133-(D133*20/100)</f>
        <v>4000</v>
      </c>
      <c r="M133" s="98">
        <f>L133-(L133*10/100)</f>
        <v>3600</v>
      </c>
      <c r="N133" s="98">
        <f>L133-(L133*20/100)</f>
        <v>3200</v>
      </c>
      <c r="O133" s="98">
        <f>L133-(L133*30/100)</f>
        <v>2800</v>
      </c>
      <c r="P133" s="115" t="s">
        <v>10</v>
      </c>
      <c r="Q133" s="113" t="s">
        <v>60</v>
      </c>
      <c r="R133" s="117" t="s">
        <v>671</v>
      </c>
    </row>
    <row r="134" spans="1:25" ht="18.75" customHeight="1" x14ac:dyDescent="0.25">
      <c r="A134" s="118"/>
      <c r="B134" s="119"/>
      <c r="C134" s="77" t="s">
        <v>416</v>
      </c>
      <c r="D134" s="98">
        <f t="shared" ref="D134:O134" si="36">D133*50/100</f>
        <v>2500</v>
      </c>
      <c r="E134" s="98">
        <f t="shared" si="36"/>
        <v>2250</v>
      </c>
      <c r="F134" s="98">
        <f t="shared" si="36"/>
        <v>2000</v>
      </c>
      <c r="G134" s="98">
        <f t="shared" si="36"/>
        <v>1750</v>
      </c>
      <c r="H134" s="98">
        <f t="shared" si="36"/>
        <v>2250</v>
      </c>
      <c r="I134" s="98">
        <f t="shared" si="36"/>
        <v>2025</v>
      </c>
      <c r="J134" s="98">
        <f t="shared" si="36"/>
        <v>1800</v>
      </c>
      <c r="K134" s="98">
        <f t="shared" si="36"/>
        <v>1575</v>
      </c>
      <c r="L134" s="98">
        <f t="shared" si="36"/>
        <v>2000</v>
      </c>
      <c r="M134" s="98">
        <f t="shared" si="36"/>
        <v>1800</v>
      </c>
      <c r="N134" s="98">
        <f t="shared" si="36"/>
        <v>1600</v>
      </c>
      <c r="O134" s="98">
        <f t="shared" si="36"/>
        <v>1400</v>
      </c>
      <c r="P134" s="115"/>
      <c r="Q134" s="113"/>
      <c r="R134" s="117"/>
    </row>
    <row r="135" spans="1:25" ht="18" customHeight="1" x14ac:dyDescent="0.25">
      <c r="A135" s="118" t="s">
        <v>203</v>
      </c>
      <c r="B135" s="119" t="s">
        <v>70</v>
      </c>
      <c r="C135" s="77" t="s">
        <v>415</v>
      </c>
      <c r="D135" s="26">
        <v>1000</v>
      </c>
      <c r="E135" s="28">
        <f>D135-(D135*10/100)</f>
        <v>900</v>
      </c>
      <c r="F135" s="28">
        <f>D135-(D135*20/100)</f>
        <v>800</v>
      </c>
      <c r="G135" s="28">
        <f>D135-(D135*30/100)</f>
        <v>700</v>
      </c>
      <c r="H135" s="28">
        <f>D135-(D135*10/100)</f>
        <v>900</v>
      </c>
      <c r="I135" s="28">
        <f>H135-(H135*10/100)</f>
        <v>810</v>
      </c>
      <c r="J135" s="28">
        <f>H135-(H135*20/100)</f>
        <v>720</v>
      </c>
      <c r="K135" s="28">
        <f>H135-(H135*30/100)</f>
        <v>630</v>
      </c>
      <c r="L135" s="28">
        <f>D135-(D135*20/100)</f>
        <v>800</v>
      </c>
      <c r="M135" s="28">
        <f>L135-(L135*10/100)</f>
        <v>720</v>
      </c>
      <c r="N135" s="28">
        <f>L135-(L135*20/100)</f>
        <v>640</v>
      </c>
      <c r="O135" s="28">
        <f>L135-(L135*30/100)</f>
        <v>560</v>
      </c>
      <c r="P135" s="115" t="s">
        <v>10</v>
      </c>
      <c r="Q135" s="121" t="s">
        <v>60</v>
      </c>
      <c r="R135" s="117" t="s">
        <v>671</v>
      </c>
    </row>
    <row r="136" spans="1:25" ht="18.75" customHeight="1" x14ac:dyDescent="0.25">
      <c r="A136" s="118"/>
      <c r="B136" s="119"/>
      <c r="C136" s="77" t="s">
        <v>416</v>
      </c>
      <c r="D136" s="28">
        <f t="shared" ref="D136:O136" si="37">D135*50/100</f>
        <v>500</v>
      </c>
      <c r="E136" s="28">
        <f t="shared" si="37"/>
        <v>450</v>
      </c>
      <c r="F136" s="28">
        <f t="shared" si="37"/>
        <v>400</v>
      </c>
      <c r="G136" s="28">
        <f t="shared" si="37"/>
        <v>350</v>
      </c>
      <c r="H136" s="28">
        <f t="shared" si="37"/>
        <v>450</v>
      </c>
      <c r="I136" s="28">
        <f t="shared" si="37"/>
        <v>405</v>
      </c>
      <c r="J136" s="28">
        <f t="shared" si="37"/>
        <v>360</v>
      </c>
      <c r="K136" s="28">
        <f t="shared" si="37"/>
        <v>315</v>
      </c>
      <c r="L136" s="28">
        <f t="shared" si="37"/>
        <v>400</v>
      </c>
      <c r="M136" s="28">
        <f t="shared" si="37"/>
        <v>360</v>
      </c>
      <c r="N136" s="28">
        <f t="shared" si="37"/>
        <v>320</v>
      </c>
      <c r="O136" s="28">
        <f t="shared" si="37"/>
        <v>280</v>
      </c>
      <c r="P136" s="115"/>
      <c r="Q136" s="121"/>
      <c r="R136" s="117"/>
    </row>
    <row r="137" spans="1:25" s="55" customFormat="1" ht="47.25" customHeight="1" x14ac:dyDescent="0.25">
      <c r="A137" s="23" t="s">
        <v>204</v>
      </c>
      <c r="B137" s="22" t="s">
        <v>71</v>
      </c>
      <c r="C137" s="78" t="s">
        <v>414</v>
      </c>
      <c r="D137" s="114">
        <v>5000</v>
      </c>
      <c r="E137" s="114">
        <f>D137-(D137*10/100)</f>
        <v>4500</v>
      </c>
      <c r="F137" s="114">
        <f>D137-(D137*20/100)</f>
        <v>4000</v>
      </c>
      <c r="G137" s="114">
        <f>D137-(D137*30/100)</f>
        <v>3500</v>
      </c>
      <c r="H137" s="114">
        <f>D137-(D137*20/100)</f>
        <v>4000</v>
      </c>
      <c r="I137" s="114"/>
      <c r="J137" s="114"/>
      <c r="K137" s="114"/>
      <c r="L137" s="114">
        <f>D137-(D137*40/100)</f>
        <v>3000</v>
      </c>
      <c r="M137" s="114"/>
      <c r="N137" s="114"/>
      <c r="O137" s="114"/>
      <c r="P137" s="31" t="s">
        <v>9</v>
      </c>
      <c r="Q137" s="32" t="s">
        <v>55</v>
      </c>
      <c r="R137" s="74" t="s">
        <v>672</v>
      </c>
      <c r="U137" s="137"/>
      <c r="V137" s="137"/>
      <c r="W137" s="137"/>
      <c r="X137" s="137"/>
      <c r="Y137" s="137"/>
    </row>
    <row r="138" spans="1:25" ht="18" customHeight="1" x14ac:dyDescent="0.25">
      <c r="A138" s="118" t="s">
        <v>205</v>
      </c>
      <c r="B138" s="119" t="s">
        <v>11</v>
      </c>
      <c r="C138" s="77" t="s">
        <v>415</v>
      </c>
      <c r="D138" s="26">
        <v>4000</v>
      </c>
      <c r="E138" s="28">
        <f>D138-(D138*10/100)</f>
        <v>3600</v>
      </c>
      <c r="F138" s="28">
        <f>D138-(D138*20/100)</f>
        <v>3200</v>
      </c>
      <c r="G138" s="28">
        <f>D138-(D138*30/100)</f>
        <v>2800</v>
      </c>
      <c r="H138" s="28">
        <f>D138-(D138*10/100)</f>
        <v>3600</v>
      </c>
      <c r="I138" s="28">
        <f>H138-(H138*10/100)</f>
        <v>3240</v>
      </c>
      <c r="J138" s="28">
        <f>H138-(H138*20/100)</f>
        <v>2880</v>
      </c>
      <c r="K138" s="28">
        <f>H138-(H138*30/100)</f>
        <v>2520</v>
      </c>
      <c r="L138" s="28">
        <f>D138-(D138*20/100)</f>
        <v>3200</v>
      </c>
      <c r="M138" s="28">
        <f>L138-(L138*10/100)</f>
        <v>2880</v>
      </c>
      <c r="N138" s="28">
        <f>L138-(L138*20/100)</f>
        <v>2560</v>
      </c>
      <c r="O138" s="28">
        <f>L138-(L138*30/100)</f>
        <v>2240</v>
      </c>
      <c r="P138" s="115" t="s">
        <v>10</v>
      </c>
      <c r="Q138" s="113" t="s">
        <v>55</v>
      </c>
      <c r="R138" s="117" t="s">
        <v>645</v>
      </c>
      <c r="U138" s="137"/>
      <c r="V138" s="137"/>
      <c r="W138" s="137"/>
      <c r="X138" s="137"/>
      <c r="Y138" s="137"/>
    </row>
    <row r="139" spans="1:25" ht="18.75" customHeight="1" x14ac:dyDescent="0.25">
      <c r="A139" s="118"/>
      <c r="B139" s="119"/>
      <c r="C139" s="77" t="s">
        <v>416</v>
      </c>
      <c r="D139" s="28">
        <f>D138*50/100</f>
        <v>2000</v>
      </c>
      <c r="E139" s="28">
        <f>E138*50/100</f>
        <v>1800</v>
      </c>
      <c r="F139" s="28">
        <f>F138*50/100</f>
        <v>1600</v>
      </c>
      <c r="G139" s="28">
        <f>G138*50/100</f>
        <v>1400</v>
      </c>
      <c r="H139" s="28">
        <f t="shared" ref="H139:O139" si="38">H138*50/100</f>
        <v>1800</v>
      </c>
      <c r="I139" s="28">
        <f t="shared" si="38"/>
        <v>1620</v>
      </c>
      <c r="J139" s="28">
        <f t="shared" si="38"/>
        <v>1440</v>
      </c>
      <c r="K139" s="28">
        <f t="shared" si="38"/>
        <v>1260</v>
      </c>
      <c r="L139" s="28">
        <f t="shared" si="38"/>
        <v>1600</v>
      </c>
      <c r="M139" s="28">
        <f t="shared" si="38"/>
        <v>1440</v>
      </c>
      <c r="N139" s="28">
        <f t="shared" si="38"/>
        <v>1280</v>
      </c>
      <c r="O139" s="28">
        <f t="shared" si="38"/>
        <v>1120</v>
      </c>
      <c r="P139" s="115"/>
      <c r="Q139" s="113"/>
      <c r="R139" s="117"/>
    </row>
    <row r="140" spans="1:25" ht="18" customHeight="1" x14ac:dyDescent="0.25">
      <c r="A140" s="118" t="s">
        <v>206</v>
      </c>
      <c r="B140" s="119" t="s">
        <v>92</v>
      </c>
      <c r="C140" s="77" t="s">
        <v>415</v>
      </c>
      <c r="D140" s="26">
        <v>2000</v>
      </c>
      <c r="E140" s="28">
        <f>D140-(D140*10/100)</f>
        <v>1800</v>
      </c>
      <c r="F140" s="28">
        <f>D140-(D140*20/100)</f>
        <v>1600</v>
      </c>
      <c r="G140" s="28">
        <f>D140-(D140*30/100)</f>
        <v>1400</v>
      </c>
      <c r="H140" s="28">
        <f>D140-(D140*10/100)</f>
        <v>1800</v>
      </c>
      <c r="I140" s="28">
        <f>H140-(H140*10/100)</f>
        <v>1620</v>
      </c>
      <c r="J140" s="28">
        <f>H140-(H140*20/100)</f>
        <v>1440</v>
      </c>
      <c r="K140" s="28">
        <f>H140-(H140*30/100)</f>
        <v>1260</v>
      </c>
      <c r="L140" s="28">
        <f>D140-(D140*20/100)</f>
        <v>1600</v>
      </c>
      <c r="M140" s="28">
        <f>L140-(L140*10/100)</f>
        <v>1440</v>
      </c>
      <c r="N140" s="28">
        <f>L140-(L140*20/100)</f>
        <v>1280</v>
      </c>
      <c r="O140" s="28">
        <f>L140-(L140*30/100)</f>
        <v>1120</v>
      </c>
      <c r="P140" s="115" t="s">
        <v>10</v>
      </c>
      <c r="Q140" s="113" t="s">
        <v>55</v>
      </c>
      <c r="R140" s="117" t="s">
        <v>723</v>
      </c>
    </row>
    <row r="141" spans="1:25" ht="18.75" customHeight="1" x14ac:dyDescent="0.25">
      <c r="A141" s="118"/>
      <c r="B141" s="119"/>
      <c r="C141" s="77" t="s">
        <v>416</v>
      </c>
      <c r="D141" s="28">
        <f t="shared" ref="D141:O141" si="39">D140*50/100</f>
        <v>1000</v>
      </c>
      <c r="E141" s="28">
        <f t="shared" si="39"/>
        <v>900</v>
      </c>
      <c r="F141" s="28">
        <f t="shared" si="39"/>
        <v>800</v>
      </c>
      <c r="G141" s="28">
        <f t="shared" si="39"/>
        <v>700</v>
      </c>
      <c r="H141" s="28">
        <f t="shared" si="39"/>
        <v>900</v>
      </c>
      <c r="I141" s="28">
        <f t="shared" si="39"/>
        <v>810</v>
      </c>
      <c r="J141" s="28">
        <f t="shared" si="39"/>
        <v>720</v>
      </c>
      <c r="K141" s="28">
        <f t="shared" si="39"/>
        <v>630</v>
      </c>
      <c r="L141" s="28">
        <f t="shared" si="39"/>
        <v>800</v>
      </c>
      <c r="M141" s="28">
        <f t="shared" si="39"/>
        <v>720</v>
      </c>
      <c r="N141" s="28">
        <f t="shared" si="39"/>
        <v>640</v>
      </c>
      <c r="O141" s="28">
        <f t="shared" si="39"/>
        <v>560</v>
      </c>
      <c r="P141" s="115"/>
      <c r="Q141" s="113"/>
      <c r="R141" s="117"/>
    </row>
    <row r="142" spans="1:25" ht="47.25" customHeight="1" x14ac:dyDescent="0.25">
      <c r="A142" s="23" t="s">
        <v>754</v>
      </c>
      <c r="B142" s="19" t="s">
        <v>48</v>
      </c>
      <c r="C142" s="77" t="s">
        <v>414</v>
      </c>
      <c r="D142" s="116">
        <v>15000</v>
      </c>
      <c r="E142" s="116"/>
      <c r="F142" s="116"/>
      <c r="G142" s="116"/>
      <c r="H142" s="116">
        <f>D142-(D142*20/100)</f>
        <v>12000</v>
      </c>
      <c r="I142" s="116"/>
      <c r="J142" s="116"/>
      <c r="K142" s="116"/>
      <c r="L142" s="116">
        <f>D142-(D142*40/100)</f>
        <v>9000</v>
      </c>
      <c r="M142" s="116"/>
      <c r="N142" s="116"/>
      <c r="O142" s="116"/>
      <c r="P142" s="20" t="s">
        <v>9</v>
      </c>
      <c r="Q142" s="26" t="s">
        <v>69</v>
      </c>
      <c r="R142" s="81" t="s">
        <v>646</v>
      </c>
    </row>
    <row r="143" spans="1:25" x14ac:dyDescent="0.25">
      <c r="C143" s="2"/>
    </row>
    <row r="144" spans="1:25" x14ac:dyDescent="0.25">
      <c r="C144" s="2"/>
    </row>
    <row r="145" spans="3:3" x14ac:dyDescent="0.25">
      <c r="C145" s="2"/>
    </row>
    <row r="146" spans="3:3" x14ac:dyDescent="0.25">
      <c r="C146" s="2"/>
    </row>
    <row r="147" spans="3:3" x14ac:dyDescent="0.25">
      <c r="C147" s="2"/>
    </row>
    <row r="148" spans="3:3" x14ac:dyDescent="0.25">
      <c r="C148" s="2"/>
    </row>
    <row r="149" spans="3:3" x14ac:dyDescent="0.25">
      <c r="C149" s="2"/>
    </row>
    <row r="150" spans="3:3" x14ac:dyDescent="0.25">
      <c r="C150" s="2"/>
    </row>
    <row r="151" spans="3:3" x14ac:dyDescent="0.25">
      <c r="C151" s="2"/>
    </row>
    <row r="152" spans="3:3" x14ac:dyDescent="0.25">
      <c r="C152" s="2"/>
    </row>
    <row r="153" spans="3:3" x14ac:dyDescent="0.25">
      <c r="C153" s="2"/>
    </row>
    <row r="154" spans="3:3" x14ac:dyDescent="0.25">
      <c r="C154" s="2"/>
    </row>
    <row r="155" spans="3:3" x14ac:dyDescent="0.25">
      <c r="C155" s="2"/>
    </row>
    <row r="156" spans="3:3" x14ac:dyDescent="0.25">
      <c r="C156" s="2"/>
    </row>
    <row r="157" spans="3:3" x14ac:dyDescent="0.25">
      <c r="C157" s="2"/>
    </row>
    <row r="158" spans="3:3" x14ac:dyDescent="0.25">
      <c r="C158" s="2"/>
    </row>
    <row r="159" spans="3:3" x14ac:dyDescent="0.25">
      <c r="C159" s="2"/>
    </row>
    <row r="160" spans="3:3" x14ac:dyDescent="0.25">
      <c r="C160" s="2"/>
    </row>
    <row r="161" spans="3:3" x14ac:dyDescent="0.25">
      <c r="C161" s="2"/>
    </row>
    <row r="162" spans="3:3" x14ac:dyDescent="0.25">
      <c r="C162" s="2"/>
    </row>
    <row r="163" spans="3:3" x14ac:dyDescent="0.25">
      <c r="C163" s="2"/>
    </row>
    <row r="164" spans="3:3" x14ac:dyDescent="0.25">
      <c r="C164" s="2"/>
    </row>
    <row r="165" spans="3:3" x14ac:dyDescent="0.25">
      <c r="C165" s="2"/>
    </row>
    <row r="166" spans="3:3" x14ac:dyDescent="0.25">
      <c r="C166" s="2"/>
    </row>
    <row r="167" spans="3:3" x14ac:dyDescent="0.25">
      <c r="C167" s="2"/>
    </row>
    <row r="168" spans="3:3" x14ac:dyDescent="0.25">
      <c r="C168" s="2"/>
    </row>
    <row r="169" spans="3:3" x14ac:dyDescent="0.25">
      <c r="C169" s="2"/>
    </row>
    <row r="170" spans="3:3" x14ac:dyDescent="0.25">
      <c r="C170" s="2"/>
    </row>
    <row r="171" spans="3:3" x14ac:dyDescent="0.25">
      <c r="C171" s="2"/>
    </row>
    <row r="172" spans="3:3" x14ac:dyDescent="0.25">
      <c r="C172" s="2"/>
    </row>
    <row r="173" spans="3:3" x14ac:dyDescent="0.25">
      <c r="C173" s="2"/>
    </row>
    <row r="174" spans="3:3" x14ac:dyDescent="0.25">
      <c r="C174" s="2"/>
    </row>
    <row r="175" spans="3:3" x14ac:dyDescent="0.25">
      <c r="C175" s="2"/>
    </row>
    <row r="176" spans="3:3" x14ac:dyDescent="0.25">
      <c r="C176" s="2"/>
    </row>
    <row r="177" spans="3:3" x14ac:dyDescent="0.25">
      <c r="C177" s="2"/>
    </row>
    <row r="178" spans="3:3" x14ac:dyDescent="0.25">
      <c r="C178" s="2"/>
    </row>
    <row r="179" spans="3:3" x14ac:dyDescent="0.25">
      <c r="C179" s="2"/>
    </row>
    <row r="180" spans="3:3" x14ac:dyDescent="0.25">
      <c r="C180" s="2"/>
    </row>
    <row r="181" spans="3:3" x14ac:dyDescent="0.25">
      <c r="C181" s="2"/>
    </row>
    <row r="182" spans="3:3" x14ac:dyDescent="0.25">
      <c r="C182" s="2"/>
    </row>
    <row r="183" spans="3:3" x14ac:dyDescent="0.25">
      <c r="C183" s="2"/>
    </row>
    <row r="184" spans="3:3" x14ac:dyDescent="0.25">
      <c r="C184" s="2"/>
    </row>
    <row r="185" spans="3:3" x14ac:dyDescent="0.25">
      <c r="C185" s="2"/>
    </row>
    <row r="186" spans="3:3" x14ac:dyDescent="0.25">
      <c r="C186" s="2"/>
    </row>
    <row r="187" spans="3:3" x14ac:dyDescent="0.25">
      <c r="C187" s="2"/>
    </row>
    <row r="188" spans="3:3" x14ac:dyDescent="0.25">
      <c r="C188" s="2"/>
    </row>
    <row r="189" spans="3:3" x14ac:dyDescent="0.25">
      <c r="C189" s="2"/>
    </row>
    <row r="190" spans="3:3" x14ac:dyDescent="0.25">
      <c r="C190" s="2"/>
    </row>
    <row r="191" spans="3:3" x14ac:dyDescent="0.25">
      <c r="C191" s="2"/>
    </row>
    <row r="192" spans="3:3" x14ac:dyDescent="0.25">
      <c r="C192" s="2"/>
    </row>
    <row r="193" spans="3:3" x14ac:dyDescent="0.25">
      <c r="C193" s="2"/>
    </row>
    <row r="194" spans="3:3" x14ac:dyDescent="0.25">
      <c r="C194" s="2"/>
    </row>
    <row r="195" spans="3:3" x14ac:dyDescent="0.25">
      <c r="C195" s="2"/>
    </row>
    <row r="196" spans="3:3" x14ac:dyDescent="0.25">
      <c r="C196" s="2"/>
    </row>
    <row r="197" spans="3:3" x14ac:dyDescent="0.25">
      <c r="C197" s="2"/>
    </row>
    <row r="198" spans="3:3" x14ac:dyDescent="0.25">
      <c r="C198" s="2"/>
    </row>
    <row r="199" spans="3:3" x14ac:dyDescent="0.25">
      <c r="C199" s="2"/>
    </row>
    <row r="200" spans="3:3" x14ac:dyDescent="0.25">
      <c r="C200" s="2"/>
    </row>
    <row r="201" spans="3:3" x14ac:dyDescent="0.25">
      <c r="C201" s="2"/>
    </row>
    <row r="202" spans="3:3" x14ac:dyDescent="0.25">
      <c r="C202" s="2"/>
    </row>
    <row r="203" spans="3:3" x14ac:dyDescent="0.25">
      <c r="C203" s="2"/>
    </row>
    <row r="204" spans="3:3" x14ac:dyDescent="0.25">
      <c r="C204" s="2"/>
    </row>
    <row r="205" spans="3:3" x14ac:dyDescent="0.25">
      <c r="C205" s="2"/>
    </row>
    <row r="206" spans="3:3" x14ac:dyDescent="0.25">
      <c r="C206" s="2"/>
    </row>
    <row r="207" spans="3:3" x14ac:dyDescent="0.25">
      <c r="C207" s="2"/>
    </row>
    <row r="208" spans="3:3" x14ac:dyDescent="0.25">
      <c r="C208" s="2"/>
    </row>
    <row r="209" spans="3:3" x14ac:dyDescent="0.25">
      <c r="C209" s="2"/>
    </row>
    <row r="210" spans="3:3" x14ac:dyDescent="0.25">
      <c r="C210" s="2"/>
    </row>
    <row r="211" spans="3:3" x14ac:dyDescent="0.25">
      <c r="C211" s="2"/>
    </row>
    <row r="212" spans="3:3" x14ac:dyDescent="0.25">
      <c r="C212" s="2"/>
    </row>
    <row r="213" spans="3:3" x14ac:dyDescent="0.25">
      <c r="C213" s="2"/>
    </row>
    <row r="214" spans="3:3" x14ac:dyDescent="0.25">
      <c r="C214" s="2"/>
    </row>
    <row r="215" spans="3:3" x14ac:dyDescent="0.25">
      <c r="C215" s="2"/>
    </row>
    <row r="216" spans="3:3" x14ac:dyDescent="0.25">
      <c r="C216" s="2"/>
    </row>
    <row r="217" spans="3:3" x14ac:dyDescent="0.25">
      <c r="C217" s="2"/>
    </row>
    <row r="218" spans="3:3" x14ac:dyDescent="0.25">
      <c r="C218" s="2"/>
    </row>
    <row r="219" spans="3:3" x14ac:dyDescent="0.25">
      <c r="C219" s="2"/>
    </row>
    <row r="220" spans="3:3" x14ac:dyDescent="0.25">
      <c r="C220" s="2"/>
    </row>
    <row r="221" spans="3:3" x14ac:dyDescent="0.25">
      <c r="C221" s="2"/>
    </row>
    <row r="222" spans="3:3" x14ac:dyDescent="0.25">
      <c r="C222" s="2"/>
    </row>
    <row r="223" spans="3:3" x14ac:dyDescent="0.25">
      <c r="C223" s="2"/>
    </row>
    <row r="224" spans="3:3" x14ac:dyDescent="0.25">
      <c r="C224" s="2"/>
    </row>
    <row r="225" spans="3:3" x14ac:dyDescent="0.25">
      <c r="C225" s="2"/>
    </row>
    <row r="226" spans="3:3" x14ac:dyDescent="0.25">
      <c r="C226" s="2"/>
    </row>
    <row r="227" spans="3:3" x14ac:dyDescent="0.25">
      <c r="C227" s="2"/>
    </row>
    <row r="228" spans="3:3" x14ac:dyDescent="0.25">
      <c r="C228" s="2"/>
    </row>
    <row r="229" spans="3:3" x14ac:dyDescent="0.25">
      <c r="C229" s="2"/>
    </row>
    <row r="230" spans="3:3" x14ac:dyDescent="0.25">
      <c r="C230" s="2"/>
    </row>
    <row r="231" spans="3:3" x14ac:dyDescent="0.25">
      <c r="C231" s="2"/>
    </row>
    <row r="232" spans="3:3" x14ac:dyDescent="0.25">
      <c r="C232" s="2"/>
    </row>
    <row r="233" spans="3:3" x14ac:dyDescent="0.25">
      <c r="C233" s="2"/>
    </row>
    <row r="234" spans="3:3" x14ac:dyDescent="0.25">
      <c r="C234" s="2"/>
    </row>
    <row r="235" spans="3:3" x14ac:dyDescent="0.25">
      <c r="C235" s="2"/>
    </row>
    <row r="236" spans="3:3" x14ac:dyDescent="0.25">
      <c r="C236" s="2"/>
    </row>
    <row r="237" spans="3:3" x14ac:dyDescent="0.25">
      <c r="C237" s="2"/>
    </row>
    <row r="238" spans="3:3" x14ac:dyDescent="0.25">
      <c r="C238" s="2"/>
    </row>
    <row r="239" spans="3:3" x14ac:dyDescent="0.25">
      <c r="C239" s="2"/>
    </row>
    <row r="240" spans="3:3" x14ac:dyDescent="0.25">
      <c r="C240" s="2"/>
    </row>
    <row r="241" spans="3:3" x14ac:dyDescent="0.25">
      <c r="C241" s="2"/>
    </row>
    <row r="242" spans="3:3" x14ac:dyDescent="0.25">
      <c r="C242" s="2"/>
    </row>
    <row r="243" spans="3:3" x14ac:dyDescent="0.25">
      <c r="C243" s="2"/>
    </row>
    <row r="244" spans="3:3" x14ac:dyDescent="0.25">
      <c r="C244" s="2"/>
    </row>
    <row r="245" spans="3:3" x14ac:dyDescent="0.25">
      <c r="C245" s="2"/>
    </row>
    <row r="246" spans="3:3" x14ac:dyDescent="0.25">
      <c r="C246" s="2"/>
    </row>
    <row r="247" spans="3:3" x14ac:dyDescent="0.25">
      <c r="C247" s="2"/>
    </row>
    <row r="248" spans="3:3" x14ac:dyDescent="0.25">
      <c r="C248" s="2"/>
    </row>
    <row r="249" spans="3:3" x14ac:dyDescent="0.25">
      <c r="C249" s="2"/>
    </row>
    <row r="250" spans="3:3" x14ac:dyDescent="0.25">
      <c r="C250" s="2"/>
    </row>
    <row r="251" spans="3:3" x14ac:dyDescent="0.25">
      <c r="C251" s="2"/>
    </row>
    <row r="252" spans="3:3" x14ac:dyDescent="0.25">
      <c r="C252" s="2"/>
    </row>
    <row r="253" spans="3:3" x14ac:dyDescent="0.25">
      <c r="C253" s="2"/>
    </row>
    <row r="254" spans="3:3" x14ac:dyDescent="0.25">
      <c r="C254" s="2"/>
    </row>
    <row r="255" spans="3:3" x14ac:dyDescent="0.25">
      <c r="C255" s="2"/>
    </row>
    <row r="256" spans="3:3" x14ac:dyDescent="0.25">
      <c r="C256" s="2"/>
    </row>
    <row r="257" spans="3:3" x14ac:dyDescent="0.25">
      <c r="C257" s="2"/>
    </row>
    <row r="258" spans="3:3" x14ac:dyDescent="0.25">
      <c r="C258" s="2"/>
    </row>
    <row r="259" spans="3:3" x14ac:dyDescent="0.25">
      <c r="C259" s="2"/>
    </row>
    <row r="260" spans="3:3" x14ac:dyDescent="0.25">
      <c r="C260" s="2"/>
    </row>
    <row r="261" spans="3:3" x14ac:dyDescent="0.25">
      <c r="C261" s="2"/>
    </row>
    <row r="262" spans="3:3" x14ac:dyDescent="0.25">
      <c r="C262" s="2"/>
    </row>
    <row r="263" spans="3:3" x14ac:dyDescent="0.25">
      <c r="C263" s="2"/>
    </row>
    <row r="264" spans="3:3" x14ac:dyDescent="0.25">
      <c r="C264" s="2"/>
    </row>
    <row r="265" spans="3:3" x14ac:dyDescent="0.25">
      <c r="C265" s="2"/>
    </row>
    <row r="266" spans="3:3" x14ac:dyDescent="0.25">
      <c r="C266" s="2"/>
    </row>
    <row r="267" spans="3:3" x14ac:dyDescent="0.25">
      <c r="C267" s="2"/>
    </row>
    <row r="268" spans="3:3" x14ac:dyDescent="0.25">
      <c r="C268" s="2"/>
    </row>
    <row r="269" spans="3:3" x14ac:dyDescent="0.25">
      <c r="C269" s="2"/>
    </row>
    <row r="270" spans="3:3" x14ac:dyDescent="0.25">
      <c r="C270" s="2"/>
    </row>
    <row r="271" spans="3:3" x14ac:dyDescent="0.25">
      <c r="C271" s="2"/>
    </row>
    <row r="272" spans="3:3" x14ac:dyDescent="0.25">
      <c r="C272" s="2"/>
    </row>
    <row r="273" spans="3:3" x14ac:dyDescent="0.25">
      <c r="C273" s="2"/>
    </row>
    <row r="274" spans="3:3" x14ac:dyDescent="0.25">
      <c r="C274" s="2"/>
    </row>
    <row r="275" spans="3:3" x14ac:dyDescent="0.25">
      <c r="C275" s="2"/>
    </row>
    <row r="276" spans="3:3" x14ac:dyDescent="0.25">
      <c r="C276" s="2"/>
    </row>
    <row r="277" spans="3:3" x14ac:dyDescent="0.25">
      <c r="C277" s="2"/>
    </row>
    <row r="278" spans="3:3" x14ac:dyDescent="0.25">
      <c r="C278" s="2"/>
    </row>
    <row r="279" spans="3:3" x14ac:dyDescent="0.25">
      <c r="C279" s="2"/>
    </row>
    <row r="280" spans="3:3" x14ac:dyDescent="0.25">
      <c r="C280" s="2"/>
    </row>
    <row r="281" spans="3:3" x14ac:dyDescent="0.25">
      <c r="C281" s="2"/>
    </row>
    <row r="282" spans="3:3" x14ac:dyDescent="0.25">
      <c r="C282" s="2"/>
    </row>
    <row r="283" spans="3:3" x14ac:dyDescent="0.25">
      <c r="C283" s="2"/>
    </row>
    <row r="284" spans="3:3" x14ac:dyDescent="0.25">
      <c r="C284" s="2"/>
    </row>
    <row r="285" spans="3:3" x14ac:dyDescent="0.25">
      <c r="C285" s="2"/>
    </row>
    <row r="286" spans="3:3" x14ac:dyDescent="0.25">
      <c r="C286" s="2"/>
    </row>
    <row r="287" spans="3:3" x14ac:dyDescent="0.25">
      <c r="C287" s="2"/>
    </row>
    <row r="288" spans="3:3" x14ac:dyDescent="0.25">
      <c r="C288" s="2"/>
    </row>
    <row r="289" spans="3:3" x14ac:dyDescent="0.25">
      <c r="C289" s="2"/>
    </row>
    <row r="290" spans="3:3" x14ac:dyDescent="0.25">
      <c r="C290" s="2"/>
    </row>
    <row r="291" spans="3:3" x14ac:dyDescent="0.25">
      <c r="C291" s="2"/>
    </row>
    <row r="292" spans="3:3" x14ac:dyDescent="0.25">
      <c r="C292" s="2"/>
    </row>
    <row r="293" spans="3:3" x14ac:dyDescent="0.25">
      <c r="C293" s="2"/>
    </row>
    <row r="294" spans="3:3" x14ac:dyDescent="0.25">
      <c r="C294" s="2"/>
    </row>
    <row r="295" spans="3:3" x14ac:dyDescent="0.25">
      <c r="C295" s="2"/>
    </row>
    <row r="296" spans="3:3" x14ac:dyDescent="0.25">
      <c r="C296" s="2"/>
    </row>
    <row r="297" spans="3:3" x14ac:dyDescent="0.25">
      <c r="C297" s="2"/>
    </row>
    <row r="298" spans="3:3" x14ac:dyDescent="0.25">
      <c r="C298" s="2"/>
    </row>
    <row r="299" spans="3:3" x14ac:dyDescent="0.25">
      <c r="C299" s="2"/>
    </row>
    <row r="300" spans="3:3" x14ac:dyDescent="0.25">
      <c r="C300" s="2"/>
    </row>
    <row r="301" spans="3:3" x14ac:dyDescent="0.25">
      <c r="C301" s="2"/>
    </row>
    <row r="302" spans="3:3" x14ac:dyDescent="0.25">
      <c r="C302" s="2"/>
    </row>
    <row r="303" spans="3:3" x14ac:dyDescent="0.25">
      <c r="C303" s="2"/>
    </row>
    <row r="304" spans="3:3" x14ac:dyDescent="0.25">
      <c r="C304" s="2"/>
    </row>
    <row r="305" spans="3:3" x14ac:dyDescent="0.25">
      <c r="C305" s="2"/>
    </row>
    <row r="306" spans="3:3" x14ac:dyDescent="0.25">
      <c r="C306" s="2"/>
    </row>
    <row r="307" spans="3:3" x14ac:dyDescent="0.25">
      <c r="C307" s="2"/>
    </row>
    <row r="308" spans="3:3" x14ac:dyDescent="0.25">
      <c r="C308" s="2"/>
    </row>
    <row r="309" spans="3:3" x14ac:dyDescent="0.25">
      <c r="C309" s="2"/>
    </row>
    <row r="310" spans="3:3" x14ac:dyDescent="0.25">
      <c r="C310" s="2"/>
    </row>
    <row r="311" spans="3:3" x14ac:dyDescent="0.25">
      <c r="C311" s="2"/>
    </row>
    <row r="312" spans="3:3" x14ac:dyDescent="0.25">
      <c r="C312" s="2"/>
    </row>
    <row r="313" spans="3:3" x14ac:dyDescent="0.25">
      <c r="C313" s="2"/>
    </row>
    <row r="314" spans="3:3" x14ac:dyDescent="0.25">
      <c r="C314" s="2"/>
    </row>
    <row r="315" spans="3:3" x14ac:dyDescent="0.25">
      <c r="C315" s="2"/>
    </row>
    <row r="316" spans="3:3" x14ac:dyDescent="0.25">
      <c r="C316" s="2"/>
    </row>
    <row r="317" spans="3:3" x14ac:dyDescent="0.25">
      <c r="C317" s="2"/>
    </row>
    <row r="318" spans="3:3" x14ac:dyDescent="0.25">
      <c r="C318" s="2"/>
    </row>
    <row r="319" spans="3:3" x14ac:dyDescent="0.25">
      <c r="C319" s="2"/>
    </row>
    <row r="320" spans="3:3" x14ac:dyDescent="0.25">
      <c r="C320" s="2"/>
    </row>
    <row r="321" spans="3:3" x14ac:dyDescent="0.25">
      <c r="C321" s="2"/>
    </row>
    <row r="322" spans="3:3" x14ac:dyDescent="0.25">
      <c r="C322" s="2"/>
    </row>
    <row r="323" spans="3:3" x14ac:dyDescent="0.25">
      <c r="C323" s="2"/>
    </row>
    <row r="324" spans="3:3" x14ac:dyDescent="0.25">
      <c r="C324" s="2"/>
    </row>
    <row r="325" spans="3:3" x14ac:dyDescent="0.25">
      <c r="C325" s="2"/>
    </row>
    <row r="326" spans="3:3" x14ac:dyDescent="0.25">
      <c r="C326" s="2"/>
    </row>
    <row r="327" spans="3:3" x14ac:dyDescent="0.25">
      <c r="C327" s="2"/>
    </row>
    <row r="328" spans="3:3" x14ac:dyDescent="0.25">
      <c r="C328" s="2"/>
    </row>
    <row r="329" spans="3:3" x14ac:dyDescent="0.25">
      <c r="C329" s="2"/>
    </row>
    <row r="330" spans="3:3" x14ac:dyDescent="0.25">
      <c r="C330" s="2"/>
    </row>
    <row r="331" spans="3:3" x14ac:dyDescent="0.25">
      <c r="C331" s="2"/>
    </row>
    <row r="332" spans="3:3" x14ac:dyDescent="0.25">
      <c r="C332" s="2"/>
    </row>
    <row r="333" spans="3:3" x14ac:dyDescent="0.25">
      <c r="C333" s="2"/>
    </row>
    <row r="334" spans="3:3" x14ac:dyDescent="0.25">
      <c r="C334" s="2"/>
    </row>
    <row r="335" spans="3:3" x14ac:dyDescent="0.25">
      <c r="C335" s="2"/>
    </row>
    <row r="336" spans="3:3" x14ac:dyDescent="0.25">
      <c r="C336" s="2"/>
    </row>
    <row r="337" spans="3:3" x14ac:dyDescent="0.25">
      <c r="C337" s="2"/>
    </row>
    <row r="338" spans="3:3" x14ac:dyDescent="0.25">
      <c r="C338" s="2"/>
    </row>
    <row r="339" spans="3:3" x14ac:dyDescent="0.25">
      <c r="C339" s="2"/>
    </row>
    <row r="340" spans="3:3" x14ac:dyDescent="0.25">
      <c r="C340" s="2"/>
    </row>
    <row r="341" spans="3:3" x14ac:dyDescent="0.25">
      <c r="C341" s="2"/>
    </row>
    <row r="342" spans="3:3" x14ac:dyDescent="0.25">
      <c r="C342" s="2"/>
    </row>
    <row r="343" spans="3:3" x14ac:dyDescent="0.25">
      <c r="C343" s="2"/>
    </row>
    <row r="344" spans="3:3" x14ac:dyDescent="0.25">
      <c r="C344" s="2"/>
    </row>
    <row r="345" spans="3:3" x14ac:dyDescent="0.25">
      <c r="C345" s="2"/>
    </row>
    <row r="346" spans="3:3" x14ac:dyDescent="0.25">
      <c r="C346" s="2"/>
    </row>
    <row r="347" spans="3:3" x14ac:dyDescent="0.25">
      <c r="C347" s="2"/>
    </row>
    <row r="348" spans="3:3" x14ac:dyDescent="0.25">
      <c r="C348" s="2"/>
    </row>
    <row r="349" spans="3:3" x14ac:dyDescent="0.25">
      <c r="C349" s="2"/>
    </row>
    <row r="350" spans="3:3" x14ac:dyDescent="0.25">
      <c r="C350" s="2"/>
    </row>
    <row r="351" spans="3:3" x14ac:dyDescent="0.25">
      <c r="C351" s="2"/>
    </row>
    <row r="352" spans="3:3" x14ac:dyDescent="0.25">
      <c r="C352" s="2"/>
    </row>
    <row r="353" spans="3:3" x14ac:dyDescent="0.25">
      <c r="C353" s="2"/>
    </row>
    <row r="354" spans="3:3" x14ac:dyDescent="0.25">
      <c r="C354" s="2"/>
    </row>
    <row r="355" spans="3:3" x14ac:dyDescent="0.25">
      <c r="C355" s="2"/>
    </row>
    <row r="356" spans="3:3" x14ac:dyDescent="0.25">
      <c r="C356" s="2"/>
    </row>
    <row r="357" spans="3:3" x14ac:dyDescent="0.25">
      <c r="C357" s="2"/>
    </row>
    <row r="358" spans="3:3" x14ac:dyDescent="0.25">
      <c r="C358" s="2"/>
    </row>
    <row r="359" spans="3:3" x14ac:dyDescent="0.25">
      <c r="C359" s="2"/>
    </row>
    <row r="360" spans="3:3" x14ac:dyDescent="0.25">
      <c r="C360" s="2"/>
    </row>
    <row r="361" spans="3:3" x14ac:dyDescent="0.25">
      <c r="C361" s="2"/>
    </row>
    <row r="362" spans="3:3" x14ac:dyDescent="0.25">
      <c r="C362" s="2"/>
    </row>
    <row r="363" spans="3:3" x14ac:dyDescent="0.25">
      <c r="C363" s="2"/>
    </row>
    <row r="364" spans="3:3" x14ac:dyDescent="0.25">
      <c r="C364" s="2"/>
    </row>
    <row r="365" spans="3:3" x14ac:dyDescent="0.25">
      <c r="C365" s="2"/>
    </row>
    <row r="366" spans="3:3" x14ac:dyDescent="0.25">
      <c r="C366" s="2"/>
    </row>
    <row r="367" spans="3:3" x14ac:dyDescent="0.25">
      <c r="C367" s="2"/>
    </row>
    <row r="368" spans="3:3" x14ac:dyDescent="0.25">
      <c r="C368" s="2"/>
    </row>
    <row r="369" spans="3:3" x14ac:dyDescent="0.25">
      <c r="C369" s="2"/>
    </row>
    <row r="370" spans="3:3" x14ac:dyDescent="0.25">
      <c r="C370" s="2"/>
    </row>
    <row r="371" spans="3:3" x14ac:dyDescent="0.25">
      <c r="C371" s="2"/>
    </row>
    <row r="372" spans="3:3" x14ac:dyDescent="0.25">
      <c r="C372" s="2"/>
    </row>
    <row r="373" spans="3:3" x14ac:dyDescent="0.25">
      <c r="C373" s="2"/>
    </row>
    <row r="374" spans="3:3" x14ac:dyDescent="0.25">
      <c r="C374" s="2"/>
    </row>
    <row r="375" spans="3:3" x14ac:dyDescent="0.25">
      <c r="C375" s="2"/>
    </row>
    <row r="376" spans="3:3" x14ac:dyDescent="0.25">
      <c r="C376" s="2"/>
    </row>
    <row r="377" spans="3:3" x14ac:dyDescent="0.25">
      <c r="C377" s="2"/>
    </row>
    <row r="378" spans="3:3" x14ac:dyDescent="0.25">
      <c r="C378" s="2"/>
    </row>
    <row r="379" spans="3:3" x14ac:dyDescent="0.25">
      <c r="C379" s="2"/>
    </row>
    <row r="380" spans="3:3" x14ac:dyDescent="0.25">
      <c r="C380" s="2"/>
    </row>
    <row r="381" spans="3:3" x14ac:dyDescent="0.25">
      <c r="C381" s="2"/>
    </row>
    <row r="382" spans="3:3" x14ac:dyDescent="0.25">
      <c r="C382" s="2"/>
    </row>
    <row r="383" spans="3:3" x14ac:dyDescent="0.25">
      <c r="C383" s="2"/>
    </row>
    <row r="384" spans="3:3" x14ac:dyDescent="0.25">
      <c r="C384" s="2"/>
    </row>
    <row r="385" spans="3:3" x14ac:dyDescent="0.25">
      <c r="C385" s="2"/>
    </row>
    <row r="386" spans="3:3" x14ac:dyDescent="0.25">
      <c r="C386" s="2"/>
    </row>
    <row r="387" spans="3:3" x14ac:dyDescent="0.25">
      <c r="C387" s="2"/>
    </row>
    <row r="388" spans="3:3" x14ac:dyDescent="0.25">
      <c r="C388" s="2"/>
    </row>
    <row r="389" spans="3:3" x14ac:dyDescent="0.25">
      <c r="C389" s="2"/>
    </row>
    <row r="390" spans="3:3" x14ac:dyDescent="0.25">
      <c r="C390" s="2"/>
    </row>
    <row r="391" spans="3:3" x14ac:dyDescent="0.25">
      <c r="C391" s="2"/>
    </row>
    <row r="392" spans="3:3" x14ac:dyDescent="0.25">
      <c r="C392" s="2"/>
    </row>
    <row r="393" spans="3:3" x14ac:dyDescent="0.25">
      <c r="C393" s="2"/>
    </row>
    <row r="394" spans="3:3" x14ac:dyDescent="0.25">
      <c r="C394" s="2"/>
    </row>
    <row r="395" spans="3:3" x14ac:dyDescent="0.25">
      <c r="C395" s="2"/>
    </row>
    <row r="396" spans="3:3" x14ac:dyDescent="0.25">
      <c r="C396" s="2"/>
    </row>
    <row r="397" spans="3:3" x14ac:dyDescent="0.25">
      <c r="C397" s="2"/>
    </row>
    <row r="398" spans="3:3" x14ac:dyDescent="0.25">
      <c r="C398" s="2"/>
    </row>
    <row r="399" spans="3:3" x14ac:dyDescent="0.25">
      <c r="C399" s="2"/>
    </row>
    <row r="400" spans="3:3" x14ac:dyDescent="0.25">
      <c r="C400" s="2"/>
    </row>
    <row r="401" spans="3:3" x14ac:dyDescent="0.25">
      <c r="C401" s="2"/>
    </row>
    <row r="402" spans="3:3" x14ac:dyDescent="0.25">
      <c r="C402" s="2"/>
    </row>
    <row r="403" spans="3:3" x14ac:dyDescent="0.25">
      <c r="C403" s="2"/>
    </row>
    <row r="404" spans="3:3" x14ac:dyDescent="0.25">
      <c r="C404" s="2"/>
    </row>
    <row r="405" spans="3:3" x14ac:dyDescent="0.25">
      <c r="C405" s="2"/>
    </row>
    <row r="406" spans="3:3" x14ac:dyDescent="0.25">
      <c r="C406" s="2"/>
    </row>
    <row r="407" spans="3:3" x14ac:dyDescent="0.25">
      <c r="C407" s="2"/>
    </row>
    <row r="408" spans="3:3" x14ac:dyDescent="0.25">
      <c r="C408" s="2"/>
    </row>
    <row r="409" spans="3:3" x14ac:dyDescent="0.25">
      <c r="C409" s="2"/>
    </row>
    <row r="410" spans="3:3" x14ac:dyDescent="0.25">
      <c r="C410" s="2"/>
    </row>
    <row r="411" spans="3:3" x14ac:dyDescent="0.25">
      <c r="C411" s="2"/>
    </row>
    <row r="412" spans="3:3" x14ac:dyDescent="0.25">
      <c r="C412" s="2"/>
    </row>
    <row r="413" spans="3:3" x14ac:dyDescent="0.25">
      <c r="C413" s="2"/>
    </row>
    <row r="414" spans="3:3" x14ac:dyDescent="0.25">
      <c r="C414" s="2"/>
    </row>
    <row r="415" spans="3:3" x14ac:dyDescent="0.25">
      <c r="C415" s="2"/>
    </row>
    <row r="416" spans="3:3" x14ac:dyDescent="0.25">
      <c r="C416" s="2"/>
    </row>
    <row r="417" spans="3:3" x14ac:dyDescent="0.25">
      <c r="C417" s="2"/>
    </row>
    <row r="418" spans="3:3" x14ac:dyDescent="0.25">
      <c r="C418" s="2"/>
    </row>
    <row r="419" spans="3:3" x14ac:dyDescent="0.25">
      <c r="C419" s="2"/>
    </row>
    <row r="420" spans="3:3" x14ac:dyDescent="0.25">
      <c r="C420" s="2"/>
    </row>
    <row r="421" spans="3:3" x14ac:dyDescent="0.25">
      <c r="C421" s="2"/>
    </row>
    <row r="422" spans="3:3" x14ac:dyDescent="0.25">
      <c r="C422" s="2"/>
    </row>
    <row r="423" spans="3:3" x14ac:dyDescent="0.25">
      <c r="C423" s="2"/>
    </row>
    <row r="424" spans="3:3" x14ac:dyDescent="0.25">
      <c r="C424" s="2"/>
    </row>
    <row r="425" spans="3:3" x14ac:dyDescent="0.25">
      <c r="C425" s="2"/>
    </row>
    <row r="426" spans="3:3" x14ac:dyDescent="0.25">
      <c r="C426" s="2"/>
    </row>
    <row r="427" spans="3:3" x14ac:dyDescent="0.25">
      <c r="C427" s="2"/>
    </row>
    <row r="428" spans="3:3" x14ac:dyDescent="0.25">
      <c r="C428" s="2"/>
    </row>
    <row r="429" spans="3:3" x14ac:dyDescent="0.25">
      <c r="C429" s="2"/>
    </row>
    <row r="430" spans="3:3" x14ac:dyDescent="0.25">
      <c r="C430" s="2"/>
    </row>
    <row r="431" spans="3:3" x14ac:dyDescent="0.25">
      <c r="C431" s="2"/>
    </row>
    <row r="432" spans="3:3" x14ac:dyDescent="0.25">
      <c r="C432" s="2"/>
    </row>
    <row r="433" spans="3:3" x14ac:dyDescent="0.25">
      <c r="C433" s="2"/>
    </row>
    <row r="434" spans="3:3" x14ac:dyDescent="0.25">
      <c r="C434" s="2"/>
    </row>
    <row r="435" spans="3:3" x14ac:dyDescent="0.25">
      <c r="C435" s="2"/>
    </row>
    <row r="436" spans="3:3" x14ac:dyDescent="0.25">
      <c r="C436" s="2"/>
    </row>
    <row r="437" spans="3:3" x14ac:dyDescent="0.25">
      <c r="C437" s="2"/>
    </row>
    <row r="438" spans="3:3" x14ac:dyDescent="0.25">
      <c r="C438" s="2"/>
    </row>
    <row r="439" spans="3:3" x14ac:dyDescent="0.25">
      <c r="C439" s="2"/>
    </row>
    <row r="440" spans="3:3" x14ac:dyDescent="0.25">
      <c r="C440" s="2"/>
    </row>
    <row r="441" spans="3:3" x14ac:dyDescent="0.25">
      <c r="C441" s="2"/>
    </row>
    <row r="442" spans="3:3" x14ac:dyDescent="0.25">
      <c r="C442" s="2"/>
    </row>
    <row r="443" spans="3:3" x14ac:dyDescent="0.25">
      <c r="C443" s="2"/>
    </row>
    <row r="444" spans="3:3" x14ac:dyDescent="0.25">
      <c r="C444" s="2"/>
    </row>
    <row r="445" spans="3:3" x14ac:dyDescent="0.25">
      <c r="C445" s="2"/>
    </row>
    <row r="446" spans="3:3" x14ac:dyDescent="0.25">
      <c r="C446" s="2"/>
    </row>
    <row r="447" spans="3:3" x14ac:dyDescent="0.25">
      <c r="C447" s="2"/>
    </row>
    <row r="448" spans="3:3" x14ac:dyDescent="0.25">
      <c r="C448" s="2"/>
    </row>
    <row r="449" spans="3:3" x14ac:dyDescent="0.25">
      <c r="C449" s="2"/>
    </row>
    <row r="450" spans="3:3" x14ac:dyDescent="0.25">
      <c r="C450" s="2"/>
    </row>
    <row r="451" spans="3:3" x14ac:dyDescent="0.25">
      <c r="C451" s="2"/>
    </row>
    <row r="452" spans="3:3" x14ac:dyDescent="0.25">
      <c r="C452" s="2"/>
    </row>
    <row r="453" spans="3:3" x14ac:dyDescent="0.25">
      <c r="C453" s="2"/>
    </row>
    <row r="454" spans="3:3" x14ac:dyDescent="0.25">
      <c r="C454" s="2"/>
    </row>
    <row r="455" spans="3:3" x14ac:dyDescent="0.25">
      <c r="C455" s="2"/>
    </row>
    <row r="456" spans="3:3" x14ac:dyDescent="0.25">
      <c r="C456" s="2"/>
    </row>
    <row r="457" spans="3:3" x14ac:dyDescent="0.25">
      <c r="C457" s="2"/>
    </row>
    <row r="458" spans="3:3" x14ac:dyDescent="0.25">
      <c r="C458" s="2"/>
    </row>
    <row r="459" spans="3:3" x14ac:dyDescent="0.25">
      <c r="C459" s="2"/>
    </row>
    <row r="460" spans="3:3" x14ac:dyDescent="0.25">
      <c r="C460" s="2"/>
    </row>
    <row r="461" spans="3:3" x14ac:dyDescent="0.25">
      <c r="C461" s="2"/>
    </row>
    <row r="462" spans="3:3" x14ac:dyDescent="0.25">
      <c r="C462" s="2"/>
    </row>
    <row r="463" spans="3:3" x14ac:dyDescent="0.25">
      <c r="C463" s="2"/>
    </row>
    <row r="464" spans="3:3" x14ac:dyDescent="0.25">
      <c r="C464" s="2"/>
    </row>
    <row r="465" spans="3:3" x14ac:dyDescent="0.25">
      <c r="C465" s="2"/>
    </row>
    <row r="466" spans="3:3" x14ac:dyDescent="0.25">
      <c r="C466" s="2"/>
    </row>
    <row r="467" spans="3:3" x14ac:dyDescent="0.25">
      <c r="C467" s="2"/>
    </row>
    <row r="468" spans="3:3" x14ac:dyDescent="0.25">
      <c r="C468" s="2"/>
    </row>
    <row r="469" spans="3:3" x14ac:dyDescent="0.25">
      <c r="C469" s="2"/>
    </row>
    <row r="470" spans="3:3" x14ac:dyDescent="0.25">
      <c r="C470" s="2"/>
    </row>
    <row r="471" spans="3:3" x14ac:dyDescent="0.25">
      <c r="C471" s="2"/>
    </row>
    <row r="472" spans="3:3" x14ac:dyDescent="0.25">
      <c r="C472" s="2"/>
    </row>
    <row r="473" spans="3:3" x14ac:dyDescent="0.25">
      <c r="C473" s="2"/>
    </row>
    <row r="474" spans="3:3" x14ac:dyDescent="0.25">
      <c r="C474" s="2"/>
    </row>
    <row r="475" spans="3:3" x14ac:dyDescent="0.25">
      <c r="C475" s="2"/>
    </row>
    <row r="476" spans="3:3" x14ac:dyDescent="0.25">
      <c r="C476" s="2"/>
    </row>
    <row r="477" spans="3:3" x14ac:dyDescent="0.25">
      <c r="C477" s="2"/>
    </row>
    <row r="478" spans="3:3" x14ac:dyDescent="0.25">
      <c r="C478" s="2"/>
    </row>
    <row r="479" spans="3:3" x14ac:dyDescent="0.25">
      <c r="C479" s="2"/>
    </row>
    <row r="480" spans="3:3" x14ac:dyDescent="0.25">
      <c r="C480" s="2"/>
    </row>
    <row r="481" spans="3:3" x14ac:dyDescent="0.25">
      <c r="C481" s="2"/>
    </row>
    <row r="482" spans="3:3" x14ac:dyDescent="0.25">
      <c r="C482" s="2"/>
    </row>
    <row r="483" spans="3:3" x14ac:dyDescent="0.25">
      <c r="C483" s="2"/>
    </row>
    <row r="484" spans="3:3" x14ac:dyDescent="0.25">
      <c r="C484" s="2"/>
    </row>
    <row r="485" spans="3:3" x14ac:dyDescent="0.25">
      <c r="C485" s="2"/>
    </row>
    <row r="486" spans="3:3" x14ac:dyDescent="0.25">
      <c r="C486" s="2"/>
    </row>
    <row r="487" spans="3:3" x14ac:dyDescent="0.25">
      <c r="C487" s="2"/>
    </row>
    <row r="488" spans="3:3" x14ac:dyDescent="0.25">
      <c r="C488" s="2"/>
    </row>
    <row r="489" spans="3:3" x14ac:dyDescent="0.25">
      <c r="C489" s="2"/>
    </row>
    <row r="490" spans="3:3" x14ac:dyDescent="0.25">
      <c r="C490" s="2"/>
    </row>
    <row r="491" spans="3:3" x14ac:dyDescent="0.25">
      <c r="C491" s="2"/>
    </row>
    <row r="492" spans="3:3" x14ac:dyDescent="0.25">
      <c r="C492" s="2"/>
    </row>
    <row r="493" spans="3:3" x14ac:dyDescent="0.25">
      <c r="C493" s="2"/>
    </row>
    <row r="494" spans="3:3" x14ac:dyDescent="0.25">
      <c r="C494" s="2"/>
    </row>
    <row r="495" spans="3:3" x14ac:dyDescent="0.25">
      <c r="C495" s="2"/>
    </row>
    <row r="496" spans="3:3" x14ac:dyDescent="0.25">
      <c r="C496" s="2"/>
    </row>
    <row r="497" spans="3:3" x14ac:dyDescent="0.25">
      <c r="C497" s="2"/>
    </row>
    <row r="498" spans="3:3" x14ac:dyDescent="0.25">
      <c r="C498" s="2"/>
    </row>
    <row r="499" spans="3:3" x14ac:dyDescent="0.25">
      <c r="C499" s="2"/>
    </row>
    <row r="500" spans="3:3" x14ac:dyDescent="0.25">
      <c r="C500" s="2"/>
    </row>
    <row r="501" spans="3:3" x14ac:dyDescent="0.25">
      <c r="C501" s="2"/>
    </row>
    <row r="502" spans="3:3" x14ac:dyDescent="0.25">
      <c r="C502" s="2"/>
    </row>
    <row r="503" spans="3:3" x14ac:dyDescent="0.25">
      <c r="C503" s="2"/>
    </row>
    <row r="504" spans="3:3" x14ac:dyDescent="0.25">
      <c r="C504" s="2"/>
    </row>
    <row r="505" spans="3:3" x14ac:dyDescent="0.25">
      <c r="C505" s="2"/>
    </row>
    <row r="506" spans="3:3" x14ac:dyDescent="0.25">
      <c r="C506" s="2"/>
    </row>
    <row r="507" spans="3:3" x14ac:dyDescent="0.25">
      <c r="C507" s="2"/>
    </row>
    <row r="508" spans="3:3" x14ac:dyDescent="0.25">
      <c r="C508" s="2"/>
    </row>
    <row r="509" spans="3:3" x14ac:dyDescent="0.25">
      <c r="C509" s="2"/>
    </row>
    <row r="510" spans="3:3" x14ac:dyDescent="0.25">
      <c r="C510" s="2"/>
    </row>
    <row r="511" spans="3:3" x14ac:dyDescent="0.25">
      <c r="C511" s="2"/>
    </row>
    <row r="512" spans="3:3" x14ac:dyDescent="0.25">
      <c r="C512" s="2"/>
    </row>
    <row r="513" spans="3:3" x14ac:dyDescent="0.25">
      <c r="C513" s="2"/>
    </row>
    <row r="514" spans="3:3" x14ac:dyDescent="0.25">
      <c r="C514" s="2"/>
    </row>
    <row r="515" spans="3:3" x14ac:dyDescent="0.25">
      <c r="C515" s="2"/>
    </row>
    <row r="516" spans="3:3" x14ac:dyDescent="0.25">
      <c r="C516" s="2"/>
    </row>
    <row r="517" spans="3:3" x14ac:dyDescent="0.25">
      <c r="C517" s="2"/>
    </row>
    <row r="518" spans="3:3" x14ac:dyDescent="0.25">
      <c r="C518" s="2"/>
    </row>
    <row r="519" spans="3:3" x14ac:dyDescent="0.25">
      <c r="C519" s="2"/>
    </row>
    <row r="520" spans="3:3" x14ac:dyDescent="0.25">
      <c r="C520" s="2"/>
    </row>
    <row r="521" spans="3:3" x14ac:dyDescent="0.25">
      <c r="C521" s="2"/>
    </row>
    <row r="522" spans="3:3" x14ac:dyDescent="0.25">
      <c r="C522" s="2"/>
    </row>
    <row r="523" spans="3:3" x14ac:dyDescent="0.25">
      <c r="C523" s="2"/>
    </row>
    <row r="524" spans="3:3" x14ac:dyDescent="0.25">
      <c r="C524" s="2"/>
    </row>
    <row r="525" spans="3:3" x14ac:dyDescent="0.25">
      <c r="C525" s="2"/>
    </row>
    <row r="526" spans="3:3" x14ac:dyDescent="0.25">
      <c r="C526" s="2"/>
    </row>
    <row r="527" spans="3:3" x14ac:dyDescent="0.25">
      <c r="C527" s="2"/>
    </row>
    <row r="528" spans="3:3" x14ac:dyDescent="0.25">
      <c r="C528" s="2"/>
    </row>
    <row r="529" spans="3:3" x14ac:dyDescent="0.25">
      <c r="C529" s="2"/>
    </row>
    <row r="530" spans="3:3" x14ac:dyDescent="0.25">
      <c r="C530" s="2"/>
    </row>
    <row r="531" spans="3:3" x14ac:dyDescent="0.25">
      <c r="C531" s="2"/>
    </row>
    <row r="532" spans="3:3" x14ac:dyDescent="0.25">
      <c r="C532" s="2"/>
    </row>
    <row r="533" spans="3:3" x14ac:dyDescent="0.25">
      <c r="C533" s="2"/>
    </row>
    <row r="534" spans="3:3" x14ac:dyDescent="0.25">
      <c r="C534" s="2"/>
    </row>
    <row r="535" spans="3:3" x14ac:dyDescent="0.25">
      <c r="C535" s="2"/>
    </row>
    <row r="536" spans="3:3" x14ac:dyDescent="0.25">
      <c r="C536" s="2"/>
    </row>
    <row r="537" spans="3:3" x14ac:dyDescent="0.25">
      <c r="C537" s="2"/>
    </row>
    <row r="538" spans="3:3" x14ac:dyDescent="0.25">
      <c r="C538" s="2"/>
    </row>
    <row r="539" spans="3:3" x14ac:dyDescent="0.25">
      <c r="C539" s="2"/>
    </row>
    <row r="540" spans="3:3" x14ac:dyDescent="0.25">
      <c r="C540" s="2"/>
    </row>
    <row r="541" spans="3:3" x14ac:dyDescent="0.25">
      <c r="C541" s="2"/>
    </row>
    <row r="542" spans="3:3" x14ac:dyDescent="0.25">
      <c r="C542" s="2"/>
    </row>
    <row r="543" spans="3:3" x14ac:dyDescent="0.25">
      <c r="C543" s="2"/>
    </row>
    <row r="544" spans="3:3" x14ac:dyDescent="0.25">
      <c r="C544" s="2"/>
    </row>
    <row r="545" spans="3:3" x14ac:dyDescent="0.25">
      <c r="C545" s="2"/>
    </row>
    <row r="546" spans="3:3" x14ac:dyDescent="0.25">
      <c r="C546" s="2"/>
    </row>
    <row r="547" spans="3:3" x14ac:dyDescent="0.25">
      <c r="C547" s="2"/>
    </row>
    <row r="548" spans="3:3" x14ac:dyDescent="0.25">
      <c r="C548" s="2"/>
    </row>
    <row r="549" spans="3:3" x14ac:dyDescent="0.25">
      <c r="C549" s="2"/>
    </row>
    <row r="550" spans="3:3" x14ac:dyDescent="0.25">
      <c r="C550" s="2"/>
    </row>
    <row r="551" spans="3:3" x14ac:dyDescent="0.25">
      <c r="C551" s="2"/>
    </row>
    <row r="552" spans="3:3" x14ac:dyDescent="0.25">
      <c r="C552" s="2"/>
    </row>
    <row r="553" spans="3:3" x14ac:dyDescent="0.25">
      <c r="C553" s="2"/>
    </row>
    <row r="554" spans="3:3" x14ac:dyDescent="0.25">
      <c r="C554" s="2"/>
    </row>
    <row r="555" spans="3:3" x14ac:dyDescent="0.25">
      <c r="C555" s="2"/>
    </row>
    <row r="556" spans="3:3" x14ac:dyDescent="0.25">
      <c r="C556" s="2"/>
    </row>
    <row r="557" spans="3:3" x14ac:dyDescent="0.25">
      <c r="C557" s="2"/>
    </row>
    <row r="558" spans="3:3" x14ac:dyDescent="0.25">
      <c r="C558" s="2"/>
    </row>
    <row r="559" spans="3:3" x14ac:dyDescent="0.25">
      <c r="C559" s="2"/>
    </row>
    <row r="560" spans="3:3" x14ac:dyDescent="0.25">
      <c r="C560" s="2"/>
    </row>
    <row r="561" spans="3:3" x14ac:dyDescent="0.25">
      <c r="C561" s="2"/>
    </row>
    <row r="562" spans="3:3" x14ac:dyDescent="0.25">
      <c r="C562" s="2"/>
    </row>
    <row r="563" spans="3:3" x14ac:dyDescent="0.25">
      <c r="C563" s="2"/>
    </row>
    <row r="564" spans="3:3" x14ac:dyDescent="0.25">
      <c r="C564" s="2"/>
    </row>
    <row r="565" spans="3:3" x14ac:dyDescent="0.25">
      <c r="C565" s="2"/>
    </row>
    <row r="566" spans="3:3" x14ac:dyDescent="0.25">
      <c r="C566" s="2"/>
    </row>
    <row r="567" spans="3:3" x14ac:dyDescent="0.25">
      <c r="C567" s="2"/>
    </row>
    <row r="568" spans="3:3" x14ac:dyDescent="0.25">
      <c r="C568" s="2"/>
    </row>
    <row r="569" spans="3:3" x14ac:dyDescent="0.25">
      <c r="C569" s="2"/>
    </row>
    <row r="570" spans="3:3" x14ac:dyDescent="0.25">
      <c r="C570" s="2"/>
    </row>
    <row r="571" spans="3:3" x14ac:dyDescent="0.25">
      <c r="C571" s="2"/>
    </row>
    <row r="572" spans="3:3" x14ac:dyDescent="0.25">
      <c r="C572" s="2"/>
    </row>
    <row r="573" spans="3:3" x14ac:dyDescent="0.25">
      <c r="C573" s="2"/>
    </row>
    <row r="574" spans="3:3" x14ac:dyDescent="0.25">
      <c r="C574" s="2"/>
    </row>
    <row r="575" spans="3:3" x14ac:dyDescent="0.25">
      <c r="C575" s="2"/>
    </row>
    <row r="576" spans="3:3" x14ac:dyDescent="0.25">
      <c r="C576" s="2"/>
    </row>
    <row r="577" spans="3:3" x14ac:dyDescent="0.25">
      <c r="C577" s="2"/>
    </row>
    <row r="578" spans="3:3" x14ac:dyDescent="0.25">
      <c r="C578" s="2"/>
    </row>
    <row r="579" spans="3:3" x14ac:dyDescent="0.25">
      <c r="C579" s="2"/>
    </row>
    <row r="580" spans="3:3" x14ac:dyDescent="0.25">
      <c r="C580" s="2"/>
    </row>
    <row r="581" spans="3:3" x14ac:dyDescent="0.25">
      <c r="C581" s="2"/>
    </row>
    <row r="582" spans="3:3" x14ac:dyDescent="0.25">
      <c r="C582" s="2"/>
    </row>
    <row r="583" spans="3:3" x14ac:dyDescent="0.25">
      <c r="C583" s="2"/>
    </row>
    <row r="584" spans="3:3" x14ac:dyDescent="0.25">
      <c r="C584" s="2"/>
    </row>
    <row r="585" spans="3:3" x14ac:dyDescent="0.25">
      <c r="C585" s="2"/>
    </row>
    <row r="586" spans="3:3" x14ac:dyDescent="0.25">
      <c r="C586" s="2"/>
    </row>
    <row r="587" spans="3:3" x14ac:dyDescent="0.25">
      <c r="C587" s="2"/>
    </row>
    <row r="588" spans="3:3" x14ac:dyDescent="0.25">
      <c r="C588" s="2"/>
    </row>
    <row r="589" spans="3:3" x14ac:dyDescent="0.25">
      <c r="C589" s="2"/>
    </row>
    <row r="590" spans="3:3" x14ac:dyDescent="0.25">
      <c r="C590" s="2"/>
    </row>
    <row r="591" spans="3:3" x14ac:dyDescent="0.25">
      <c r="C591" s="2"/>
    </row>
    <row r="592" spans="3:3" x14ac:dyDescent="0.25">
      <c r="C592" s="2"/>
    </row>
    <row r="593" spans="3:3" x14ac:dyDescent="0.25">
      <c r="C593" s="2"/>
    </row>
    <row r="594" spans="3:3" x14ac:dyDescent="0.25">
      <c r="C594" s="2"/>
    </row>
    <row r="595" spans="3:3" x14ac:dyDescent="0.25">
      <c r="C595" s="2"/>
    </row>
    <row r="596" spans="3:3" x14ac:dyDescent="0.25">
      <c r="C596" s="2"/>
    </row>
    <row r="597" spans="3:3" x14ac:dyDescent="0.25">
      <c r="C597" s="2"/>
    </row>
    <row r="598" spans="3:3" x14ac:dyDescent="0.25">
      <c r="C598" s="2"/>
    </row>
    <row r="599" spans="3:3" x14ac:dyDescent="0.25">
      <c r="C599" s="2"/>
    </row>
    <row r="600" spans="3:3" x14ac:dyDescent="0.25">
      <c r="C600" s="2"/>
    </row>
    <row r="601" spans="3:3" x14ac:dyDescent="0.25">
      <c r="C601" s="2"/>
    </row>
    <row r="602" spans="3:3" x14ac:dyDescent="0.25">
      <c r="C602" s="2"/>
    </row>
    <row r="603" spans="3:3" x14ac:dyDescent="0.25">
      <c r="C603" s="2"/>
    </row>
    <row r="604" spans="3:3" x14ac:dyDescent="0.25">
      <c r="C604" s="2"/>
    </row>
    <row r="605" spans="3:3" x14ac:dyDescent="0.25">
      <c r="C605" s="2"/>
    </row>
    <row r="606" spans="3:3" x14ac:dyDescent="0.25">
      <c r="C606" s="2"/>
    </row>
    <row r="607" spans="3:3" x14ac:dyDescent="0.25">
      <c r="C607" s="2"/>
    </row>
    <row r="608" spans="3:3" x14ac:dyDescent="0.25">
      <c r="C608" s="2"/>
    </row>
    <row r="609" spans="3:3" x14ac:dyDescent="0.25">
      <c r="C609" s="2"/>
    </row>
    <row r="610" spans="3:3" x14ac:dyDescent="0.25">
      <c r="C610" s="2"/>
    </row>
    <row r="611" spans="3:3" x14ac:dyDescent="0.25">
      <c r="C611" s="2"/>
    </row>
    <row r="612" spans="3:3" x14ac:dyDescent="0.25">
      <c r="C612" s="2"/>
    </row>
    <row r="613" spans="3:3" x14ac:dyDescent="0.25">
      <c r="C613" s="2"/>
    </row>
    <row r="614" spans="3:3" x14ac:dyDescent="0.25">
      <c r="C614" s="2"/>
    </row>
    <row r="615" spans="3:3" x14ac:dyDescent="0.25">
      <c r="C615" s="2"/>
    </row>
    <row r="616" spans="3:3" x14ac:dyDescent="0.25">
      <c r="C616" s="2"/>
    </row>
    <row r="617" spans="3:3" x14ac:dyDescent="0.25">
      <c r="C617" s="2"/>
    </row>
    <row r="618" spans="3:3" x14ac:dyDescent="0.25">
      <c r="C618" s="2"/>
    </row>
    <row r="619" spans="3:3" x14ac:dyDescent="0.25">
      <c r="C619" s="2"/>
    </row>
    <row r="620" spans="3:3" x14ac:dyDescent="0.25">
      <c r="C620" s="2"/>
    </row>
    <row r="621" spans="3:3" x14ac:dyDescent="0.25">
      <c r="C621" s="2"/>
    </row>
    <row r="622" spans="3:3" x14ac:dyDescent="0.25">
      <c r="C622" s="2"/>
    </row>
    <row r="623" spans="3:3" x14ac:dyDescent="0.25">
      <c r="C623" s="2"/>
    </row>
    <row r="624" spans="3:3" x14ac:dyDescent="0.25">
      <c r="C624" s="2"/>
    </row>
    <row r="625" spans="3:3" x14ac:dyDescent="0.25">
      <c r="C625" s="2"/>
    </row>
    <row r="626" spans="3:3" x14ac:dyDescent="0.25">
      <c r="C626" s="2"/>
    </row>
    <row r="627" spans="3:3" x14ac:dyDescent="0.25">
      <c r="C627" s="2"/>
    </row>
    <row r="628" spans="3:3" x14ac:dyDescent="0.25">
      <c r="C628" s="2"/>
    </row>
    <row r="629" spans="3:3" x14ac:dyDescent="0.25">
      <c r="C629" s="2"/>
    </row>
    <row r="630" spans="3:3" x14ac:dyDescent="0.25">
      <c r="C630" s="2"/>
    </row>
    <row r="631" spans="3:3" x14ac:dyDescent="0.25">
      <c r="C631" s="2"/>
    </row>
    <row r="632" spans="3:3" x14ac:dyDescent="0.25">
      <c r="C632" s="2"/>
    </row>
    <row r="633" spans="3:3" x14ac:dyDescent="0.25">
      <c r="C633" s="2"/>
    </row>
    <row r="634" spans="3:3" x14ac:dyDescent="0.25">
      <c r="C634" s="2"/>
    </row>
    <row r="635" spans="3:3" x14ac:dyDescent="0.25">
      <c r="C635" s="2"/>
    </row>
    <row r="636" spans="3:3" x14ac:dyDescent="0.25">
      <c r="C636" s="2"/>
    </row>
    <row r="637" spans="3:3" x14ac:dyDescent="0.25">
      <c r="C637" s="2"/>
    </row>
    <row r="638" spans="3:3" x14ac:dyDescent="0.25">
      <c r="C638" s="2"/>
    </row>
    <row r="639" spans="3:3" x14ac:dyDescent="0.25">
      <c r="C639" s="2"/>
    </row>
    <row r="640" spans="3:3" x14ac:dyDescent="0.25">
      <c r="C640" s="2"/>
    </row>
    <row r="641" spans="3:3" x14ac:dyDescent="0.25">
      <c r="C641" s="2"/>
    </row>
    <row r="642" spans="3:3" x14ac:dyDescent="0.25">
      <c r="C642" s="2"/>
    </row>
    <row r="643" spans="3:3" x14ac:dyDescent="0.25">
      <c r="C643" s="2"/>
    </row>
    <row r="644" spans="3:3" x14ac:dyDescent="0.25">
      <c r="C644" s="2"/>
    </row>
    <row r="645" spans="3:3" x14ac:dyDescent="0.25">
      <c r="C645" s="2"/>
    </row>
    <row r="646" spans="3:3" x14ac:dyDescent="0.25">
      <c r="C646" s="2"/>
    </row>
    <row r="647" spans="3:3" x14ac:dyDescent="0.25">
      <c r="C647" s="2"/>
    </row>
    <row r="648" spans="3:3" x14ac:dyDescent="0.25">
      <c r="C648" s="2"/>
    </row>
    <row r="649" spans="3:3" x14ac:dyDescent="0.25">
      <c r="C649" s="2"/>
    </row>
    <row r="650" spans="3:3" x14ac:dyDescent="0.25">
      <c r="C650" s="2"/>
    </row>
    <row r="651" spans="3:3" x14ac:dyDescent="0.25">
      <c r="C651" s="2"/>
    </row>
    <row r="652" spans="3:3" x14ac:dyDescent="0.25">
      <c r="C652" s="2"/>
    </row>
    <row r="653" spans="3:3" x14ac:dyDescent="0.25">
      <c r="C653" s="2"/>
    </row>
    <row r="654" spans="3:3" x14ac:dyDescent="0.25">
      <c r="C654" s="2"/>
    </row>
    <row r="655" spans="3:3" x14ac:dyDescent="0.25">
      <c r="C655" s="2"/>
    </row>
    <row r="656" spans="3:3" x14ac:dyDescent="0.25">
      <c r="C656" s="2"/>
    </row>
    <row r="657" spans="3:3" x14ac:dyDescent="0.25">
      <c r="C657" s="2"/>
    </row>
    <row r="658" spans="3:3" x14ac:dyDescent="0.25">
      <c r="C658" s="2"/>
    </row>
    <row r="659" spans="3:3" x14ac:dyDescent="0.25">
      <c r="C659" s="2"/>
    </row>
    <row r="660" spans="3:3" x14ac:dyDescent="0.25">
      <c r="C660" s="2"/>
    </row>
    <row r="661" spans="3:3" x14ac:dyDescent="0.25">
      <c r="C661" s="2"/>
    </row>
    <row r="662" spans="3:3" x14ac:dyDescent="0.25">
      <c r="C662" s="2"/>
    </row>
    <row r="663" spans="3:3" x14ac:dyDescent="0.25">
      <c r="C663" s="2"/>
    </row>
    <row r="664" spans="3:3" x14ac:dyDescent="0.25">
      <c r="C664" s="2"/>
    </row>
    <row r="665" spans="3:3" x14ac:dyDescent="0.25">
      <c r="C665" s="2"/>
    </row>
    <row r="666" spans="3:3" x14ac:dyDescent="0.25">
      <c r="C666" s="2"/>
    </row>
    <row r="667" spans="3:3" x14ac:dyDescent="0.25">
      <c r="C667" s="2"/>
    </row>
    <row r="668" spans="3:3" x14ac:dyDescent="0.25">
      <c r="C668" s="2"/>
    </row>
    <row r="669" spans="3:3" x14ac:dyDescent="0.25">
      <c r="C669" s="2"/>
    </row>
    <row r="670" spans="3:3" x14ac:dyDescent="0.25">
      <c r="C670" s="2"/>
    </row>
    <row r="671" spans="3:3" x14ac:dyDescent="0.25">
      <c r="C671" s="2"/>
    </row>
    <row r="672" spans="3:3" x14ac:dyDescent="0.25">
      <c r="C672" s="2"/>
    </row>
    <row r="673" spans="3:3" x14ac:dyDescent="0.25">
      <c r="C673" s="2"/>
    </row>
    <row r="674" spans="3:3" x14ac:dyDescent="0.25">
      <c r="C674" s="2"/>
    </row>
    <row r="675" spans="3:3" x14ac:dyDescent="0.25">
      <c r="C675" s="2"/>
    </row>
    <row r="676" spans="3:3" x14ac:dyDescent="0.25">
      <c r="C676" s="2"/>
    </row>
    <row r="677" spans="3:3" x14ac:dyDescent="0.25">
      <c r="C677" s="2"/>
    </row>
    <row r="678" spans="3:3" x14ac:dyDescent="0.25">
      <c r="C678" s="2"/>
    </row>
    <row r="679" spans="3:3" x14ac:dyDescent="0.25">
      <c r="C679" s="2"/>
    </row>
    <row r="680" spans="3:3" x14ac:dyDescent="0.25">
      <c r="C680" s="2"/>
    </row>
    <row r="681" spans="3:3" x14ac:dyDescent="0.25">
      <c r="C681" s="2"/>
    </row>
    <row r="682" spans="3:3" x14ac:dyDescent="0.25">
      <c r="C682" s="2"/>
    </row>
    <row r="683" spans="3:3" x14ac:dyDescent="0.25">
      <c r="C683" s="2"/>
    </row>
    <row r="684" spans="3:3" x14ac:dyDescent="0.25">
      <c r="C684" s="2"/>
    </row>
    <row r="685" spans="3:3" x14ac:dyDescent="0.25">
      <c r="C685" s="2"/>
    </row>
    <row r="686" spans="3:3" x14ac:dyDescent="0.25">
      <c r="C686" s="2"/>
    </row>
    <row r="687" spans="3:3" x14ac:dyDescent="0.25">
      <c r="C687" s="2"/>
    </row>
    <row r="688" spans="3:3" x14ac:dyDescent="0.25">
      <c r="C688" s="2"/>
    </row>
    <row r="689" spans="3:3" x14ac:dyDescent="0.25">
      <c r="C689" s="2"/>
    </row>
    <row r="690" spans="3:3" x14ac:dyDescent="0.25">
      <c r="C690" s="2"/>
    </row>
    <row r="691" spans="3:3" x14ac:dyDescent="0.25">
      <c r="C691" s="2"/>
    </row>
    <row r="692" spans="3:3" x14ac:dyDescent="0.25">
      <c r="C692" s="2"/>
    </row>
    <row r="693" spans="3:3" x14ac:dyDescent="0.25">
      <c r="C693" s="2"/>
    </row>
    <row r="694" spans="3:3" x14ac:dyDescent="0.25">
      <c r="C694" s="2"/>
    </row>
    <row r="695" spans="3:3" x14ac:dyDescent="0.25">
      <c r="C695" s="2"/>
    </row>
    <row r="696" spans="3:3" x14ac:dyDescent="0.25">
      <c r="C696" s="2"/>
    </row>
    <row r="697" spans="3:3" x14ac:dyDescent="0.25">
      <c r="C697" s="2"/>
    </row>
    <row r="698" spans="3:3" x14ac:dyDescent="0.25">
      <c r="C698" s="2"/>
    </row>
    <row r="699" spans="3:3" x14ac:dyDescent="0.25">
      <c r="C699" s="2"/>
    </row>
    <row r="700" spans="3:3" x14ac:dyDescent="0.25">
      <c r="C700" s="2"/>
    </row>
    <row r="701" spans="3:3" x14ac:dyDescent="0.25">
      <c r="C701" s="2"/>
    </row>
    <row r="702" spans="3:3" x14ac:dyDescent="0.25">
      <c r="C702" s="2"/>
    </row>
    <row r="703" spans="3:3" x14ac:dyDescent="0.25">
      <c r="C703" s="2"/>
    </row>
    <row r="704" spans="3:3" x14ac:dyDescent="0.25">
      <c r="C704" s="2"/>
    </row>
    <row r="705" spans="3:3" x14ac:dyDescent="0.25">
      <c r="C705" s="2"/>
    </row>
    <row r="706" spans="3:3" x14ac:dyDescent="0.25">
      <c r="C706" s="2"/>
    </row>
    <row r="707" spans="3:3" x14ac:dyDescent="0.25">
      <c r="C707" s="2"/>
    </row>
    <row r="708" spans="3:3" x14ac:dyDescent="0.25">
      <c r="C708" s="2"/>
    </row>
    <row r="709" spans="3:3" x14ac:dyDescent="0.25">
      <c r="C709" s="2"/>
    </row>
    <row r="710" spans="3:3" x14ac:dyDescent="0.25">
      <c r="C710" s="2"/>
    </row>
    <row r="711" spans="3:3" x14ac:dyDescent="0.25">
      <c r="C711" s="2"/>
    </row>
    <row r="712" spans="3:3" x14ac:dyDescent="0.25">
      <c r="C712" s="2"/>
    </row>
    <row r="713" spans="3:3" x14ac:dyDescent="0.25">
      <c r="C713" s="2"/>
    </row>
    <row r="714" spans="3:3" x14ac:dyDescent="0.25">
      <c r="C714" s="2"/>
    </row>
    <row r="715" spans="3:3" x14ac:dyDescent="0.25">
      <c r="C715" s="2"/>
    </row>
    <row r="716" spans="3:3" x14ac:dyDescent="0.25">
      <c r="C716" s="2"/>
    </row>
    <row r="717" spans="3:3" x14ac:dyDescent="0.25">
      <c r="C717" s="2"/>
    </row>
    <row r="718" spans="3:3" x14ac:dyDescent="0.25">
      <c r="C718" s="2"/>
    </row>
    <row r="719" spans="3:3" x14ac:dyDescent="0.25">
      <c r="C719" s="2"/>
    </row>
    <row r="720" spans="3:3" x14ac:dyDescent="0.25">
      <c r="C720" s="2"/>
    </row>
    <row r="721" spans="3:3" x14ac:dyDescent="0.25">
      <c r="C721" s="2"/>
    </row>
    <row r="722" spans="3:3" x14ac:dyDescent="0.25">
      <c r="C722" s="2"/>
    </row>
    <row r="723" spans="3:3" x14ac:dyDescent="0.25">
      <c r="C723" s="2"/>
    </row>
    <row r="724" spans="3:3" x14ac:dyDescent="0.25">
      <c r="C724" s="2"/>
    </row>
    <row r="725" spans="3:3" x14ac:dyDescent="0.25">
      <c r="C725" s="2"/>
    </row>
    <row r="726" spans="3:3" x14ac:dyDescent="0.25">
      <c r="C726" s="2"/>
    </row>
    <row r="727" spans="3:3" x14ac:dyDescent="0.25">
      <c r="C727" s="2"/>
    </row>
    <row r="728" spans="3:3" x14ac:dyDescent="0.25">
      <c r="C728" s="2"/>
    </row>
    <row r="729" spans="3:3" x14ac:dyDescent="0.25">
      <c r="C729" s="2"/>
    </row>
    <row r="730" spans="3:3" x14ac:dyDescent="0.25">
      <c r="C730" s="2"/>
    </row>
    <row r="731" spans="3:3" x14ac:dyDescent="0.25">
      <c r="C731" s="2"/>
    </row>
    <row r="732" spans="3:3" x14ac:dyDescent="0.25">
      <c r="C732" s="2"/>
    </row>
    <row r="733" spans="3:3" x14ac:dyDescent="0.25">
      <c r="C733" s="2"/>
    </row>
    <row r="734" spans="3:3" x14ac:dyDescent="0.25">
      <c r="C734" s="2"/>
    </row>
    <row r="735" spans="3:3" x14ac:dyDescent="0.25">
      <c r="C735" s="2"/>
    </row>
    <row r="736" spans="3:3" x14ac:dyDescent="0.25">
      <c r="C736" s="2"/>
    </row>
    <row r="737" spans="3:3" x14ac:dyDescent="0.25">
      <c r="C737" s="2"/>
    </row>
    <row r="738" spans="3:3" x14ac:dyDescent="0.25">
      <c r="C738" s="2"/>
    </row>
    <row r="739" spans="3:3" x14ac:dyDescent="0.25">
      <c r="C739" s="2"/>
    </row>
    <row r="740" spans="3:3" x14ac:dyDescent="0.25">
      <c r="C740" s="2"/>
    </row>
    <row r="741" spans="3:3" x14ac:dyDescent="0.25">
      <c r="C741" s="2"/>
    </row>
    <row r="742" spans="3:3" x14ac:dyDescent="0.25">
      <c r="C742" s="2"/>
    </row>
    <row r="743" spans="3:3" x14ac:dyDescent="0.25">
      <c r="C743" s="2"/>
    </row>
    <row r="744" spans="3:3" x14ac:dyDescent="0.25">
      <c r="C744" s="2"/>
    </row>
    <row r="745" spans="3:3" x14ac:dyDescent="0.25">
      <c r="C745" s="2"/>
    </row>
    <row r="746" spans="3:3" x14ac:dyDescent="0.25">
      <c r="C746" s="2"/>
    </row>
    <row r="747" spans="3:3" x14ac:dyDescent="0.25">
      <c r="C747" s="2"/>
    </row>
    <row r="748" spans="3:3" x14ac:dyDescent="0.25">
      <c r="C748" s="2"/>
    </row>
    <row r="749" spans="3:3" x14ac:dyDescent="0.25">
      <c r="C749" s="2"/>
    </row>
    <row r="750" spans="3:3" x14ac:dyDescent="0.25">
      <c r="C750" s="2"/>
    </row>
    <row r="751" spans="3:3" x14ac:dyDescent="0.25">
      <c r="C751" s="2"/>
    </row>
    <row r="752" spans="3:3" x14ac:dyDescent="0.25">
      <c r="C752" s="2"/>
    </row>
    <row r="753" spans="3:3" x14ac:dyDescent="0.25">
      <c r="C753" s="2"/>
    </row>
    <row r="754" spans="3:3" x14ac:dyDescent="0.25">
      <c r="C754" s="2"/>
    </row>
    <row r="755" spans="3:3" x14ac:dyDescent="0.25">
      <c r="C755" s="2"/>
    </row>
    <row r="756" spans="3:3" x14ac:dyDescent="0.25">
      <c r="C756" s="2"/>
    </row>
    <row r="757" spans="3:3" x14ac:dyDescent="0.25">
      <c r="C757" s="2"/>
    </row>
    <row r="758" spans="3:3" x14ac:dyDescent="0.25">
      <c r="C758" s="2"/>
    </row>
    <row r="759" spans="3:3" x14ac:dyDescent="0.25">
      <c r="C759" s="2"/>
    </row>
    <row r="760" spans="3:3" x14ac:dyDescent="0.25">
      <c r="C760" s="2"/>
    </row>
    <row r="761" spans="3:3" x14ac:dyDescent="0.25">
      <c r="C761" s="2"/>
    </row>
    <row r="762" spans="3:3" x14ac:dyDescent="0.25">
      <c r="C762" s="2"/>
    </row>
    <row r="763" spans="3:3" x14ac:dyDescent="0.25">
      <c r="C763" s="2"/>
    </row>
    <row r="764" spans="3:3" x14ac:dyDescent="0.25">
      <c r="C764" s="2"/>
    </row>
    <row r="765" spans="3:3" x14ac:dyDescent="0.25">
      <c r="C765" s="2"/>
    </row>
    <row r="766" spans="3:3" x14ac:dyDescent="0.25">
      <c r="C766" s="2"/>
    </row>
    <row r="767" spans="3:3" x14ac:dyDescent="0.25">
      <c r="C767" s="2"/>
    </row>
    <row r="768" spans="3:3" x14ac:dyDescent="0.25">
      <c r="C768" s="2"/>
    </row>
    <row r="769" spans="3:3" x14ac:dyDescent="0.25">
      <c r="C769" s="2"/>
    </row>
    <row r="770" spans="3:3" x14ac:dyDescent="0.25">
      <c r="C770" s="2"/>
    </row>
    <row r="771" spans="3:3" x14ac:dyDescent="0.25">
      <c r="C771" s="2"/>
    </row>
    <row r="772" spans="3:3" x14ac:dyDescent="0.25">
      <c r="C772" s="2"/>
    </row>
    <row r="773" spans="3:3" x14ac:dyDescent="0.25">
      <c r="C773" s="2"/>
    </row>
    <row r="774" spans="3:3" x14ac:dyDescent="0.25">
      <c r="C774" s="2"/>
    </row>
    <row r="775" spans="3:3" x14ac:dyDescent="0.25">
      <c r="C775" s="2"/>
    </row>
    <row r="776" spans="3:3" x14ac:dyDescent="0.25">
      <c r="C776" s="2"/>
    </row>
    <row r="777" spans="3:3" x14ac:dyDescent="0.25">
      <c r="C777" s="2"/>
    </row>
    <row r="778" spans="3:3" x14ac:dyDescent="0.25">
      <c r="C778" s="2"/>
    </row>
    <row r="779" spans="3:3" x14ac:dyDescent="0.25">
      <c r="C779" s="2"/>
    </row>
    <row r="780" spans="3:3" x14ac:dyDescent="0.25">
      <c r="C780" s="2"/>
    </row>
    <row r="781" spans="3:3" x14ac:dyDescent="0.25">
      <c r="C781" s="2"/>
    </row>
    <row r="782" spans="3:3" x14ac:dyDescent="0.25">
      <c r="C782" s="2"/>
    </row>
    <row r="783" spans="3:3" x14ac:dyDescent="0.25">
      <c r="C783" s="2"/>
    </row>
    <row r="784" spans="3:3" x14ac:dyDescent="0.25">
      <c r="C784" s="2"/>
    </row>
    <row r="785" spans="3:3" x14ac:dyDescent="0.25">
      <c r="C785" s="2"/>
    </row>
    <row r="786" spans="3:3" x14ac:dyDescent="0.25">
      <c r="C786" s="2"/>
    </row>
    <row r="787" spans="3:3" x14ac:dyDescent="0.25">
      <c r="C787" s="2"/>
    </row>
    <row r="788" spans="3:3" x14ac:dyDescent="0.25">
      <c r="C788" s="2"/>
    </row>
    <row r="789" spans="3:3" x14ac:dyDescent="0.25">
      <c r="C789" s="2"/>
    </row>
    <row r="790" spans="3:3" x14ac:dyDescent="0.25">
      <c r="C790" s="2"/>
    </row>
    <row r="791" spans="3:3" x14ac:dyDescent="0.25">
      <c r="C791" s="2"/>
    </row>
    <row r="792" spans="3:3" x14ac:dyDescent="0.25">
      <c r="C792" s="2"/>
    </row>
    <row r="793" spans="3:3" x14ac:dyDescent="0.25">
      <c r="C793" s="2"/>
    </row>
    <row r="794" spans="3:3" x14ac:dyDescent="0.25">
      <c r="C794" s="2"/>
    </row>
    <row r="795" spans="3:3" x14ac:dyDescent="0.25">
      <c r="C795" s="2"/>
    </row>
    <row r="796" spans="3:3" x14ac:dyDescent="0.25">
      <c r="C796" s="2"/>
    </row>
    <row r="797" spans="3:3" x14ac:dyDescent="0.25">
      <c r="C797" s="2"/>
    </row>
    <row r="798" spans="3:3" x14ac:dyDescent="0.25">
      <c r="C798" s="2"/>
    </row>
    <row r="799" spans="3:3" x14ac:dyDescent="0.25">
      <c r="C799" s="2"/>
    </row>
    <row r="800" spans="3:3" x14ac:dyDescent="0.25">
      <c r="C800" s="2"/>
    </row>
    <row r="801" spans="3:3" x14ac:dyDescent="0.25">
      <c r="C801" s="2"/>
    </row>
    <row r="802" spans="3:3" x14ac:dyDescent="0.25">
      <c r="C802" s="2"/>
    </row>
    <row r="803" spans="3:3" x14ac:dyDescent="0.25">
      <c r="C803" s="2"/>
    </row>
    <row r="804" spans="3:3" x14ac:dyDescent="0.25">
      <c r="C804" s="2"/>
    </row>
    <row r="805" spans="3:3" x14ac:dyDescent="0.25">
      <c r="C805" s="2"/>
    </row>
    <row r="806" spans="3:3" x14ac:dyDescent="0.25">
      <c r="C806" s="2"/>
    </row>
    <row r="807" spans="3:3" x14ac:dyDescent="0.25">
      <c r="C807" s="2"/>
    </row>
    <row r="808" spans="3:3" x14ac:dyDescent="0.25">
      <c r="C808" s="2"/>
    </row>
    <row r="809" spans="3:3" x14ac:dyDescent="0.25">
      <c r="C809" s="2"/>
    </row>
    <row r="810" spans="3:3" x14ac:dyDescent="0.25">
      <c r="C810" s="2"/>
    </row>
    <row r="811" spans="3:3" x14ac:dyDescent="0.25">
      <c r="C811" s="2"/>
    </row>
    <row r="812" spans="3:3" x14ac:dyDescent="0.25">
      <c r="C812" s="2"/>
    </row>
    <row r="813" spans="3:3" x14ac:dyDescent="0.25">
      <c r="C813" s="2"/>
    </row>
    <row r="814" spans="3:3" x14ac:dyDescent="0.25">
      <c r="C814" s="2"/>
    </row>
    <row r="815" spans="3:3" x14ac:dyDescent="0.25">
      <c r="C815" s="2"/>
    </row>
    <row r="816" spans="3:3" x14ac:dyDescent="0.25">
      <c r="C816" s="2"/>
    </row>
    <row r="817" spans="3:3" x14ac:dyDescent="0.25">
      <c r="C817" s="2"/>
    </row>
    <row r="818" spans="3:3" x14ac:dyDescent="0.25">
      <c r="C818" s="2"/>
    </row>
    <row r="819" spans="3:3" x14ac:dyDescent="0.25">
      <c r="C819" s="2"/>
    </row>
    <row r="820" spans="3:3" x14ac:dyDescent="0.25">
      <c r="C820" s="2"/>
    </row>
    <row r="821" spans="3:3" x14ac:dyDescent="0.25">
      <c r="C821" s="2"/>
    </row>
    <row r="822" spans="3:3" x14ac:dyDescent="0.25">
      <c r="C822" s="2"/>
    </row>
    <row r="823" spans="3:3" x14ac:dyDescent="0.25">
      <c r="C823" s="2"/>
    </row>
    <row r="824" spans="3:3" x14ac:dyDescent="0.25">
      <c r="C824" s="2"/>
    </row>
    <row r="825" spans="3:3" x14ac:dyDescent="0.25">
      <c r="C825" s="2"/>
    </row>
    <row r="826" spans="3:3" x14ac:dyDescent="0.25">
      <c r="C826" s="2"/>
    </row>
    <row r="827" spans="3:3" x14ac:dyDescent="0.25">
      <c r="C827" s="2"/>
    </row>
    <row r="828" spans="3:3" x14ac:dyDescent="0.25">
      <c r="C828" s="2"/>
    </row>
    <row r="829" spans="3:3" x14ac:dyDescent="0.25">
      <c r="C829" s="2"/>
    </row>
    <row r="830" spans="3:3" x14ac:dyDescent="0.25">
      <c r="C830" s="2"/>
    </row>
    <row r="831" spans="3:3" x14ac:dyDescent="0.25">
      <c r="C831" s="2"/>
    </row>
    <row r="832" spans="3:3" x14ac:dyDescent="0.25">
      <c r="C832" s="2"/>
    </row>
    <row r="833" spans="3:3" x14ac:dyDescent="0.25">
      <c r="C833" s="2"/>
    </row>
    <row r="834" spans="3:3" x14ac:dyDescent="0.25">
      <c r="C834" s="2"/>
    </row>
    <row r="835" spans="3:3" x14ac:dyDescent="0.25">
      <c r="C835" s="2"/>
    </row>
    <row r="836" spans="3:3" x14ac:dyDescent="0.25">
      <c r="C836" s="2"/>
    </row>
    <row r="837" spans="3:3" x14ac:dyDescent="0.25">
      <c r="C837" s="2"/>
    </row>
    <row r="838" spans="3:3" x14ac:dyDescent="0.25">
      <c r="C838" s="2"/>
    </row>
    <row r="839" spans="3:3" x14ac:dyDescent="0.25">
      <c r="C839" s="2"/>
    </row>
    <row r="840" spans="3:3" x14ac:dyDescent="0.25">
      <c r="C840" s="2"/>
    </row>
    <row r="841" spans="3:3" x14ac:dyDescent="0.25">
      <c r="C841" s="2"/>
    </row>
    <row r="842" spans="3:3" x14ac:dyDescent="0.25">
      <c r="C842" s="2"/>
    </row>
    <row r="843" spans="3:3" x14ac:dyDescent="0.25">
      <c r="C843" s="2"/>
    </row>
    <row r="844" spans="3:3" x14ac:dyDescent="0.25">
      <c r="C844" s="2"/>
    </row>
    <row r="845" spans="3:3" x14ac:dyDescent="0.25">
      <c r="C845" s="2"/>
    </row>
    <row r="846" spans="3:3" x14ac:dyDescent="0.25">
      <c r="C846" s="2"/>
    </row>
    <row r="847" spans="3:3" x14ac:dyDescent="0.25">
      <c r="C847" s="2"/>
    </row>
    <row r="848" spans="3:3" x14ac:dyDescent="0.25">
      <c r="C848" s="2"/>
    </row>
    <row r="849" spans="3:3" x14ac:dyDescent="0.25">
      <c r="C849" s="2"/>
    </row>
    <row r="850" spans="3:3" x14ac:dyDescent="0.25">
      <c r="C850" s="2"/>
    </row>
    <row r="851" spans="3:3" x14ac:dyDescent="0.25">
      <c r="C851" s="2"/>
    </row>
    <row r="852" spans="3:3" x14ac:dyDescent="0.25">
      <c r="C852" s="2"/>
    </row>
    <row r="853" spans="3:3" x14ac:dyDescent="0.25">
      <c r="C853" s="2"/>
    </row>
    <row r="854" spans="3:3" x14ac:dyDescent="0.25">
      <c r="C854" s="2"/>
    </row>
    <row r="855" spans="3:3" x14ac:dyDescent="0.25">
      <c r="C855" s="2"/>
    </row>
    <row r="856" spans="3:3" x14ac:dyDescent="0.25">
      <c r="C856" s="2"/>
    </row>
    <row r="857" spans="3:3" x14ac:dyDescent="0.25">
      <c r="C857" s="2"/>
    </row>
    <row r="858" spans="3:3" x14ac:dyDescent="0.25">
      <c r="C858" s="2"/>
    </row>
    <row r="859" spans="3:3" x14ac:dyDescent="0.25">
      <c r="C859" s="2"/>
    </row>
    <row r="860" spans="3:3" x14ac:dyDescent="0.25">
      <c r="C860" s="2"/>
    </row>
    <row r="861" spans="3:3" x14ac:dyDescent="0.25">
      <c r="C861" s="2"/>
    </row>
    <row r="862" spans="3:3" x14ac:dyDescent="0.25">
      <c r="C862" s="2"/>
    </row>
    <row r="863" spans="3:3" x14ac:dyDescent="0.25">
      <c r="C863" s="2"/>
    </row>
    <row r="864" spans="3:3" x14ac:dyDescent="0.25">
      <c r="C864" s="2"/>
    </row>
    <row r="865" spans="3:3" x14ac:dyDescent="0.25">
      <c r="C865" s="2"/>
    </row>
    <row r="866" spans="3:3" x14ac:dyDescent="0.25">
      <c r="C866" s="2"/>
    </row>
    <row r="867" spans="3:3" x14ac:dyDescent="0.25">
      <c r="C867" s="2"/>
    </row>
    <row r="868" spans="3:3" x14ac:dyDescent="0.25">
      <c r="C868" s="2"/>
    </row>
    <row r="869" spans="3:3" x14ac:dyDescent="0.25">
      <c r="C869" s="2"/>
    </row>
    <row r="870" spans="3:3" x14ac:dyDescent="0.25">
      <c r="C870" s="2"/>
    </row>
    <row r="871" spans="3:3" x14ac:dyDescent="0.25">
      <c r="C871" s="2"/>
    </row>
    <row r="872" spans="3:3" x14ac:dyDescent="0.25">
      <c r="C872" s="2"/>
    </row>
    <row r="873" spans="3:3" x14ac:dyDescent="0.25">
      <c r="C873" s="2"/>
    </row>
    <row r="874" spans="3:3" x14ac:dyDescent="0.25">
      <c r="C874" s="2"/>
    </row>
    <row r="875" spans="3:3" x14ac:dyDescent="0.25">
      <c r="C875" s="2"/>
    </row>
    <row r="876" spans="3:3" x14ac:dyDescent="0.25">
      <c r="C876" s="2"/>
    </row>
    <row r="877" spans="3:3" x14ac:dyDescent="0.25">
      <c r="C877" s="2"/>
    </row>
    <row r="878" spans="3:3" x14ac:dyDescent="0.25">
      <c r="C878" s="2"/>
    </row>
    <row r="879" spans="3:3" x14ac:dyDescent="0.25">
      <c r="C879" s="2"/>
    </row>
    <row r="880" spans="3:3" x14ac:dyDescent="0.25">
      <c r="C880" s="2"/>
    </row>
    <row r="881" spans="3:3" x14ac:dyDescent="0.25">
      <c r="C881" s="2"/>
    </row>
    <row r="882" spans="3:3" x14ac:dyDescent="0.25">
      <c r="C882" s="2"/>
    </row>
    <row r="883" spans="3:3" x14ac:dyDescent="0.25">
      <c r="C883" s="2"/>
    </row>
    <row r="884" spans="3:3" x14ac:dyDescent="0.25">
      <c r="C884" s="2"/>
    </row>
    <row r="885" spans="3:3" x14ac:dyDescent="0.25">
      <c r="C885" s="2"/>
    </row>
    <row r="886" spans="3:3" x14ac:dyDescent="0.25">
      <c r="C886" s="2"/>
    </row>
    <row r="887" spans="3:3" x14ac:dyDescent="0.25">
      <c r="C887" s="2"/>
    </row>
    <row r="888" spans="3:3" x14ac:dyDescent="0.25">
      <c r="C888" s="2"/>
    </row>
    <row r="889" spans="3:3" x14ac:dyDescent="0.25">
      <c r="C889" s="2"/>
    </row>
    <row r="890" spans="3:3" x14ac:dyDescent="0.25">
      <c r="C890" s="2"/>
    </row>
    <row r="891" spans="3:3" x14ac:dyDescent="0.25">
      <c r="C891" s="2"/>
    </row>
    <row r="892" spans="3:3" x14ac:dyDescent="0.25">
      <c r="C892" s="2"/>
    </row>
    <row r="893" spans="3:3" x14ac:dyDescent="0.25">
      <c r="C893" s="2"/>
    </row>
    <row r="894" spans="3:3" x14ac:dyDescent="0.25">
      <c r="C894" s="2"/>
    </row>
    <row r="895" spans="3:3" x14ac:dyDescent="0.25">
      <c r="C895" s="2"/>
    </row>
    <row r="896" spans="3:3" x14ac:dyDescent="0.25">
      <c r="C896" s="2"/>
    </row>
    <row r="897" spans="3:3" x14ac:dyDescent="0.25">
      <c r="C897" s="2"/>
    </row>
    <row r="898" spans="3:3" x14ac:dyDescent="0.25">
      <c r="C898" s="2"/>
    </row>
    <row r="899" spans="3:3" x14ac:dyDescent="0.25">
      <c r="C899" s="2"/>
    </row>
    <row r="900" spans="3:3" x14ac:dyDescent="0.25">
      <c r="C900" s="2"/>
    </row>
    <row r="901" spans="3:3" x14ac:dyDescent="0.25">
      <c r="C901" s="2"/>
    </row>
    <row r="902" spans="3:3" x14ac:dyDescent="0.25">
      <c r="C902" s="2"/>
    </row>
    <row r="903" spans="3:3" x14ac:dyDescent="0.25">
      <c r="C903" s="2"/>
    </row>
    <row r="904" spans="3:3" x14ac:dyDescent="0.25">
      <c r="C904" s="2"/>
    </row>
    <row r="905" spans="3:3" x14ac:dyDescent="0.25">
      <c r="C905" s="2"/>
    </row>
    <row r="906" spans="3:3" x14ac:dyDescent="0.25">
      <c r="C906" s="2"/>
    </row>
    <row r="907" spans="3:3" x14ac:dyDescent="0.25">
      <c r="C907" s="2"/>
    </row>
    <row r="908" spans="3:3" x14ac:dyDescent="0.25">
      <c r="C908" s="2"/>
    </row>
    <row r="909" spans="3:3" x14ac:dyDescent="0.25">
      <c r="C909" s="2"/>
    </row>
    <row r="910" spans="3:3" x14ac:dyDescent="0.25">
      <c r="C910" s="2"/>
    </row>
    <row r="911" spans="3:3" x14ac:dyDescent="0.25">
      <c r="C911" s="2"/>
    </row>
    <row r="912" spans="3:3" x14ac:dyDescent="0.25">
      <c r="C912" s="2"/>
    </row>
    <row r="913" spans="3:3" x14ac:dyDescent="0.25">
      <c r="C913" s="2"/>
    </row>
    <row r="914" spans="3:3" x14ac:dyDescent="0.25">
      <c r="C914" s="2"/>
    </row>
    <row r="915" spans="3:3" x14ac:dyDescent="0.25">
      <c r="C915" s="2"/>
    </row>
    <row r="916" spans="3:3" x14ac:dyDescent="0.25">
      <c r="C916" s="2"/>
    </row>
    <row r="917" spans="3:3" x14ac:dyDescent="0.25">
      <c r="C917" s="2"/>
    </row>
    <row r="918" spans="3:3" x14ac:dyDescent="0.25">
      <c r="C918" s="2"/>
    </row>
    <row r="919" spans="3:3" x14ac:dyDescent="0.25">
      <c r="C919" s="2"/>
    </row>
    <row r="920" spans="3:3" x14ac:dyDescent="0.25">
      <c r="C920" s="2"/>
    </row>
    <row r="921" spans="3:3" x14ac:dyDescent="0.25">
      <c r="C921" s="2"/>
    </row>
    <row r="922" spans="3:3" x14ac:dyDescent="0.25">
      <c r="C922" s="2"/>
    </row>
    <row r="923" spans="3:3" x14ac:dyDescent="0.25">
      <c r="C923" s="2"/>
    </row>
    <row r="924" spans="3:3" x14ac:dyDescent="0.25">
      <c r="C924" s="2"/>
    </row>
    <row r="925" spans="3:3" x14ac:dyDescent="0.25">
      <c r="C925" s="2"/>
    </row>
    <row r="926" spans="3:3" x14ac:dyDescent="0.25">
      <c r="C926" s="2"/>
    </row>
    <row r="927" spans="3:3" x14ac:dyDescent="0.25">
      <c r="C927" s="2"/>
    </row>
    <row r="928" spans="3:3" x14ac:dyDescent="0.25">
      <c r="C928" s="2"/>
    </row>
    <row r="929" spans="3:3" x14ac:dyDescent="0.25">
      <c r="C929" s="2"/>
    </row>
    <row r="930" spans="3:3" x14ac:dyDescent="0.25">
      <c r="C930" s="2"/>
    </row>
    <row r="931" spans="3:3" x14ac:dyDescent="0.25">
      <c r="C931" s="2"/>
    </row>
    <row r="932" spans="3:3" x14ac:dyDescent="0.25">
      <c r="C932" s="2"/>
    </row>
    <row r="933" spans="3:3" x14ac:dyDescent="0.25">
      <c r="C933" s="2"/>
    </row>
    <row r="934" spans="3:3" x14ac:dyDescent="0.25">
      <c r="C934" s="2"/>
    </row>
    <row r="935" spans="3:3" x14ac:dyDescent="0.25">
      <c r="C935" s="2"/>
    </row>
    <row r="936" spans="3:3" x14ac:dyDescent="0.25">
      <c r="C936" s="2"/>
    </row>
    <row r="937" spans="3:3" x14ac:dyDescent="0.25">
      <c r="C937" s="2"/>
    </row>
    <row r="938" spans="3:3" x14ac:dyDescent="0.25">
      <c r="C938" s="2"/>
    </row>
    <row r="939" spans="3:3" x14ac:dyDescent="0.25">
      <c r="C939" s="2"/>
    </row>
    <row r="940" spans="3:3" x14ac:dyDescent="0.25">
      <c r="C940" s="2"/>
    </row>
    <row r="941" spans="3:3" x14ac:dyDescent="0.25">
      <c r="C941" s="2"/>
    </row>
    <row r="942" spans="3:3" x14ac:dyDescent="0.25">
      <c r="C942" s="2"/>
    </row>
    <row r="943" spans="3:3" x14ac:dyDescent="0.25">
      <c r="C943" s="2"/>
    </row>
    <row r="944" spans="3:3" x14ac:dyDescent="0.25">
      <c r="C944" s="2"/>
    </row>
    <row r="945" spans="3:3" x14ac:dyDescent="0.25">
      <c r="C945" s="2"/>
    </row>
    <row r="946" spans="3:3" x14ac:dyDescent="0.25">
      <c r="C946" s="2"/>
    </row>
    <row r="947" spans="3:3" x14ac:dyDescent="0.25">
      <c r="C947" s="2"/>
    </row>
    <row r="948" spans="3:3" x14ac:dyDescent="0.25">
      <c r="C948" s="2"/>
    </row>
    <row r="949" spans="3:3" x14ac:dyDescent="0.25">
      <c r="C949" s="2"/>
    </row>
    <row r="950" spans="3:3" x14ac:dyDescent="0.25">
      <c r="C950" s="2"/>
    </row>
    <row r="951" spans="3:3" x14ac:dyDescent="0.25">
      <c r="C951" s="2"/>
    </row>
    <row r="952" spans="3:3" x14ac:dyDescent="0.25">
      <c r="C952" s="2"/>
    </row>
    <row r="953" spans="3:3" x14ac:dyDescent="0.25">
      <c r="C953" s="2"/>
    </row>
    <row r="954" spans="3:3" x14ac:dyDescent="0.25">
      <c r="C954" s="2"/>
    </row>
    <row r="955" spans="3:3" x14ac:dyDescent="0.25">
      <c r="C955" s="2"/>
    </row>
    <row r="956" spans="3:3" x14ac:dyDescent="0.25">
      <c r="C956" s="2"/>
    </row>
    <row r="957" spans="3:3" x14ac:dyDescent="0.25">
      <c r="C957" s="2"/>
    </row>
    <row r="958" spans="3:3" x14ac:dyDescent="0.25">
      <c r="C958" s="2"/>
    </row>
    <row r="959" spans="3:3" x14ac:dyDescent="0.25">
      <c r="C959" s="2"/>
    </row>
    <row r="960" spans="3:3" x14ac:dyDescent="0.25">
      <c r="C960" s="2"/>
    </row>
    <row r="961" spans="3:3" x14ac:dyDescent="0.25">
      <c r="C961" s="2"/>
    </row>
    <row r="962" spans="3:3" x14ac:dyDescent="0.25">
      <c r="C962" s="2"/>
    </row>
    <row r="963" spans="3:3" x14ac:dyDescent="0.25">
      <c r="C963" s="2"/>
    </row>
    <row r="964" spans="3:3" x14ac:dyDescent="0.25">
      <c r="C964" s="2"/>
    </row>
    <row r="965" spans="3:3" x14ac:dyDescent="0.25">
      <c r="C965" s="2"/>
    </row>
    <row r="966" spans="3:3" x14ac:dyDescent="0.25">
      <c r="C966" s="2"/>
    </row>
    <row r="967" spans="3:3" x14ac:dyDescent="0.25">
      <c r="C967" s="2"/>
    </row>
    <row r="968" spans="3:3" x14ac:dyDescent="0.25">
      <c r="C968" s="2"/>
    </row>
    <row r="969" spans="3:3" x14ac:dyDescent="0.25">
      <c r="C969" s="2"/>
    </row>
    <row r="970" spans="3:3" x14ac:dyDescent="0.25">
      <c r="C970" s="2"/>
    </row>
    <row r="971" spans="3:3" x14ac:dyDescent="0.25">
      <c r="C971" s="2"/>
    </row>
    <row r="972" spans="3:3" x14ac:dyDescent="0.25">
      <c r="C972" s="2"/>
    </row>
    <row r="973" spans="3:3" x14ac:dyDescent="0.25">
      <c r="C973" s="2"/>
    </row>
    <row r="974" spans="3:3" x14ac:dyDescent="0.25">
      <c r="C974" s="2"/>
    </row>
    <row r="975" spans="3:3" x14ac:dyDescent="0.25">
      <c r="C975" s="2"/>
    </row>
    <row r="976" spans="3:3" x14ac:dyDescent="0.25">
      <c r="C976" s="2"/>
    </row>
    <row r="977" spans="3:3" x14ac:dyDescent="0.25">
      <c r="C977" s="2"/>
    </row>
    <row r="978" spans="3:3" x14ac:dyDescent="0.25">
      <c r="C978" s="2"/>
    </row>
    <row r="979" spans="3:3" x14ac:dyDescent="0.25">
      <c r="C979" s="2"/>
    </row>
    <row r="980" spans="3:3" x14ac:dyDescent="0.25">
      <c r="C980" s="2"/>
    </row>
    <row r="981" spans="3:3" x14ac:dyDescent="0.25">
      <c r="C981" s="2"/>
    </row>
    <row r="982" spans="3:3" x14ac:dyDescent="0.25">
      <c r="C982" s="2"/>
    </row>
    <row r="983" spans="3:3" x14ac:dyDescent="0.25">
      <c r="C983" s="2"/>
    </row>
    <row r="984" spans="3:3" x14ac:dyDescent="0.25">
      <c r="C984" s="2"/>
    </row>
    <row r="985" spans="3:3" x14ac:dyDescent="0.25">
      <c r="C985" s="2"/>
    </row>
    <row r="986" spans="3:3" x14ac:dyDescent="0.25">
      <c r="C986" s="2"/>
    </row>
    <row r="987" spans="3:3" x14ac:dyDescent="0.25">
      <c r="C987" s="2"/>
    </row>
    <row r="988" spans="3:3" x14ac:dyDescent="0.25">
      <c r="C988" s="2"/>
    </row>
    <row r="989" spans="3:3" x14ac:dyDescent="0.25">
      <c r="C989" s="2"/>
    </row>
    <row r="990" spans="3:3" x14ac:dyDescent="0.25">
      <c r="C990" s="2"/>
    </row>
    <row r="991" spans="3:3" x14ac:dyDescent="0.25">
      <c r="C991" s="2"/>
    </row>
    <row r="992" spans="3:3" x14ac:dyDescent="0.25">
      <c r="C992" s="2"/>
    </row>
    <row r="993" spans="3:3" x14ac:dyDescent="0.25">
      <c r="C993" s="2"/>
    </row>
    <row r="994" spans="3:3" x14ac:dyDescent="0.25">
      <c r="C994" s="2"/>
    </row>
    <row r="995" spans="3:3" x14ac:dyDescent="0.25">
      <c r="C995" s="2"/>
    </row>
    <row r="996" spans="3:3" x14ac:dyDescent="0.25">
      <c r="C996" s="2"/>
    </row>
    <row r="997" spans="3:3" x14ac:dyDescent="0.25">
      <c r="C997" s="2"/>
    </row>
    <row r="998" spans="3:3" x14ac:dyDescent="0.25">
      <c r="C998" s="2"/>
    </row>
    <row r="999" spans="3:3" x14ac:dyDescent="0.25">
      <c r="C999" s="2"/>
    </row>
    <row r="1000" spans="3:3" x14ac:dyDescent="0.25">
      <c r="C1000" s="2"/>
    </row>
    <row r="1001" spans="3:3" x14ac:dyDescent="0.25">
      <c r="C1001" s="2"/>
    </row>
    <row r="1002" spans="3:3" x14ac:dyDescent="0.25">
      <c r="C1002" s="2"/>
    </row>
    <row r="1003" spans="3:3" x14ac:dyDescent="0.25">
      <c r="C1003" s="2"/>
    </row>
    <row r="1004" spans="3:3" x14ac:dyDescent="0.25">
      <c r="C1004" s="2"/>
    </row>
    <row r="1005" spans="3:3" x14ac:dyDescent="0.25">
      <c r="C1005" s="2"/>
    </row>
    <row r="1006" spans="3:3" x14ac:dyDescent="0.25">
      <c r="C1006" s="2"/>
    </row>
    <row r="1007" spans="3:3" x14ac:dyDescent="0.25">
      <c r="C1007" s="2"/>
    </row>
    <row r="1008" spans="3:3" x14ac:dyDescent="0.25">
      <c r="C1008" s="2"/>
    </row>
    <row r="1009" spans="3:3" x14ac:dyDescent="0.25">
      <c r="C1009" s="2"/>
    </row>
    <row r="1010" spans="3:3" x14ac:dyDescent="0.25">
      <c r="C1010" s="2"/>
    </row>
    <row r="1011" spans="3:3" x14ac:dyDescent="0.25">
      <c r="C1011" s="2"/>
    </row>
    <row r="1012" spans="3:3" x14ac:dyDescent="0.25">
      <c r="C1012" s="2"/>
    </row>
    <row r="1013" spans="3:3" x14ac:dyDescent="0.25">
      <c r="C1013" s="2"/>
    </row>
    <row r="1014" spans="3:3" x14ac:dyDescent="0.25">
      <c r="C1014" s="2"/>
    </row>
    <row r="1015" spans="3:3" x14ac:dyDescent="0.25">
      <c r="C1015" s="2"/>
    </row>
    <row r="1016" spans="3:3" x14ac:dyDescent="0.25">
      <c r="C1016" s="2"/>
    </row>
    <row r="1017" spans="3:3" x14ac:dyDescent="0.25">
      <c r="C1017" s="2"/>
    </row>
    <row r="1018" spans="3:3" x14ac:dyDescent="0.25">
      <c r="C1018" s="2"/>
    </row>
    <row r="1019" spans="3:3" x14ac:dyDescent="0.25">
      <c r="C1019" s="2"/>
    </row>
    <row r="1020" spans="3:3" x14ac:dyDescent="0.25">
      <c r="C1020" s="2"/>
    </row>
    <row r="1021" spans="3:3" x14ac:dyDescent="0.25">
      <c r="C1021" s="2"/>
    </row>
    <row r="1022" spans="3:3" x14ac:dyDescent="0.25">
      <c r="C1022" s="2"/>
    </row>
    <row r="1023" spans="3:3" x14ac:dyDescent="0.25">
      <c r="C1023" s="2"/>
    </row>
    <row r="1024" spans="3:3" x14ac:dyDescent="0.25">
      <c r="C1024" s="2"/>
    </row>
    <row r="1025" spans="3:3" x14ac:dyDescent="0.25">
      <c r="C1025" s="2"/>
    </row>
    <row r="1026" spans="3:3" x14ac:dyDescent="0.25">
      <c r="C1026" s="2"/>
    </row>
    <row r="1027" spans="3:3" x14ac:dyDescent="0.25">
      <c r="C1027" s="2"/>
    </row>
    <row r="1028" spans="3:3" x14ac:dyDescent="0.25">
      <c r="C1028" s="2"/>
    </row>
    <row r="1029" spans="3:3" x14ac:dyDescent="0.25">
      <c r="C1029" s="2"/>
    </row>
    <row r="1030" spans="3:3" x14ac:dyDescent="0.25">
      <c r="C1030" s="2"/>
    </row>
    <row r="1031" spans="3:3" x14ac:dyDescent="0.25">
      <c r="C1031" s="2"/>
    </row>
    <row r="1032" spans="3:3" x14ac:dyDescent="0.25">
      <c r="C1032" s="2"/>
    </row>
    <row r="1033" spans="3:3" x14ac:dyDescent="0.25">
      <c r="C1033" s="2"/>
    </row>
    <row r="1034" spans="3:3" x14ac:dyDescent="0.25">
      <c r="C1034" s="2"/>
    </row>
    <row r="1035" spans="3:3" x14ac:dyDescent="0.25">
      <c r="C1035" s="2"/>
    </row>
    <row r="1036" spans="3:3" x14ac:dyDescent="0.25">
      <c r="C1036" s="2"/>
    </row>
    <row r="1037" spans="3:3" x14ac:dyDescent="0.25">
      <c r="C1037" s="2"/>
    </row>
    <row r="1038" spans="3:3" x14ac:dyDescent="0.25">
      <c r="C1038" s="2"/>
    </row>
    <row r="1039" spans="3:3" x14ac:dyDescent="0.25">
      <c r="C1039" s="2"/>
    </row>
    <row r="1040" spans="3:3" x14ac:dyDescent="0.25">
      <c r="C1040" s="2"/>
    </row>
    <row r="1041" spans="3:3" x14ac:dyDescent="0.25">
      <c r="C1041" s="2"/>
    </row>
    <row r="1042" spans="3:3" x14ac:dyDescent="0.25">
      <c r="C1042" s="2"/>
    </row>
    <row r="1043" spans="3:3" x14ac:dyDescent="0.25">
      <c r="C1043" s="2"/>
    </row>
    <row r="1044" spans="3:3" x14ac:dyDescent="0.25">
      <c r="C1044" s="2"/>
    </row>
    <row r="1045" spans="3:3" x14ac:dyDescent="0.25">
      <c r="C1045" s="2"/>
    </row>
    <row r="1046" spans="3:3" x14ac:dyDescent="0.25">
      <c r="C1046" s="2"/>
    </row>
    <row r="1047" spans="3:3" x14ac:dyDescent="0.25">
      <c r="C1047" s="2"/>
    </row>
    <row r="1048" spans="3:3" x14ac:dyDescent="0.25">
      <c r="C1048" s="2"/>
    </row>
    <row r="1049" spans="3:3" x14ac:dyDescent="0.25">
      <c r="C1049" s="2"/>
    </row>
    <row r="1050" spans="3:3" x14ac:dyDescent="0.25">
      <c r="C1050" s="2"/>
    </row>
    <row r="1051" spans="3:3" x14ac:dyDescent="0.25">
      <c r="C1051" s="2"/>
    </row>
    <row r="1052" spans="3:3" x14ac:dyDescent="0.25">
      <c r="C1052" s="2"/>
    </row>
    <row r="1053" spans="3:3" x14ac:dyDescent="0.25">
      <c r="C1053" s="2"/>
    </row>
    <row r="1054" spans="3:3" x14ac:dyDescent="0.25">
      <c r="C1054" s="2"/>
    </row>
    <row r="1055" spans="3:3" x14ac:dyDescent="0.25">
      <c r="C1055" s="2"/>
    </row>
    <row r="1056" spans="3:3" x14ac:dyDescent="0.25">
      <c r="C1056" s="2"/>
    </row>
    <row r="1057" spans="3:3" x14ac:dyDescent="0.25">
      <c r="C1057" s="2"/>
    </row>
    <row r="1058" spans="3:3" x14ac:dyDescent="0.25">
      <c r="C1058" s="2"/>
    </row>
    <row r="1059" spans="3:3" x14ac:dyDescent="0.25">
      <c r="C1059" s="2"/>
    </row>
    <row r="1060" spans="3:3" x14ac:dyDescent="0.25">
      <c r="C1060" s="2"/>
    </row>
    <row r="1061" spans="3:3" x14ac:dyDescent="0.25">
      <c r="C1061" s="2"/>
    </row>
    <row r="1062" spans="3:3" x14ac:dyDescent="0.25">
      <c r="C1062" s="2"/>
    </row>
    <row r="1063" spans="3:3" x14ac:dyDescent="0.25">
      <c r="C1063" s="2"/>
    </row>
    <row r="1064" spans="3:3" x14ac:dyDescent="0.25">
      <c r="C1064" s="2"/>
    </row>
    <row r="1065" spans="3:3" x14ac:dyDescent="0.25">
      <c r="C1065" s="2"/>
    </row>
    <row r="1066" spans="3:3" x14ac:dyDescent="0.25">
      <c r="C1066" s="2"/>
    </row>
    <row r="1067" spans="3:3" x14ac:dyDescent="0.25">
      <c r="C1067" s="2"/>
    </row>
    <row r="1068" spans="3:3" x14ac:dyDescent="0.25">
      <c r="C1068" s="2"/>
    </row>
    <row r="1069" spans="3:3" x14ac:dyDescent="0.25">
      <c r="C1069" s="2"/>
    </row>
    <row r="1070" spans="3:3" x14ac:dyDescent="0.25">
      <c r="C1070" s="2"/>
    </row>
    <row r="1071" spans="3:3" x14ac:dyDescent="0.25">
      <c r="C1071" s="2"/>
    </row>
    <row r="1072" spans="3:3" x14ac:dyDescent="0.25">
      <c r="C1072" s="2"/>
    </row>
    <row r="1073" spans="3:3" x14ac:dyDescent="0.25">
      <c r="C1073" s="2"/>
    </row>
    <row r="1074" spans="3:3" x14ac:dyDescent="0.25">
      <c r="C1074" s="2"/>
    </row>
    <row r="1075" spans="3:3" x14ac:dyDescent="0.25">
      <c r="C1075" s="2"/>
    </row>
    <row r="1076" spans="3:3" x14ac:dyDescent="0.25">
      <c r="C1076" s="2"/>
    </row>
    <row r="1077" spans="3:3" x14ac:dyDescent="0.25">
      <c r="C1077" s="2"/>
    </row>
    <row r="1078" spans="3:3" x14ac:dyDescent="0.25">
      <c r="C1078" s="2"/>
    </row>
    <row r="1079" spans="3:3" x14ac:dyDescent="0.25">
      <c r="C1079" s="2"/>
    </row>
    <row r="1080" spans="3:3" x14ac:dyDescent="0.25">
      <c r="C1080" s="2"/>
    </row>
    <row r="1081" spans="3:3" x14ac:dyDescent="0.25">
      <c r="C1081" s="2"/>
    </row>
    <row r="1082" spans="3:3" x14ac:dyDescent="0.25">
      <c r="C1082" s="2"/>
    </row>
    <row r="1083" spans="3:3" x14ac:dyDescent="0.25">
      <c r="C1083" s="2"/>
    </row>
    <row r="1084" spans="3:3" x14ac:dyDescent="0.25">
      <c r="C1084" s="2"/>
    </row>
    <row r="1085" spans="3:3" x14ac:dyDescent="0.25">
      <c r="C1085" s="2"/>
    </row>
    <row r="1086" spans="3:3" x14ac:dyDescent="0.25">
      <c r="C1086" s="2"/>
    </row>
    <row r="1087" spans="3:3" x14ac:dyDescent="0.25">
      <c r="C1087" s="2"/>
    </row>
    <row r="1088" spans="3:3" x14ac:dyDescent="0.25">
      <c r="C1088" s="2"/>
    </row>
    <row r="1089" spans="3:3" x14ac:dyDescent="0.25">
      <c r="C1089" s="2"/>
    </row>
    <row r="1090" spans="3:3" x14ac:dyDescent="0.25">
      <c r="C1090" s="2"/>
    </row>
    <row r="1091" spans="3:3" x14ac:dyDescent="0.25">
      <c r="C1091" s="2"/>
    </row>
    <row r="1092" spans="3:3" x14ac:dyDescent="0.25">
      <c r="C1092" s="2"/>
    </row>
    <row r="1093" spans="3:3" x14ac:dyDescent="0.25">
      <c r="C1093" s="2"/>
    </row>
    <row r="1094" spans="3:3" x14ac:dyDescent="0.25">
      <c r="C1094" s="2"/>
    </row>
    <row r="1095" spans="3:3" x14ac:dyDescent="0.25">
      <c r="C1095" s="2"/>
    </row>
    <row r="1096" spans="3:3" x14ac:dyDescent="0.25">
      <c r="C1096" s="2"/>
    </row>
    <row r="1097" spans="3:3" x14ac:dyDescent="0.25">
      <c r="C1097" s="2"/>
    </row>
    <row r="1098" spans="3:3" x14ac:dyDescent="0.25">
      <c r="C1098" s="2"/>
    </row>
    <row r="1099" spans="3:3" x14ac:dyDescent="0.25">
      <c r="C1099" s="2"/>
    </row>
    <row r="1100" spans="3:3" x14ac:dyDescent="0.25">
      <c r="C1100" s="2"/>
    </row>
    <row r="1101" spans="3:3" x14ac:dyDescent="0.25">
      <c r="C1101" s="2"/>
    </row>
    <row r="1102" spans="3:3" x14ac:dyDescent="0.25">
      <c r="C1102" s="2"/>
    </row>
    <row r="1103" spans="3:3" x14ac:dyDescent="0.25">
      <c r="C1103" s="2"/>
    </row>
    <row r="1104" spans="3:3" x14ac:dyDescent="0.25">
      <c r="C1104" s="2"/>
    </row>
    <row r="1105" spans="3:3" x14ac:dyDescent="0.25">
      <c r="C1105" s="2"/>
    </row>
    <row r="1106" spans="3:3" x14ac:dyDescent="0.25">
      <c r="C1106" s="2"/>
    </row>
    <row r="1107" spans="3:3" x14ac:dyDescent="0.25">
      <c r="C1107" s="2"/>
    </row>
    <row r="1108" spans="3:3" x14ac:dyDescent="0.25">
      <c r="C1108" s="2"/>
    </row>
    <row r="1109" spans="3:3" x14ac:dyDescent="0.25">
      <c r="C1109" s="2"/>
    </row>
    <row r="1110" spans="3:3" x14ac:dyDescent="0.25">
      <c r="C1110" s="2"/>
    </row>
    <row r="1111" spans="3:3" x14ac:dyDescent="0.25">
      <c r="C1111" s="2"/>
    </row>
    <row r="1112" spans="3:3" x14ac:dyDescent="0.25">
      <c r="C1112" s="2"/>
    </row>
    <row r="1113" spans="3:3" x14ac:dyDescent="0.25">
      <c r="C1113" s="2"/>
    </row>
    <row r="1114" spans="3:3" x14ac:dyDescent="0.25">
      <c r="C1114" s="2"/>
    </row>
    <row r="1115" spans="3:3" x14ac:dyDescent="0.25">
      <c r="C1115" s="2"/>
    </row>
    <row r="1116" spans="3:3" x14ac:dyDescent="0.25">
      <c r="C1116" s="2"/>
    </row>
    <row r="1117" spans="3:3" x14ac:dyDescent="0.25">
      <c r="C1117" s="2"/>
    </row>
    <row r="1118" spans="3:3" x14ac:dyDescent="0.25">
      <c r="C1118" s="2"/>
    </row>
    <row r="1119" spans="3:3" x14ac:dyDescent="0.25">
      <c r="C1119" s="2"/>
    </row>
    <row r="1120" spans="3:3" x14ac:dyDescent="0.25">
      <c r="C1120" s="2"/>
    </row>
    <row r="1121" spans="3:3" x14ac:dyDescent="0.25">
      <c r="C1121" s="2"/>
    </row>
    <row r="1122" spans="3:3" x14ac:dyDescent="0.25">
      <c r="C1122" s="2"/>
    </row>
    <row r="1123" spans="3:3" x14ac:dyDescent="0.25">
      <c r="C1123" s="2"/>
    </row>
    <row r="1124" spans="3:3" x14ac:dyDescent="0.25">
      <c r="C1124" s="2"/>
    </row>
    <row r="1125" spans="3:3" x14ac:dyDescent="0.25">
      <c r="C1125" s="2"/>
    </row>
    <row r="1126" spans="3:3" x14ac:dyDescent="0.25">
      <c r="C1126" s="2"/>
    </row>
    <row r="1127" spans="3:3" x14ac:dyDescent="0.25">
      <c r="C1127" s="2"/>
    </row>
    <row r="1128" spans="3:3" x14ac:dyDescent="0.25">
      <c r="C1128" s="2"/>
    </row>
    <row r="1129" spans="3:3" x14ac:dyDescent="0.25">
      <c r="C1129" s="2"/>
    </row>
    <row r="1130" spans="3:3" x14ac:dyDescent="0.25">
      <c r="C1130" s="2"/>
    </row>
    <row r="1131" spans="3:3" x14ac:dyDescent="0.25">
      <c r="C1131" s="2"/>
    </row>
    <row r="1132" spans="3:3" x14ac:dyDescent="0.25">
      <c r="C1132" s="2"/>
    </row>
    <row r="1133" spans="3:3" x14ac:dyDescent="0.25">
      <c r="C1133" s="2"/>
    </row>
    <row r="1134" spans="3:3" x14ac:dyDescent="0.25">
      <c r="C1134" s="2"/>
    </row>
    <row r="1135" spans="3:3" x14ac:dyDescent="0.25">
      <c r="C1135" s="2"/>
    </row>
    <row r="1136" spans="3:3" x14ac:dyDescent="0.25">
      <c r="C1136" s="2"/>
    </row>
    <row r="1137" spans="3:3" x14ac:dyDescent="0.25">
      <c r="C1137" s="2"/>
    </row>
    <row r="1138" spans="3:3" x14ac:dyDescent="0.25">
      <c r="C1138" s="2"/>
    </row>
    <row r="1139" spans="3:3" x14ac:dyDescent="0.25">
      <c r="C1139" s="2"/>
    </row>
    <row r="1140" spans="3:3" x14ac:dyDescent="0.25">
      <c r="C1140" s="2"/>
    </row>
    <row r="1141" spans="3:3" x14ac:dyDescent="0.25">
      <c r="C1141" s="2"/>
    </row>
    <row r="1142" spans="3:3" x14ac:dyDescent="0.25">
      <c r="C1142" s="2"/>
    </row>
    <row r="1143" spans="3:3" x14ac:dyDescent="0.25">
      <c r="C1143" s="2"/>
    </row>
    <row r="1144" spans="3:3" x14ac:dyDescent="0.25">
      <c r="C1144" s="2"/>
    </row>
    <row r="1145" spans="3:3" x14ac:dyDescent="0.25">
      <c r="C1145" s="2"/>
    </row>
    <row r="1146" spans="3:3" x14ac:dyDescent="0.25">
      <c r="C1146" s="2"/>
    </row>
    <row r="1147" spans="3:3" x14ac:dyDescent="0.25">
      <c r="C1147" s="2"/>
    </row>
    <row r="1148" spans="3:3" x14ac:dyDescent="0.25">
      <c r="C1148" s="2"/>
    </row>
    <row r="1149" spans="3:3" x14ac:dyDescent="0.25">
      <c r="C1149" s="2"/>
    </row>
    <row r="1150" spans="3:3" x14ac:dyDescent="0.25">
      <c r="C1150" s="2"/>
    </row>
    <row r="1151" spans="3:3" x14ac:dyDescent="0.25">
      <c r="C1151" s="2"/>
    </row>
    <row r="1152" spans="3:3" x14ac:dyDescent="0.25">
      <c r="C1152" s="2"/>
    </row>
    <row r="1153" spans="3:3" x14ac:dyDescent="0.25">
      <c r="C1153" s="2"/>
    </row>
    <row r="1154" spans="3:3" x14ac:dyDescent="0.25">
      <c r="C1154" s="2"/>
    </row>
    <row r="1155" spans="3:3" x14ac:dyDescent="0.25">
      <c r="C1155" s="2"/>
    </row>
    <row r="1156" spans="3:3" x14ac:dyDescent="0.25">
      <c r="C1156" s="2"/>
    </row>
    <row r="1157" spans="3:3" x14ac:dyDescent="0.25">
      <c r="C1157" s="2"/>
    </row>
    <row r="1158" spans="3:3" x14ac:dyDescent="0.25">
      <c r="C1158" s="2"/>
    </row>
    <row r="1159" spans="3:3" x14ac:dyDescent="0.25">
      <c r="C1159" s="2"/>
    </row>
    <row r="1160" spans="3:3" x14ac:dyDescent="0.25">
      <c r="C1160" s="2"/>
    </row>
    <row r="1161" spans="3:3" x14ac:dyDescent="0.25">
      <c r="C1161" s="2"/>
    </row>
    <row r="1162" spans="3:3" x14ac:dyDescent="0.25">
      <c r="C1162" s="2"/>
    </row>
    <row r="1163" spans="3:3" x14ac:dyDescent="0.25">
      <c r="C1163" s="2"/>
    </row>
    <row r="1164" spans="3:3" x14ac:dyDescent="0.25">
      <c r="C1164" s="2"/>
    </row>
    <row r="1165" spans="3:3" x14ac:dyDescent="0.25">
      <c r="C1165" s="2"/>
    </row>
    <row r="1166" spans="3:3" x14ac:dyDescent="0.25">
      <c r="C1166" s="2"/>
    </row>
    <row r="1167" spans="3:3" x14ac:dyDescent="0.25">
      <c r="C1167" s="2"/>
    </row>
    <row r="1168" spans="3:3" x14ac:dyDescent="0.25">
      <c r="C1168" s="2"/>
    </row>
    <row r="1169" spans="3:3" x14ac:dyDescent="0.25">
      <c r="C1169" s="2"/>
    </row>
    <row r="1170" spans="3:3" x14ac:dyDescent="0.25">
      <c r="C1170" s="2"/>
    </row>
    <row r="1171" spans="3:3" x14ac:dyDescent="0.25">
      <c r="C1171" s="2"/>
    </row>
    <row r="1172" spans="3:3" x14ac:dyDescent="0.25">
      <c r="C1172" s="2"/>
    </row>
    <row r="1173" spans="3:3" x14ac:dyDescent="0.25">
      <c r="C1173" s="2"/>
    </row>
    <row r="1174" spans="3:3" x14ac:dyDescent="0.25">
      <c r="C1174" s="2"/>
    </row>
    <row r="1175" spans="3:3" x14ac:dyDescent="0.25">
      <c r="C1175" s="2"/>
    </row>
    <row r="1176" spans="3:3" x14ac:dyDescent="0.25">
      <c r="C1176" s="2"/>
    </row>
    <row r="1177" spans="3:3" x14ac:dyDescent="0.25">
      <c r="C1177" s="2"/>
    </row>
    <row r="1178" spans="3:3" x14ac:dyDescent="0.25">
      <c r="C1178" s="2"/>
    </row>
    <row r="1179" spans="3:3" x14ac:dyDescent="0.25">
      <c r="C1179" s="2"/>
    </row>
    <row r="1180" spans="3:3" x14ac:dyDescent="0.25">
      <c r="C1180" s="2"/>
    </row>
    <row r="1181" spans="3:3" x14ac:dyDescent="0.25">
      <c r="C1181" s="2"/>
    </row>
    <row r="1182" spans="3:3" x14ac:dyDescent="0.25">
      <c r="C1182" s="2"/>
    </row>
    <row r="1183" spans="3:3" x14ac:dyDescent="0.25">
      <c r="C1183" s="2"/>
    </row>
    <row r="1184" spans="3:3" x14ac:dyDescent="0.25">
      <c r="C1184" s="2"/>
    </row>
    <row r="1185" spans="3:3" x14ac:dyDescent="0.25">
      <c r="C1185" s="2"/>
    </row>
    <row r="1186" spans="3:3" x14ac:dyDescent="0.25">
      <c r="C1186" s="2"/>
    </row>
    <row r="1187" spans="3:3" x14ac:dyDescent="0.25">
      <c r="C1187" s="2"/>
    </row>
    <row r="1188" spans="3:3" x14ac:dyDescent="0.25">
      <c r="C1188" s="2"/>
    </row>
    <row r="1189" spans="3:3" x14ac:dyDescent="0.25">
      <c r="C1189" s="2"/>
    </row>
    <row r="1190" spans="3:3" x14ac:dyDescent="0.25">
      <c r="C1190" s="2"/>
    </row>
    <row r="1191" spans="3:3" x14ac:dyDescent="0.25">
      <c r="C1191" s="2"/>
    </row>
    <row r="1192" spans="3:3" x14ac:dyDescent="0.25">
      <c r="C1192" s="2"/>
    </row>
    <row r="1193" spans="3:3" x14ac:dyDescent="0.25">
      <c r="C1193" s="2"/>
    </row>
    <row r="1194" spans="3:3" x14ac:dyDescent="0.25">
      <c r="C1194" s="2"/>
    </row>
    <row r="1195" spans="3:3" x14ac:dyDescent="0.25">
      <c r="C1195" s="2"/>
    </row>
    <row r="1196" spans="3:3" x14ac:dyDescent="0.25">
      <c r="C1196" s="2"/>
    </row>
    <row r="1197" spans="3:3" x14ac:dyDescent="0.25">
      <c r="C1197" s="2"/>
    </row>
    <row r="1198" spans="3:3" x14ac:dyDescent="0.25">
      <c r="C1198" s="2"/>
    </row>
    <row r="1199" spans="3:3" x14ac:dyDescent="0.25">
      <c r="C1199" s="2"/>
    </row>
    <row r="1200" spans="3:3" x14ac:dyDescent="0.25">
      <c r="C1200" s="2"/>
    </row>
    <row r="1201" spans="3:3" x14ac:dyDescent="0.25">
      <c r="C1201" s="2"/>
    </row>
    <row r="1202" spans="3:3" x14ac:dyDescent="0.25">
      <c r="C1202" s="2"/>
    </row>
    <row r="1203" spans="3:3" x14ac:dyDescent="0.25">
      <c r="C1203" s="2"/>
    </row>
    <row r="1204" spans="3:3" x14ac:dyDescent="0.25">
      <c r="C1204" s="2"/>
    </row>
    <row r="1205" spans="3:3" x14ac:dyDescent="0.25">
      <c r="C1205" s="2"/>
    </row>
    <row r="1206" spans="3:3" x14ac:dyDescent="0.25">
      <c r="C1206" s="2"/>
    </row>
    <row r="1207" spans="3:3" x14ac:dyDescent="0.25">
      <c r="C1207" s="2"/>
    </row>
    <row r="1208" spans="3:3" x14ac:dyDescent="0.25">
      <c r="C1208" s="2"/>
    </row>
    <row r="1209" spans="3:3" x14ac:dyDescent="0.25">
      <c r="C1209" s="2"/>
    </row>
    <row r="1210" spans="3:3" x14ac:dyDescent="0.25">
      <c r="C1210" s="2"/>
    </row>
    <row r="1211" spans="3:3" x14ac:dyDescent="0.25">
      <c r="C1211" s="2"/>
    </row>
    <row r="1212" spans="3:3" x14ac:dyDescent="0.25">
      <c r="C1212" s="2"/>
    </row>
    <row r="1213" spans="3:3" x14ac:dyDescent="0.25">
      <c r="C1213" s="2"/>
    </row>
    <row r="1214" spans="3:3" x14ac:dyDescent="0.25">
      <c r="C1214" s="2"/>
    </row>
    <row r="1215" spans="3:3" x14ac:dyDescent="0.25">
      <c r="C1215" s="2"/>
    </row>
    <row r="1216" spans="3:3" x14ac:dyDescent="0.25">
      <c r="C1216" s="2"/>
    </row>
    <row r="1217" spans="3:3" x14ac:dyDescent="0.25">
      <c r="C1217" s="2"/>
    </row>
    <row r="1218" spans="3:3" x14ac:dyDescent="0.25">
      <c r="C1218" s="2"/>
    </row>
    <row r="1219" spans="3:3" x14ac:dyDescent="0.25">
      <c r="C1219" s="2"/>
    </row>
    <row r="1220" spans="3:3" x14ac:dyDescent="0.25">
      <c r="C1220" s="2"/>
    </row>
    <row r="1221" spans="3:3" x14ac:dyDescent="0.25">
      <c r="C1221" s="2"/>
    </row>
    <row r="1222" spans="3:3" x14ac:dyDescent="0.25">
      <c r="C1222" s="2"/>
    </row>
    <row r="1223" spans="3:3" x14ac:dyDescent="0.25">
      <c r="C1223" s="2"/>
    </row>
    <row r="1224" spans="3:3" x14ac:dyDescent="0.25">
      <c r="C1224" s="2"/>
    </row>
    <row r="1225" spans="3:3" x14ac:dyDescent="0.25">
      <c r="C1225" s="2"/>
    </row>
    <row r="1226" spans="3:3" x14ac:dyDescent="0.25">
      <c r="C1226" s="2"/>
    </row>
    <row r="1227" spans="3:3" x14ac:dyDescent="0.25">
      <c r="C1227" s="2"/>
    </row>
    <row r="1228" spans="3:3" x14ac:dyDescent="0.25">
      <c r="C1228" s="2"/>
    </row>
    <row r="1229" spans="3:3" x14ac:dyDescent="0.25">
      <c r="C1229" s="2"/>
    </row>
    <row r="1230" spans="3:3" x14ac:dyDescent="0.25">
      <c r="C1230" s="2"/>
    </row>
    <row r="1231" spans="3:3" x14ac:dyDescent="0.25">
      <c r="C1231" s="2"/>
    </row>
    <row r="1232" spans="3:3" x14ac:dyDescent="0.25">
      <c r="C1232" s="2"/>
    </row>
    <row r="1233" spans="3:3" x14ac:dyDescent="0.25">
      <c r="C1233" s="2"/>
    </row>
    <row r="1234" spans="3:3" x14ac:dyDescent="0.25">
      <c r="C1234" s="2"/>
    </row>
    <row r="1235" spans="3:3" x14ac:dyDescent="0.25">
      <c r="C1235" s="2"/>
    </row>
    <row r="1236" spans="3:3" x14ac:dyDescent="0.25">
      <c r="C1236" s="2"/>
    </row>
    <row r="1237" spans="3:3" x14ac:dyDescent="0.25">
      <c r="C1237" s="2"/>
    </row>
    <row r="1238" spans="3:3" x14ac:dyDescent="0.25">
      <c r="C1238" s="2"/>
    </row>
    <row r="1239" spans="3:3" x14ac:dyDescent="0.25">
      <c r="C1239" s="2"/>
    </row>
    <row r="1240" spans="3:3" x14ac:dyDescent="0.25">
      <c r="C1240" s="2"/>
    </row>
    <row r="1241" spans="3:3" x14ac:dyDescent="0.25">
      <c r="C1241" s="2"/>
    </row>
    <row r="1242" spans="3:3" x14ac:dyDescent="0.25">
      <c r="C1242" s="2"/>
    </row>
    <row r="1243" spans="3:3" x14ac:dyDescent="0.25">
      <c r="C1243" s="2"/>
    </row>
    <row r="1244" spans="3:3" x14ac:dyDescent="0.25">
      <c r="C1244" s="2"/>
    </row>
    <row r="1245" spans="3:3" x14ac:dyDescent="0.25">
      <c r="C1245" s="2"/>
    </row>
    <row r="1246" spans="3:3" x14ac:dyDescent="0.25">
      <c r="C1246" s="2"/>
    </row>
    <row r="1247" spans="3:3" x14ac:dyDescent="0.25">
      <c r="C1247" s="2"/>
    </row>
    <row r="1248" spans="3:3" x14ac:dyDescent="0.25">
      <c r="C1248" s="2"/>
    </row>
    <row r="1249" spans="3:3" x14ac:dyDescent="0.25">
      <c r="C1249" s="2"/>
    </row>
    <row r="1250" spans="3:3" x14ac:dyDescent="0.25">
      <c r="C1250" s="2"/>
    </row>
    <row r="1251" spans="3:3" x14ac:dyDescent="0.25">
      <c r="C1251" s="2"/>
    </row>
    <row r="1252" spans="3:3" x14ac:dyDescent="0.25">
      <c r="C1252" s="2"/>
    </row>
    <row r="1253" spans="3:3" x14ac:dyDescent="0.25">
      <c r="C1253" s="2"/>
    </row>
    <row r="1254" spans="3:3" x14ac:dyDescent="0.25">
      <c r="C1254" s="2"/>
    </row>
    <row r="1255" spans="3:3" x14ac:dyDescent="0.25">
      <c r="C1255" s="2"/>
    </row>
    <row r="1256" spans="3:3" x14ac:dyDescent="0.25">
      <c r="C1256" s="2"/>
    </row>
    <row r="1257" spans="3:3" x14ac:dyDescent="0.25">
      <c r="C1257" s="2"/>
    </row>
    <row r="1258" spans="3:3" x14ac:dyDescent="0.25">
      <c r="C1258" s="2"/>
    </row>
    <row r="1259" spans="3:3" x14ac:dyDescent="0.25">
      <c r="C1259" s="2"/>
    </row>
    <row r="1260" spans="3:3" x14ac:dyDescent="0.25">
      <c r="C1260" s="2"/>
    </row>
    <row r="1261" spans="3:3" x14ac:dyDescent="0.25">
      <c r="C1261" s="2"/>
    </row>
    <row r="1262" spans="3:3" x14ac:dyDescent="0.25">
      <c r="C1262" s="2"/>
    </row>
    <row r="1263" spans="3:3" x14ac:dyDescent="0.25">
      <c r="C1263" s="2"/>
    </row>
    <row r="1264" spans="3:3" x14ac:dyDescent="0.25">
      <c r="C1264" s="2"/>
    </row>
    <row r="1265" spans="3:3" x14ac:dyDescent="0.25">
      <c r="C1265" s="2"/>
    </row>
    <row r="1266" spans="3:3" x14ac:dyDescent="0.25">
      <c r="C1266" s="2"/>
    </row>
    <row r="1267" spans="3:3" x14ac:dyDescent="0.25">
      <c r="C1267" s="2"/>
    </row>
    <row r="1268" spans="3:3" x14ac:dyDescent="0.25">
      <c r="C1268" s="2"/>
    </row>
    <row r="1269" spans="3:3" x14ac:dyDescent="0.25">
      <c r="C1269" s="2"/>
    </row>
    <row r="1270" spans="3:3" x14ac:dyDescent="0.25">
      <c r="C1270" s="2"/>
    </row>
    <row r="1271" spans="3:3" x14ac:dyDescent="0.25">
      <c r="C1271" s="2"/>
    </row>
    <row r="1272" spans="3:3" x14ac:dyDescent="0.25">
      <c r="C1272" s="2"/>
    </row>
    <row r="1273" spans="3:3" x14ac:dyDescent="0.25">
      <c r="C1273" s="2"/>
    </row>
    <row r="1274" spans="3:3" x14ac:dyDescent="0.25">
      <c r="C1274" s="2"/>
    </row>
    <row r="1275" spans="3:3" x14ac:dyDescent="0.25">
      <c r="C1275" s="2"/>
    </row>
    <row r="1276" spans="3:3" x14ac:dyDescent="0.25">
      <c r="C1276" s="2"/>
    </row>
    <row r="1277" spans="3:3" x14ac:dyDescent="0.25">
      <c r="C1277" s="2"/>
    </row>
    <row r="1278" spans="3:3" x14ac:dyDescent="0.25">
      <c r="C1278" s="2"/>
    </row>
    <row r="1279" spans="3:3" x14ac:dyDescent="0.25">
      <c r="C1279" s="2"/>
    </row>
    <row r="1280" spans="3:3" x14ac:dyDescent="0.25">
      <c r="C1280" s="2"/>
    </row>
    <row r="1281" spans="3:3" x14ac:dyDescent="0.25">
      <c r="C1281" s="2"/>
    </row>
    <row r="1282" spans="3:3" x14ac:dyDescent="0.25">
      <c r="C1282" s="2"/>
    </row>
    <row r="1283" spans="3:3" x14ac:dyDescent="0.25">
      <c r="C1283" s="2"/>
    </row>
    <row r="1284" spans="3:3" x14ac:dyDescent="0.25">
      <c r="C1284" s="2"/>
    </row>
    <row r="1285" spans="3:3" x14ac:dyDescent="0.25">
      <c r="C1285" s="2"/>
    </row>
    <row r="1286" spans="3:3" x14ac:dyDescent="0.25">
      <c r="C1286" s="2"/>
    </row>
    <row r="1287" spans="3:3" x14ac:dyDescent="0.25">
      <c r="C1287" s="2"/>
    </row>
    <row r="1288" spans="3:3" x14ac:dyDescent="0.25">
      <c r="C1288" s="2"/>
    </row>
    <row r="1289" spans="3:3" x14ac:dyDescent="0.25">
      <c r="C1289" s="2"/>
    </row>
    <row r="1290" spans="3:3" x14ac:dyDescent="0.25">
      <c r="C1290" s="2"/>
    </row>
    <row r="1291" spans="3:3" x14ac:dyDescent="0.25">
      <c r="C1291" s="2"/>
    </row>
    <row r="1292" spans="3:3" x14ac:dyDescent="0.25">
      <c r="C1292" s="2"/>
    </row>
    <row r="1293" spans="3:3" x14ac:dyDescent="0.25">
      <c r="C1293" s="2"/>
    </row>
    <row r="1294" spans="3:3" x14ac:dyDescent="0.25">
      <c r="C1294" s="2"/>
    </row>
    <row r="1295" spans="3:3" x14ac:dyDescent="0.25">
      <c r="C1295" s="2"/>
    </row>
    <row r="1296" spans="3:3" x14ac:dyDescent="0.25">
      <c r="C1296" s="2"/>
    </row>
    <row r="1297" spans="3:3" x14ac:dyDescent="0.25">
      <c r="C1297" s="2"/>
    </row>
    <row r="1298" spans="3:3" x14ac:dyDescent="0.25">
      <c r="C1298" s="2"/>
    </row>
    <row r="1299" spans="3:3" x14ac:dyDescent="0.25">
      <c r="C1299" s="2"/>
    </row>
    <row r="1300" spans="3:3" x14ac:dyDescent="0.25">
      <c r="C1300" s="2"/>
    </row>
    <row r="1301" spans="3:3" x14ac:dyDescent="0.25">
      <c r="C1301" s="2"/>
    </row>
    <row r="1302" spans="3:3" x14ac:dyDescent="0.25">
      <c r="C1302" s="2"/>
    </row>
    <row r="1303" spans="3:3" x14ac:dyDescent="0.25">
      <c r="C1303" s="2"/>
    </row>
    <row r="1304" spans="3:3" x14ac:dyDescent="0.25">
      <c r="C1304" s="2"/>
    </row>
    <row r="1305" spans="3:3" x14ac:dyDescent="0.25">
      <c r="C1305" s="2"/>
    </row>
    <row r="1306" spans="3:3" x14ac:dyDescent="0.25">
      <c r="C1306" s="2"/>
    </row>
    <row r="1307" spans="3:3" x14ac:dyDescent="0.25">
      <c r="C1307" s="2"/>
    </row>
    <row r="1308" spans="3:3" x14ac:dyDescent="0.25">
      <c r="C1308" s="2"/>
    </row>
    <row r="1309" spans="3:3" x14ac:dyDescent="0.25">
      <c r="C1309" s="2"/>
    </row>
    <row r="1310" spans="3:3" x14ac:dyDescent="0.25">
      <c r="C1310" s="2"/>
    </row>
    <row r="1311" spans="3:3" x14ac:dyDescent="0.25">
      <c r="C1311" s="2"/>
    </row>
    <row r="1312" spans="3:3" x14ac:dyDescent="0.25">
      <c r="C1312" s="2"/>
    </row>
    <row r="1313" spans="3:3" x14ac:dyDescent="0.25">
      <c r="C1313" s="2"/>
    </row>
    <row r="1314" spans="3:3" x14ac:dyDescent="0.25">
      <c r="C1314" s="2"/>
    </row>
    <row r="1315" spans="3:3" x14ac:dyDescent="0.25">
      <c r="C1315" s="2"/>
    </row>
    <row r="1316" spans="3:3" x14ac:dyDescent="0.25">
      <c r="C1316" s="2"/>
    </row>
    <row r="1317" spans="3:3" x14ac:dyDescent="0.25">
      <c r="C1317" s="2"/>
    </row>
    <row r="1318" spans="3:3" x14ac:dyDescent="0.25">
      <c r="C1318" s="2"/>
    </row>
    <row r="1319" spans="3:3" x14ac:dyDescent="0.25">
      <c r="C1319" s="2"/>
    </row>
    <row r="1320" spans="3:3" x14ac:dyDescent="0.25">
      <c r="C1320" s="2"/>
    </row>
    <row r="1321" spans="3:3" x14ac:dyDescent="0.25">
      <c r="C1321" s="2"/>
    </row>
    <row r="1322" spans="3:3" x14ac:dyDescent="0.25">
      <c r="C1322" s="2"/>
    </row>
    <row r="1323" spans="3:3" x14ac:dyDescent="0.25">
      <c r="C1323" s="2"/>
    </row>
    <row r="1324" spans="3:3" x14ac:dyDescent="0.25">
      <c r="C1324" s="2"/>
    </row>
    <row r="1325" spans="3:3" x14ac:dyDescent="0.25">
      <c r="C1325" s="2"/>
    </row>
    <row r="1326" spans="3:3" x14ac:dyDescent="0.25">
      <c r="C1326" s="2"/>
    </row>
    <row r="1327" spans="3:3" x14ac:dyDescent="0.25">
      <c r="C1327" s="2"/>
    </row>
    <row r="1328" spans="3:3" x14ac:dyDescent="0.25">
      <c r="C1328" s="2"/>
    </row>
    <row r="1329" spans="3:3" x14ac:dyDescent="0.25">
      <c r="C1329" s="2"/>
    </row>
    <row r="1330" spans="3:3" x14ac:dyDescent="0.25">
      <c r="C1330" s="2"/>
    </row>
    <row r="1331" spans="3:3" x14ac:dyDescent="0.25">
      <c r="C1331" s="2"/>
    </row>
    <row r="1332" spans="3:3" x14ac:dyDescent="0.25">
      <c r="C1332" s="2"/>
    </row>
    <row r="1333" spans="3:3" x14ac:dyDescent="0.25">
      <c r="C1333" s="2"/>
    </row>
    <row r="1334" spans="3:3" x14ac:dyDescent="0.25">
      <c r="C1334" s="2"/>
    </row>
    <row r="1335" spans="3:3" x14ac:dyDescent="0.25">
      <c r="C1335" s="2"/>
    </row>
    <row r="1336" spans="3:3" x14ac:dyDescent="0.25">
      <c r="C1336" s="2"/>
    </row>
    <row r="1337" spans="3:3" x14ac:dyDescent="0.25">
      <c r="C1337" s="2"/>
    </row>
    <row r="1338" spans="3:3" x14ac:dyDescent="0.25">
      <c r="C1338" s="2"/>
    </row>
    <row r="1339" spans="3:3" x14ac:dyDescent="0.25">
      <c r="C1339" s="2"/>
    </row>
    <row r="1340" spans="3:3" x14ac:dyDescent="0.25">
      <c r="C1340" s="2"/>
    </row>
    <row r="1341" spans="3:3" x14ac:dyDescent="0.25">
      <c r="C1341" s="2"/>
    </row>
    <row r="1342" spans="3:3" x14ac:dyDescent="0.25">
      <c r="C1342" s="2"/>
    </row>
    <row r="1343" spans="3:3" x14ac:dyDescent="0.25">
      <c r="C1343" s="2"/>
    </row>
    <row r="1344" spans="3:3" x14ac:dyDescent="0.25">
      <c r="C1344" s="2"/>
    </row>
    <row r="1345" spans="3:3" x14ac:dyDescent="0.25">
      <c r="C1345" s="2"/>
    </row>
    <row r="1346" spans="3:3" x14ac:dyDescent="0.25">
      <c r="C1346" s="2"/>
    </row>
    <row r="1347" spans="3:3" x14ac:dyDescent="0.25">
      <c r="C1347" s="2"/>
    </row>
    <row r="1348" spans="3:3" x14ac:dyDescent="0.25">
      <c r="C1348" s="2"/>
    </row>
    <row r="1349" spans="3:3" x14ac:dyDescent="0.25">
      <c r="C1349" s="2"/>
    </row>
    <row r="1350" spans="3:3" x14ac:dyDescent="0.25">
      <c r="C1350" s="2"/>
    </row>
    <row r="1351" spans="3:3" x14ac:dyDescent="0.25">
      <c r="C1351" s="2"/>
    </row>
    <row r="1352" spans="3:3" x14ac:dyDescent="0.25">
      <c r="C1352" s="2"/>
    </row>
    <row r="1353" spans="3:3" x14ac:dyDescent="0.25">
      <c r="C1353" s="2"/>
    </row>
    <row r="1354" spans="3:3" x14ac:dyDescent="0.25">
      <c r="C1354" s="2"/>
    </row>
    <row r="1355" spans="3:3" x14ac:dyDescent="0.25">
      <c r="C1355" s="2"/>
    </row>
    <row r="1356" spans="3:3" x14ac:dyDescent="0.25">
      <c r="C1356" s="2"/>
    </row>
    <row r="1357" spans="3:3" x14ac:dyDescent="0.25">
      <c r="C1357" s="2"/>
    </row>
    <row r="1358" spans="3:3" x14ac:dyDescent="0.25">
      <c r="C1358" s="2"/>
    </row>
    <row r="1359" spans="3:3" x14ac:dyDescent="0.25">
      <c r="C1359" s="2"/>
    </row>
    <row r="1360" spans="3:3" x14ac:dyDescent="0.25">
      <c r="C1360" s="2"/>
    </row>
    <row r="1361" spans="3:3" x14ac:dyDescent="0.25">
      <c r="C1361" s="2"/>
    </row>
    <row r="1362" spans="3:3" x14ac:dyDescent="0.25">
      <c r="C1362" s="2"/>
    </row>
    <row r="1363" spans="3:3" x14ac:dyDescent="0.25">
      <c r="C1363" s="2"/>
    </row>
    <row r="1364" spans="3:3" x14ac:dyDescent="0.25">
      <c r="C1364" s="2"/>
    </row>
    <row r="1365" spans="3:3" x14ac:dyDescent="0.25">
      <c r="C1365" s="2"/>
    </row>
    <row r="1366" spans="3:3" x14ac:dyDescent="0.25">
      <c r="C1366" s="2"/>
    </row>
    <row r="1367" spans="3:3" x14ac:dyDescent="0.25">
      <c r="C1367" s="2"/>
    </row>
    <row r="1368" spans="3:3" x14ac:dyDescent="0.25">
      <c r="C1368" s="2"/>
    </row>
    <row r="1369" spans="3:3" x14ac:dyDescent="0.25">
      <c r="C1369" s="2"/>
    </row>
    <row r="1370" spans="3:3" x14ac:dyDescent="0.25">
      <c r="C1370" s="2"/>
    </row>
    <row r="1371" spans="3:3" x14ac:dyDescent="0.25">
      <c r="C1371" s="2"/>
    </row>
    <row r="1372" spans="3:3" x14ac:dyDescent="0.25">
      <c r="C1372" s="2"/>
    </row>
    <row r="1373" spans="3:3" x14ac:dyDescent="0.25">
      <c r="C1373" s="2"/>
    </row>
    <row r="1374" spans="3:3" x14ac:dyDescent="0.25">
      <c r="C1374" s="2"/>
    </row>
    <row r="1375" spans="3:3" x14ac:dyDescent="0.25">
      <c r="C1375" s="2"/>
    </row>
    <row r="1376" spans="3:3" x14ac:dyDescent="0.25">
      <c r="C1376" s="2"/>
    </row>
    <row r="1377" spans="3:3" x14ac:dyDescent="0.25">
      <c r="C1377" s="2"/>
    </row>
    <row r="1378" spans="3:3" x14ac:dyDescent="0.25">
      <c r="C1378" s="2"/>
    </row>
    <row r="1379" spans="3:3" x14ac:dyDescent="0.25">
      <c r="C1379" s="2"/>
    </row>
    <row r="1380" spans="3:3" x14ac:dyDescent="0.25">
      <c r="C1380" s="2"/>
    </row>
    <row r="1381" spans="3:3" x14ac:dyDescent="0.25">
      <c r="C1381" s="2"/>
    </row>
    <row r="1382" spans="3:3" x14ac:dyDescent="0.25">
      <c r="C1382" s="2"/>
    </row>
    <row r="1383" spans="3:3" x14ac:dyDescent="0.25">
      <c r="C1383" s="2"/>
    </row>
    <row r="1384" spans="3:3" x14ac:dyDescent="0.25">
      <c r="C1384" s="2"/>
    </row>
    <row r="1385" spans="3:3" x14ac:dyDescent="0.25">
      <c r="C1385" s="2"/>
    </row>
    <row r="1386" spans="3:3" x14ac:dyDescent="0.25">
      <c r="C1386" s="2"/>
    </row>
    <row r="1387" spans="3:3" x14ac:dyDescent="0.25">
      <c r="C1387" s="2"/>
    </row>
    <row r="1388" spans="3:3" x14ac:dyDescent="0.25">
      <c r="C1388" s="2"/>
    </row>
    <row r="1389" spans="3:3" x14ac:dyDescent="0.25">
      <c r="C1389" s="2"/>
    </row>
    <row r="1390" spans="3:3" x14ac:dyDescent="0.25">
      <c r="C1390" s="2"/>
    </row>
    <row r="1391" spans="3:3" x14ac:dyDescent="0.25">
      <c r="C1391" s="2"/>
    </row>
    <row r="1392" spans="3:3" x14ac:dyDescent="0.25">
      <c r="C1392" s="2"/>
    </row>
    <row r="1393" spans="3:3" x14ac:dyDescent="0.25">
      <c r="C1393" s="2"/>
    </row>
    <row r="1394" spans="3:3" x14ac:dyDescent="0.25">
      <c r="C1394" s="2"/>
    </row>
    <row r="1395" spans="3:3" x14ac:dyDescent="0.25">
      <c r="C1395" s="2"/>
    </row>
    <row r="1396" spans="3:3" x14ac:dyDescent="0.25">
      <c r="C1396" s="2"/>
    </row>
    <row r="1397" spans="3:3" x14ac:dyDescent="0.25">
      <c r="C1397" s="2"/>
    </row>
    <row r="1398" spans="3:3" x14ac:dyDescent="0.25">
      <c r="C1398" s="2"/>
    </row>
    <row r="1399" spans="3:3" x14ac:dyDescent="0.25">
      <c r="C1399" s="2"/>
    </row>
    <row r="1400" spans="3:3" x14ac:dyDescent="0.25">
      <c r="C1400" s="2"/>
    </row>
    <row r="1401" spans="3:3" x14ac:dyDescent="0.25">
      <c r="C1401" s="2"/>
    </row>
    <row r="1402" spans="3:3" x14ac:dyDescent="0.25">
      <c r="C1402" s="2"/>
    </row>
    <row r="1403" spans="3:3" x14ac:dyDescent="0.25">
      <c r="C1403" s="2"/>
    </row>
    <row r="1404" spans="3:3" x14ac:dyDescent="0.25">
      <c r="C1404" s="2"/>
    </row>
    <row r="1405" spans="3:3" x14ac:dyDescent="0.25">
      <c r="C1405" s="2"/>
    </row>
    <row r="1406" spans="3:3" x14ac:dyDescent="0.25">
      <c r="C1406" s="2"/>
    </row>
    <row r="1407" spans="3:3" x14ac:dyDescent="0.25">
      <c r="C1407" s="2"/>
    </row>
    <row r="1408" spans="3:3" x14ac:dyDescent="0.25">
      <c r="C1408" s="2"/>
    </row>
    <row r="1409" spans="3:3" x14ac:dyDescent="0.25">
      <c r="C1409" s="2"/>
    </row>
    <row r="1410" spans="3:3" x14ac:dyDescent="0.25">
      <c r="C1410" s="2"/>
    </row>
    <row r="1411" spans="3:3" x14ac:dyDescent="0.25">
      <c r="C1411" s="2"/>
    </row>
    <row r="1412" spans="3:3" x14ac:dyDescent="0.25">
      <c r="C1412" s="2"/>
    </row>
    <row r="1413" spans="3:3" x14ac:dyDescent="0.25">
      <c r="C1413" s="2"/>
    </row>
    <row r="1414" spans="3:3" x14ac:dyDescent="0.25">
      <c r="C1414" s="2"/>
    </row>
  </sheetData>
  <mergeCells count="396">
    <mergeCell ref="R133:R134"/>
    <mergeCell ref="U137:Y138"/>
    <mergeCell ref="R138:R139"/>
    <mergeCell ref="R140:R141"/>
    <mergeCell ref="R128:R129"/>
    <mergeCell ref="R130:R131"/>
    <mergeCell ref="R135:R136"/>
    <mergeCell ref="Q140:Q141"/>
    <mergeCell ref="A138:A139"/>
    <mergeCell ref="B138:B139"/>
    <mergeCell ref="P140:P141"/>
    <mergeCell ref="R109:R110"/>
    <mergeCell ref="R120:R121"/>
    <mergeCell ref="R112:R113"/>
    <mergeCell ref="A111:R111"/>
    <mergeCell ref="Q109:Q110"/>
    <mergeCell ref="P120:P121"/>
    <mergeCell ref="A120:A121"/>
    <mergeCell ref="Q128:Q129"/>
    <mergeCell ref="D137:G137"/>
    <mergeCell ref="H137:K137"/>
    <mergeCell ref="L137:O137"/>
    <mergeCell ref="Q135:Q136"/>
    <mergeCell ref="B130:B131"/>
    <mergeCell ref="H126:K126"/>
    <mergeCell ref="L126:O126"/>
    <mergeCell ref="D116:G116"/>
    <mergeCell ref="D114:G114"/>
    <mergeCell ref="A130:A131"/>
    <mergeCell ref="A128:A129"/>
    <mergeCell ref="L117:O117"/>
    <mergeCell ref="L116:O116"/>
    <mergeCell ref="A133:A134"/>
    <mergeCell ref="B133:B134"/>
    <mergeCell ref="P133:P134"/>
    <mergeCell ref="R105:R106"/>
    <mergeCell ref="R107:R108"/>
    <mergeCell ref="A112:A113"/>
    <mergeCell ref="H114:K114"/>
    <mergeCell ref="H115:K115"/>
    <mergeCell ref="Q120:Q121"/>
    <mergeCell ref="R62:R63"/>
    <mergeCell ref="R80:R81"/>
    <mergeCell ref="R82:R83"/>
    <mergeCell ref="R100:R101"/>
    <mergeCell ref="R98:R99"/>
    <mergeCell ref="R92:R93"/>
    <mergeCell ref="R88:R89"/>
    <mergeCell ref="R77:R78"/>
    <mergeCell ref="H97:K97"/>
    <mergeCell ref="D119:G119"/>
    <mergeCell ref="H119:K119"/>
    <mergeCell ref="L119:O119"/>
    <mergeCell ref="D117:G117"/>
    <mergeCell ref="H117:K117"/>
    <mergeCell ref="D90:G90"/>
    <mergeCell ref="H90:K90"/>
    <mergeCell ref="B92:B93"/>
    <mergeCell ref="A88:A89"/>
    <mergeCell ref="A1:R1"/>
    <mergeCell ref="A2:R2"/>
    <mergeCell ref="A3:R3"/>
    <mergeCell ref="R8:R9"/>
    <mergeCell ref="R10:R11"/>
    <mergeCell ref="R4:R5"/>
    <mergeCell ref="P10:P11"/>
    <mergeCell ref="R13:R14"/>
    <mergeCell ref="A13:A14"/>
    <mergeCell ref="B13:B14"/>
    <mergeCell ref="P13:P14"/>
    <mergeCell ref="C4:C5"/>
    <mergeCell ref="Q8:Q9"/>
    <mergeCell ref="Q10:Q11"/>
    <mergeCell ref="D7:G7"/>
    <mergeCell ref="H7:K7"/>
    <mergeCell ref="L7:O7"/>
    <mergeCell ref="Q13:Q14"/>
    <mergeCell ref="D12:G12"/>
    <mergeCell ref="H12:K12"/>
    <mergeCell ref="L12:O12"/>
    <mergeCell ref="A62:A63"/>
    <mergeCell ref="Q36:Q37"/>
    <mergeCell ref="Q34:Q35"/>
    <mergeCell ref="Q30:Q31"/>
    <mergeCell ref="D33:G33"/>
    <mergeCell ref="R15:R16"/>
    <mergeCell ref="R20:R21"/>
    <mergeCell ref="R26:R27"/>
    <mergeCell ref="B15:B16"/>
    <mergeCell ref="P15:P16"/>
    <mergeCell ref="A26:A27"/>
    <mergeCell ref="P20:P21"/>
    <mergeCell ref="A18:A19"/>
    <mergeCell ref="B18:B19"/>
    <mergeCell ref="P18:P19"/>
    <mergeCell ref="Q18:Q19"/>
    <mergeCell ref="R18:R19"/>
    <mergeCell ref="A24:A25"/>
    <mergeCell ref="B24:B25"/>
    <mergeCell ref="P24:P25"/>
    <mergeCell ref="Q24:Q25"/>
    <mergeCell ref="R24:R25"/>
    <mergeCell ref="A30:A31"/>
    <mergeCell ref="D142:G142"/>
    <mergeCell ref="H142:K142"/>
    <mergeCell ref="L142:O142"/>
    <mergeCell ref="H118:K118"/>
    <mergeCell ref="L118:O118"/>
    <mergeCell ref="L122:O122"/>
    <mergeCell ref="D123:G123"/>
    <mergeCell ref="Q138:Q139"/>
    <mergeCell ref="P138:P139"/>
    <mergeCell ref="P128:P129"/>
    <mergeCell ref="P130:P131"/>
    <mergeCell ref="P135:P136"/>
    <mergeCell ref="D126:G126"/>
    <mergeCell ref="D127:G127"/>
    <mergeCell ref="H127:K127"/>
    <mergeCell ref="Q130:Q131"/>
    <mergeCell ref="D132:G132"/>
    <mergeCell ref="L132:O132"/>
    <mergeCell ref="D118:G118"/>
    <mergeCell ref="L127:O127"/>
    <mergeCell ref="Q133:Q134"/>
    <mergeCell ref="A39:R39"/>
    <mergeCell ref="R40:R41"/>
    <mergeCell ref="R34:R35"/>
    <mergeCell ref="A140:A141"/>
    <mergeCell ref="B140:B141"/>
    <mergeCell ref="A135:A136"/>
    <mergeCell ref="H123:K123"/>
    <mergeCell ref="B135:B136"/>
    <mergeCell ref="B128:B129"/>
    <mergeCell ref="H79:K79"/>
    <mergeCell ref="H122:K122"/>
    <mergeCell ref="H116:K116"/>
    <mergeCell ref="D122:G122"/>
    <mergeCell ref="B100:B101"/>
    <mergeCell ref="D94:G94"/>
    <mergeCell ref="H94:K94"/>
    <mergeCell ref="D112:G112"/>
    <mergeCell ref="D95:G95"/>
    <mergeCell ref="D97:G97"/>
    <mergeCell ref="D115:G115"/>
    <mergeCell ref="D102:G102"/>
    <mergeCell ref="A82:A83"/>
    <mergeCell ref="H132:K132"/>
    <mergeCell ref="A92:A93"/>
    <mergeCell ref="R28:R29"/>
    <mergeCell ref="A77:A78"/>
    <mergeCell ref="A15:A16"/>
    <mergeCell ref="R30:R31"/>
    <mergeCell ref="B30:B31"/>
    <mergeCell ref="B62:B63"/>
    <mergeCell ref="D59:G59"/>
    <mergeCell ref="H64:K64"/>
    <mergeCell ref="D52:G52"/>
    <mergeCell ref="H52:K52"/>
    <mergeCell ref="D55:G55"/>
    <mergeCell ref="H55:K55"/>
    <mergeCell ref="D45:G45"/>
    <mergeCell ref="H45:K45"/>
    <mergeCell ref="B36:B37"/>
    <mergeCell ref="H57:K57"/>
    <mergeCell ref="A40:A41"/>
    <mergeCell ref="B40:B41"/>
    <mergeCell ref="L33:O33"/>
    <mergeCell ref="B77:B78"/>
    <mergeCell ref="C40:C41"/>
    <mergeCell ref="D53:G53"/>
    <mergeCell ref="D64:G64"/>
    <mergeCell ref="D47:G47"/>
    <mergeCell ref="B88:B89"/>
    <mergeCell ref="H104:K104"/>
    <mergeCell ref="A80:A81"/>
    <mergeCell ref="A109:A110"/>
    <mergeCell ref="B109:B110"/>
    <mergeCell ref="B82:B83"/>
    <mergeCell ref="H96:K96"/>
    <mergeCell ref="H87:K87"/>
    <mergeCell ref="H102:K102"/>
    <mergeCell ref="A100:A101"/>
    <mergeCell ref="B98:B99"/>
    <mergeCell ref="A105:A106"/>
    <mergeCell ref="B105:B106"/>
    <mergeCell ref="A107:A108"/>
    <mergeCell ref="B107:B108"/>
    <mergeCell ref="A98:A99"/>
    <mergeCell ref="D91:G91"/>
    <mergeCell ref="H91:K91"/>
    <mergeCell ref="B80:B81"/>
    <mergeCell ref="D85:G85"/>
    <mergeCell ref="H85:K85"/>
    <mergeCell ref="D84:G84"/>
    <mergeCell ref="H84:K84"/>
    <mergeCell ref="H86:K86"/>
    <mergeCell ref="Q100:Q101"/>
    <mergeCell ref="Q98:Q99"/>
    <mergeCell ref="D103:G103"/>
    <mergeCell ref="H103:K103"/>
    <mergeCell ref="L112:O112"/>
    <mergeCell ref="D104:G104"/>
    <mergeCell ref="P107:P108"/>
    <mergeCell ref="B112:B113"/>
    <mergeCell ref="L125:O125"/>
    <mergeCell ref="D124:G124"/>
    <mergeCell ref="H124:K124"/>
    <mergeCell ref="L124:O124"/>
    <mergeCell ref="D125:G125"/>
    <mergeCell ref="H125:K125"/>
    <mergeCell ref="L114:O114"/>
    <mergeCell ref="Q107:Q108"/>
    <mergeCell ref="L115:O115"/>
    <mergeCell ref="H112:K112"/>
    <mergeCell ref="P100:P101"/>
    <mergeCell ref="P105:P106"/>
    <mergeCell ref="P109:P110"/>
    <mergeCell ref="B120:B121"/>
    <mergeCell ref="L123:O123"/>
    <mergeCell ref="L104:O104"/>
    <mergeCell ref="P92:P93"/>
    <mergeCell ref="L91:O91"/>
    <mergeCell ref="H95:K95"/>
    <mergeCell ref="L94:O94"/>
    <mergeCell ref="D96:G96"/>
    <mergeCell ref="L103:O103"/>
    <mergeCell ref="H40:K40"/>
    <mergeCell ref="D46:G46"/>
    <mergeCell ref="H46:K46"/>
    <mergeCell ref="D51:G51"/>
    <mergeCell ref="H51:K51"/>
    <mergeCell ref="D61:G61"/>
    <mergeCell ref="H61:K61"/>
    <mergeCell ref="H67:K67"/>
    <mergeCell ref="L66:O66"/>
    <mergeCell ref="D79:G79"/>
    <mergeCell ref="L54:O54"/>
    <mergeCell ref="L61:O61"/>
    <mergeCell ref="L64:O64"/>
    <mergeCell ref="L95:O95"/>
    <mergeCell ref="D56:G56"/>
    <mergeCell ref="L71:O71"/>
    <mergeCell ref="H75:K75"/>
    <mergeCell ref="D40:G40"/>
    <mergeCell ref="Q92:Q93"/>
    <mergeCell ref="L102:O102"/>
    <mergeCell ref="Q112:Q113"/>
    <mergeCell ref="P112:P113"/>
    <mergeCell ref="Q105:Q106"/>
    <mergeCell ref="P98:P99"/>
    <mergeCell ref="A4:A5"/>
    <mergeCell ref="B4:B5"/>
    <mergeCell ref="D4:G4"/>
    <mergeCell ref="H4:K4"/>
    <mergeCell ref="L4:O4"/>
    <mergeCell ref="P4:P5"/>
    <mergeCell ref="A20:A21"/>
    <mergeCell ref="B20:B21"/>
    <mergeCell ref="P8:P9"/>
    <mergeCell ref="Q4:Q5"/>
    <mergeCell ref="A8:A9"/>
    <mergeCell ref="B8:B9"/>
    <mergeCell ref="A10:A11"/>
    <mergeCell ref="D6:G6"/>
    <mergeCell ref="Q15:Q16"/>
    <mergeCell ref="H6:K6"/>
    <mergeCell ref="L6:O6"/>
    <mergeCell ref="B10:B11"/>
    <mergeCell ref="D60:G60"/>
    <mergeCell ref="H60:K60"/>
    <mergeCell ref="L60:O60"/>
    <mergeCell ref="L86:O86"/>
    <mergeCell ref="L90:O90"/>
    <mergeCell ref="L85:O85"/>
    <mergeCell ref="C112:C113"/>
    <mergeCell ref="D75:G75"/>
    <mergeCell ref="D67:G67"/>
    <mergeCell ref="H65:K65"/>
    <mergeCell ref="L68:O68"/>
    <mergeCell ref="D69:G69"/>
    <mergeCell ref="H69:K69"/>
    <mergeCell ref="L69:O69"/>
    <mergeCell ref="D70:G70"/>
    <mergeCell ref="H70:K70"/>
    <mergeCell ref="L70:O70"/>
    <mergeCell ref="D71:G71"/>
    <mergeCell ref="L96:O96"/>
    <mergeCell ref="D86:G86"/>
    <mergeCell ref="D73:G73"/>
    <mergeCell ref="L97:O97"/>
    <mergeCell ref="D58:G58"/>
    <mergeCell ref="H58:K58"/>
    <mergeCell ref="L58:O58"/>
    <mergeCell ref="L40:O40"/>
    <mergeCell ref="H43:K43"/>
    <mergeCell ref="L52:O52"/>
    <mergeCell ref="D57:G57"/>
    <mergeCell ref="H44:K44"/>
    <mergeCell ref="L44:O44"/>
    <mergeCell ref="D43:G43"/>
    <mergeCell ref="L43:O43"/>
    <mergeCell ref="L47:O47"/>
    <mergeCell ref="D49:G49"/>
    <mergeCell ref="H49:K49"/>
    <mergeCell ref="L49:O49"/>
    <mergeCell ref="D50:G50"/>
    <mergeCell ref="H50:K50"/>
    <mergeCell ref="B26:B27"/>
    <mergeCell ref="D17:G17"/>
    <mergeCell ref="H17:K17"/>
    <mergeCell ref="L17:O17"/>
    <mergeCell ref="Q20:Q21"/>
    <mergeCell ref="B28:B29"/>
    <mergeCell ref="L23:O23"/>
    <mergeCell ref="D32:G32"/>
    <mergeCell ref="H32:K32"/>
    <mergeCell ref="L32:O32"/>
    <mergeCell ref="D22:G22"/>
    <mergeCell ref="H22:K22"/>
    <mergeCell ref="L22:O22"/>
    <mergeCell ref="D23:G23"/>
    <mergeCell ref="H23:K23"/>
    <mergeCell ref="Q26:Q27"/>
    <mergeCell ref="P30:P31"/>
    <mergeCell ref="A28:A29"/>
    <mergeCell ref="A34:A35"/>
    <mergeCell ref="B34:B35"/>
    <mergeCell ref="D38:G38"/>
    <mergeCell ref="H38:K38"/>
    <mergeCell ref="D87:G87"/>
    <mergeCell ref="L79:O79"/>
    <mergeCell ref="D72:G72"/>
    <mergeCell ref="H72:K72"/>
    <mergeCell ref="L72:O72"/>
    <mergeCell ref="L65:O65"/>
    <mergeCell ref="D66:G66"/>
    <mergeCell ref="L55:O55"/>
    <mergeCell ref="L45:O45"/>
    <mergeCell ref="L75:O75"/>
    <mergeCell ref="L67:O67"/>
    <mergeCell ref="D68:G68"/>
    <mergeCell ref="D74:G74"/>
    <mergeCell ref="H74:K74"/>
    <mergeCell ref="L74:O74"/>
    <mergeCell ref="D65:G65"/>
    <mergeCell ref="H66:K66"/>
    <mergeCell ref="A36:A37"/>
    <mergeCell ref="L84:O84"/>
    <mergeCell ref="R36:R37"/>
    <mergeCell ref="P88:P89"/>
    <mergeCell ref="P62:P63"/>
    <mergeCell ref="P77:P78"/>
    <mergeCell ref="P80:P81"/>
    <mergeCell ref="P40:P41"/>
    <mergeCell ref="H73:K73"/>
    <mergeCell ref="H68:K68"/>
    <mergeCell ref="H56:K56"/>
    <mergeCell ref="H59:K59"/>
    <mergeCell ref="H54:K54"/>
    <mergeCell ref="L56:O56"/>
    <mergeCell ref="H53:K53"/>
    <mergeCell ref="L53:O53"/>
    <mergeCell ref="L59:O59"/>
    <mergeCell ref="Q77:Q78"/>
    <mergeCell ref="Q88:Q89"/>
    <mergeCell ref="L87:O87"/>
    <mergeCell ref="P82:P83"/>
    <mergeCell ref="Q62:Q63"/>
    <mergeCell ref="H71:K71"/>
    <mergeCell ref="Q82:Q83"/>
    <mergeCell ref="H47:K47"/>
    <mergeCell ref="L38:O38"/>
    <mergeCell ref="Q40:Q41"/>
    <mergeCell ref="Q80:Q81"/>
    <mergeCell ref="L57:O57"/>
    <mergeCell ref="P26:P27"/>
    <mergeCell ref="P28:P29"/>
    <mergeCell ref="P36:P37"/>
    <mergeCell ref="L51:O51"/>
    <mergeCell ref="L46:O46"/>
    <mergeCell ref="D42:G42"/>
    <mergeCell ref="D44:G44"/>
    <mergeCell ref="L50:O50"/>
    <mergeCell ref="D54:G54"/>
    <mergeCell ref="D48:G48"/>
    <mergeCell ref="H48:K48"/>
    <mergeCell ref="L48:O48"/>
    <mergeCell ref="L73:O73"/>
    <mergeCell ref="L76:O76"/>
    <mergeCell ref="D76:G76"/>
    <mergeCell ref="H76:K76"/>
    <mergeCell ref="Q28:Q29"/>
    <mergeCell ref="P34:P35"/>
    <mergeCell ref="H33:K33"/>
    <mergeCell ref="H42:K42"/>
    <mergeCell ref="L42:O42"/>
  </mergeCells>
  <phoneticPr fontId="6" type="noConversion"/>
  <pageMargins left="0.25" right="0.25" top="0.75" bottom="0.75" header="0.3" footer="0.3"/>
  <pageSetup scale="57" orientation="portrait" r:id="rId1"/>
  <ignoredErrors>
    <ignoredError sqref="L6" unlockedFormula="1"/>
  </ignoredErrors>
  <extLst>
    <ext xmlns:x14="http://schemas.microsoft.com/office/spreadsheetml/2009/9/main" uri="{78C0D931-6437-407d-A8EE-F0AAD7539E65}">
      <x14:conditionalFormattings>
        <x14:conditionalFormatting xmlns:xm="http://schemas.microsoft.com/office/excel/2006/main">
          <x14:cfRule type="cellIs" priority="20" operator="equal" id="{33A5C9C0-9FC1-4E54-B4B2-8ADA79483337}">
            <xm:f>'مكتب علمي'!#REF!</xm:f>
            <x14:dxf>
              <font>
                <color rgb="FF9C0006"/>
              </font>
              <fill>
                <patternFill>
                  <bgColor rgb="FFFFC7CE"/>
                </patternFill>
              </fill>
            </x14:dxf>
          </x14:cfRule>
          <xm:sqref>B137</xm:sqref>
        </x14:conditionalFormatting>
        <x14:conditionalFormatting xmlns:xm="http://schemas.microsoft.com/office/excel/2006/main">
          <x14:cfRule type="cellIs" priority="18" operator="equal" id="{E01B7F90-8B45-4341-9482-BCE89644DF3A}">
            <xm:f>'مركز الاستشارات الدوائية '!#REF!</xm:f>
            <x14:dxf>
              <font>
                <color rgb="FF9C0006"/>
              </font>
              <fill>
                <patternFill>
                  <bgColor rgb="FFFFC7CE"/>
                </patternFill>
              </fill>
            </x14:dxf>
          </x14:cfRule>
          <xm:sqref>C6:C17 C20:C23 C26:C38</xm:sqref>
        </x14:conditionalFormatting>
        <x14:conditionalFormatting xmlns:xm="http://schemas.microsoft.com/office/excel/2006/main">
          <x14:cfRule type="cellIs" priority="77" operator="equal" id="{86A12B89-9DAC-4B17-8D73-938C1B0999A2}">
            <xm:f>'مركز الاستشارات الدوائية '!#REF!</xm:f>
            <x14:dxf>
              <font>
                <color rgb="FF9C0006"/>
              </font>
              <fill>
                <patternFill>
                  <bgColor rgb="FFFFC7CE"/>
                </patternFill>
              </fill>
            </x14:dxf>
          </x14:cfRule>
          <xm:sqref>C40</xm:sqref>
        </x14:conditionalFormatting>
        <x14:conditionalFormatting xmlns:xm="http://schemas.microsoft.com/office/excel/2006/main">
          <x14:cfRule type="cellIs" priority="4" operator="equal" id="{2F2EF3CE-A838-46D3-AEF6-76C48CC14658}">
            <xm:f>'مركز الاستشارات الدوائية '!#REF!</xm:f>
            <x14:dxf>
              <font>
                <color rgb="FF9C0006"/>
              </font>
              <fill>
                <patternFill>
                  <bgColor rgb="FFFFC7CE"/>
                </patternFill>
              </fill>
            </x14:dxf>
          </x14:cfRule>
          <xm:sqref>C42:C110</xm:sqref>
        </x14:conditionalFormatting>
        <x14:conditionalFormatting xmlns:xm="http://schemas.microsoft.com/office/excel/2006/main">
          <x14:cfRule type="cellIs" priority="64" operator="equal" id="{21F8E4A1-2EA9-4AFB-BDDA-4C0F6CD55DEF}">
            <xm:f>'مركز الاستشارات الدوائية '!#REF!</xm:f>
            <x14:dxf>
              <font>
                <color rgb="FF9C0006"/>
              </font>
              <fill>
                <patternFill>
                  <bgColor rgb="FFFFC7CE"/>
                </patternFill>
              </fill>
            </x14:dxf>
          </x14:cfRule>
          <xm:sqref>C112</xm:sqref>
        </x14:conditionalFormatting>
        <x14:conditionalFormatting xmlns:xm="http://schemas.microsoft.com/office/excel/2006/main">
          <x14:cfRule type="cellIs" priority="19" operator="equal" id="{FCADC1C6-EF18-43C8-B78C-D4AAB0E49432}">
            <xm:f>'مركز الاستشارات الدوائية '!#REF!</xm:f>
            <x14:dxf>
              <font>
                <color rgb="FF9C0006"/>
              </font>
              <fill>
                <patternFill>
                  <bgColor rgb="FFFFC7CE"/>
                </patternFill>
              </fill>
            </x14:dxf>
          </x14:cfRule>
          <xm:sqref>C114:C132 C135:C142</xm:sqref>
        </x14:conditionalFormatting>
        <x14:conditionalFormatting xmlns:xm="http://schemas.microsoft.com/office/excel/2006/main">
          <x14:cfRule type="cellIs" priority="3" operator="equal" id="{C0692697-0EEE-47ED-867C-F4DA4BF0114A}">
            <xm:f>'مركز الاستشارات الدوائية '!#REF!</xm:f>
            <x14:dxf>
              <font>
                <color rgb="FF9C0006"/>
              </font>
              <fill>
                <patternFill>
                  <bgColor rgb="FFFFC7CE"/>
                </patternFill>
              </fill>
            </x14:dxf>
          </x14:cfRule>
          <xm:sqref>C18:C19</xm:sqref>
        </x14:conditionalFormatting>
        <x14:conditionalFormatting xmlns:xm="http://schemas.microsoft.com/office/excel/2006/main">
          <x14:cfRule type="cellIs" priority="2" operator="equal" id="{5C154397-9C39-4EDF-879F-380A840DF863}">
            <xm:f>'مركز الاستشارات الدوائية '!#REF!</xm:f>
            <x14:dxf>
              <font>
                <color rgb="FF9C0006"/>
              </font>
              <fill>
                <patternFill>
                  <bgColor rgb="FFFFC7CE"/>
                </patternFill>
              </fill>
            </x14:dxf>
          </x14:cfRule>
          <xm:sqref>C24:C25</xm:sqref>
        </x14:conditionalFormatting>
        <x14:conditionalFormatting xmlns:xm="http://schemas.microsoft.com/office/excel/2006/main">
          <x14:cfRule type="cellIs" priority="1" operator="equal" id="{1247E3A2-034A-4F15-9D78-312D5A424426}">
            <xm:f>'مركز الاستشارات الدوائية '!#REF!</xm:f>
            <x14:dxf>
              <font>
                <color rgb="FF9C0006"/>
              </font>
              <fill>
                <patternFill>
                  <bgColor rgb="FFFFC7CE"/>
                </patternFill>
              </fill>
            </x14:dxf>
          </x14:cfRule>
          <xm:sqref>C133:C134</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Y1431"/>
  <sheetViews>
    <sheetView showGridLines="0" rightToLeft="1" zoomScale="85" zoomScaleNormal="145" zoomScalePageLayoutView="85" workbookViewId="0">
      <selection activeCell="M150" sqref="M150"/>
    </sheetView>
  </sheetViews>
  <sheetFormatPr defaultColWidth="8.85546875" defaultRowHeight="18.75" x14ac:dyDescent="0.25"/>
  <cols>
    <col min="1" max="1" width="8.85546875" style="3"/>
    <col min="2" max="2" width="40.28515625" style="14" customWidth="1"/>
    <col min="3" max="3" width="11.85546875" style="57" bestFit="1" customWidth="1"/>
    <col min="4" max="4" width="5.85546875" style="18" bestFit="1" customWidth="1"/>
    <col min="5" max="5" width="6.140625" style="4" bestFit="1" customWidth="1"/>
    <col min="6" max="8" width="5.85546875" style="4" bestFit="1" customWidth="1"/>
    <col min="9" max="9" width="6.140625" style="4" bestFit="1" customWidth="1"/>
    <col min="10" max="12" width="5.85546875" style="4" bestFit="1" customWidth="1"/>
    <col min="13" max="13" width="6.140625" style="4" bestFit="1" customWidth="1"/>
    <col min="14" max="14" width="5.85546875" style="4" bestFit="1" customWidth="1"/>
    <col min="15" max="15" width="9.28515625" style="4" bestFit="1" customWidth="1"/>
    <col min="16" max="16" width="10.85546875" style="4" bestFit="1" customWidth="1"/>
    <col min="17" max="17" width="23.28515625" style="4" customWidth="1"/>
    <col min="18" max="18" width="30.5703125" style="92" customWidth="1"/>
    <col min="19" max="16384" width="8.85546875" style="2"/>
  </cols>
  <sheetData>
    <row r="1" spans="1:25" s="73" customFormat="1" ht="51" customHeight="1" x14ac:dyDescent="0.25">
      <c r="A1" s="129" t="s">
        <v>633</v>
      </c>
      <c r="B1" s="130"/>
      <c r="C1" s="130"/>
      <c r="D1" s="130"/>
      <c r="E1" s="130"/>
      <c r="F1" s="130"/>
      <c r="G1" s="130"/>
      <c r="H1" s="130"/>
      <c r="I1" s="130"/>
      <c r="J1" s="130"/>
      <c r="K1" s="130"/>
      <c r="L1" s="130"/>
      <c r="M1" s="130"/>
      <c r="N1" s="130"/>
      <c r="O1" s="130"/>
      <c r="P1" s="130"/>
      <c r="Q1" s="130"/>
      <c r="R1" s="130"/>
    </row>
    <row r="2" spans="1:25" s="1" customFormat="1" ht="24" customHeight="1" x14ac:dyDescent="0.45">
      <c r="A2" s="175" t="s">
        <v>453</v>
      </c>
      <c r="B2" s="176"/>
      <c r="C2" s="176"/>
      <c r="D2" s="176"/>
      <c r="E2" s="176"/>
      <c r="F2" s="176"/>
      <c r="G2" s="176"/>
      <c r="H2" s="176"/>
      <c r="I2" s="176"/>
      <c r="J2" s="176"/>
      <c r="K2" s="176"/>
      <c r="L2" s="176"/>
      <c r="M2" s="176"/>
      <c r="N2" s="176"/>
      <c r="O2" s="176"/>
      <c r="P2" s="176"/>
      <c r="Q2" s="176"/>
      <c r="R2" s="176"/>
      <c r="S2" s="2"/>
      <c r="T2" s="2"/>
      <c r="U2" s="2"/>
      <c r="V2" s="2"/>
    </row>
    <row r="3" spans="1:25" s="1" customFormat="1" ht="24" customHeight="1" thickBot="1" x14ac:dyDescent="0.5">
      <c r="A3" s="133" t="s">
        <v>404</v>
      </c>
      <c r="B3" s="134"/>
      <c r="C3" s="134"/>
      <c r="D3" s="134"/>
      <c r="E3" s="134"/>
      <c r="F3" s="134"/>
      <c r="G3" s="134"/>
      <c r="H3" s="134"/>
      <c r="I3" s="134"/>
      <c r="J3" s="134"/>
      <c r="K3" s="134"/>
      <c r="L3" s="134"/>
      <c r="M3" s="134"/>
      <c r="N3" s="134"/>
      <c r="O3" s="134"/>
      <c r="P3" s="134"/>
      <c r="Q3" s="134"/>
      <c r="R3" s="134"/>
      <c r="S3" s="2"/>
      <c r="T3" s="2"/>
      <c r="U3" s="2"/>
      <c r="V3" s="2"/>
    </row>
    <row r="4" spans="1:25" s="1" customFormat="1" ht="24" customHeight="1" thickBot="1" x14ac:dyDescent="0.5">
      <c r="A4" s="165" t="s">
        <v>4</v>
      </c>
      <c r="B4" s="167" t="s">
        <v>3</v>
      </c>
      <c r="C4" s="177" t="s">
        <v>406</v>
      </c>
      <c r="D4" s="169" t="s">
        <v>2</v>
      </c>
      <c r="E4" s="170"/>
      <c r="F4" s="170"/>
      <c r="G4" s="171"/>
      <c r="H4" s="169" t="s">
        <v>1</v>
      </c>
      <c r="I4" s="170"/>
      <c r="J4" s="170"/>
      <c r="K4" s="171"/>
      <c r="L4" s="169" t="s">
        <v>0</v>
      </c>
      <c r="M4" s="170"/>
      <c r="N4" s="170"/>
      <c r="O4" s="171"/>
      <c r="P4" s="167" t="s">
        <v>405</v>
      </c>
      <c r="Q4" s="167" t="s">
        <v>37</v>
      </c>
      <c r="R4" s="128" t="s">
        <v>632</v>
      </c>
      <c r="S4" s="2"/>
      <c r="T4" s="2"/>
      <c r="U4" s="2"/>
      <c r="V4" s="2"/>
    </row>
    <row r="5" spans="1:25" s="1" customFormat="1" ht="36.75" customHeight="1" thickBot="1" x14ac:dyDescent="0.5">
      <c r="A5" s="166"/>
      <c r="B5" s="168"/>
      <c r="C5" s="178"/>
      <c r="D5" s="16" t="s">
        <v>8</v>
      </c>
      <c r="E5" s="17" t="s">
        <v>7</v>
      </c>
      <c r="F5" s="17" t="s">
        <v>6</v>
      </c>
      <c r="G5" s="17" t="s">
        <v>5</v>
      </c>
      <c r="H5" s="17" t="s">
        <v>8</v>
      </c>
      <c r="I5" s="17" t="s">
        <v>7</v>
      </c>
      <c r="J5" s="17" t="s">
        <v>6</v>
      </c>
      <c r="K5" s="17" t="s">
        <v>5</v>
      </c>
      <c r="L5" s="17" t="s">
        <v>8</v>
      </c>
      <c r="M5" s="17" t="s">
        <v>7</v>
      </c>
      <c r="N5" s="17" t="s">
        <v>6</v>
      </c>
      <c r="O5" s="17" t="s">
        <v>5</v>
      </c>
      <c r="P5" s="168"/>
      <c r="Q5" s="168"/>
      <c r="R5" s="128"/>
      <c r="S5" s="2"/>
      <c r="T5" s="2"/>
      <c r="U5" s="2"/>
      <c r="V5" s="2"/>
    </row>
    <row r="6" spans="1:25" ht="47.25" customHeight="1" thickBot="1" x14ac:dyDescent="0.3">
      <c r="A6" s="23" t="s">
        <v>95</v>
      </c>
      <c r="B6" s="19" t="s">
        <v>29</v>
      </c>
      <c r="C6" s="24" t="s">
        <v>414</v>
      </c>
      <c r="D6" s="150">
        <v>50000</v>
      </c>
      <c r="E6" s="151"/>
      <c r="F6" s="151"/>
      <c r="G6" s="152"/>
      <c r="H6" s="153">
        <f>D6-(D6*20/100)</f>
        <v>40000</v>
      </c>
      <c r="I6" s="151"/>
      <c r="J6" s="151"/>
      <c r="K6" s="152"/>
      <c r="L6" s="153">
        <f>D6-(D6*40/100)</f>
        <v>30000</v>
      </c>
      <c r="M6" s="151"/>
      <c r="N6" s="151"/>
      <c r="O6" s="152"/>
      <c r="P6" s="20" t="s">
        <v>9</v>
      </c>
      <c r="Q6" s="82" t="s">
        <v>69</v>
      </c>
      <c r="R6" s="74" t="s">
        <v>647</v>
      </c>
    </row>
    <row r="7" spans="1:25" ht="47.25" customHeight="1" thickBot="1" x14ac:dyDescent="0.3">
      <c r="A7" s="23" t="s">
        <v>98</v>
      </c>
      <c r="B7" s="19" t="s">
        <v>34</v>
      </c>
      <c r="C7" s="24" t="s">
        <v>414</v>
      </c>
      <c r="D7" s="150">
        <v>15000</v>
      </c>
      <c r="E7" s="151"/>
      <c r="F7" s="151"/>
      <c r="G7" s="152"/>
      <c r="H7" s="153">
        <f>D7-(D7*20/100)</f>
        <v>12000</v>
      </c>
      <c r="I7" s="151"/>
      <c r="J7" s="151"/>
      <c r="K7" s="152"/>
      <c r="L7" s="153">
        <f>D7-(D7*40/100)</f>
        <v>9000</v>
      </c>
      <c r="M7" s="151"/>
      <c r="N7" s="151"/>
      <c r="O7" s="152"/>
      <c r="P7" s="20" t="s">
        <v>9</v>
      </c>
      <c r="Q7" s="82" t="s">
        <v>69</v>
      </c>
      <c r="R7" s="87" t="s">
        <v>681</v>
      </c>
    </row>
    <row r="8" spans="1:25" ht="18" customHeight="1" x14ac:dyDescent="0.25">
      <c r="A8" s="140" t="s">
        <v>101</v>
      </c>
      <c r="B8" s="142" t="s">
        <v>36</v>
      </c>
      <c r="C8" s="27" t="s">
        <v>415</v>
      </c>
      <c r="D8" s="26">
        <v>3000</v>
      </c>
      <c r="E8" s="28">
        <f>D8-(D8*10/100)</f>
        <v>2700</v>
      </c>
      <c r="F8" s="28">
        <f>D8-(D8*20/100)</f>
        <v>2400</v>
      </c>
      <c r="G8" s="28">
        <f>D8-(D8*30/100)</f>
        <v>2100</v>
      </c>
      <c r="H8" s="28">
        <f>D8-(D8*10/100)</f>
        <v>2700</v>
      </c>
      <c r="I8" s="28">
        <f>H8-(H8*10/100)</f>
        <v>2430</v>
      </c>
      <c r="J8" s="28">
        <f>H8-(H8*20/100)</f>
        <v>2160</v>
      </c>
      <c r="K8" s="28">
        <f>H8-(H8*30/100)</f>
        <v>1890</v>
      </c>
      <c r="L8" s="28">
        <f>D8-(D8*20/100)</f>
        <v>2400</v>
      </c>
      <c r="M8" s="28">
        <f>L8-(L8*10/100)</f>
        <v>2160</v>
      </c>
      <c r="N8" s="28">
        <f>L8-(L8*20/100)</f>
        <v>1920</v>
      </c>
      <c r="O8" s="28">
        <f>L8-(L8*30/100)</f>
        <v>1680</v>
      </c>
      <c r="P8" s="148" t="s">
        <v>10</v>
      </c>
      <c r="Q8" s="156" t="s">
        <v>69</v>
      </c>
      <c r="R8" s="135" t="s">
        <v>682</v>
      </c>
    </row>
    <row r="9" spans="1:25" ht="18.75" customHeight="1" thickBot="1" x14ac:dyDescent="0.3">
      <c r="A9" s="141"/>
      <c r="B9" s="143"/>
      <c r="C9" s="29" t="s">
        <v>416</v>
      </c>
      <c r="D9" s="28">
        <f t="shared" ref="D9:O9" si="0">D8*50/100</f>
        <v>1500</v>
      </c>
      <c r="E9" s="28">
        <f t="shared" si="0"/>
        <v>1350</v>
      </c>
      <c r="F9" s="28">
        <f t="shared" si="0"/>
        <v>1200</v>
      </c>
      <c r="G9" s="28">
        <f t="shared" si="0"/>
        <v>1050</v>
      </c>
      <c r="H9" s="28">
        <f t="shared" si="0"/>
        <v>1350</v>
      </c>
      <c r="I9" s="28">
        <f t="shared" si="0"/>
        <v>1215</v>
      </c>
      <c r="J9" s="28">
        <f t="shared" si="0"/>
        <v>1080</v>
      </c>
      <c r="K9" s="28">
        <f t="shared" si="0"/>
        <v>945</v>
      </c>
      <c r="L9" s="28">
        <f t="shared" si="0"/>
        <v>1200</v>
      </c>
      <c r="M9" s="28">
        <f t="shared" si="0"/>
        <v>1080</v>
      </c>
      <c r="N9" s="28">
        <f t="shared" si="0"/>
        <v>960</v>
      </c>
      <c r="O9" s="28">
        <f t="shared" si="0"/>
        <v>840</v>
      </c>
      <c r="P9" s="149"/>
      <c r="Q9" s="157"/>
      <c r="R9" s="135"/>
      <c r="U9" s="138"/>
      <c r="V9" s="139"/>
      <c r="W9" s="139"/>
      <c r="X9" s="139"/>
      <c r="Y9" s="139"/>
    </row>
    <row r="10" spans="1:25" ht="18" customHeight="1" x14ac:dyDescent="0.45">
      <c r="A10" s="140" t="s">
        <v>104</v>
      </c>
      <c r="B10" s="142" t="s">
        <v>93</v>
      </c>
      <c r="C10" s="27" t="s">
        <v>415</v>
      </c>
      <c r="D10" s="26">
        <v>5000</v>
      </c>
      <c r="E10" s="28">
        <f>D10-(D10*10/100)</f>
        <v>4500</v>
      </c>
      <c r="F10" s="28">
        <f>D10-(D10*20/100)</f>
        <v>4000</v>
      </c>
      <c r="G10" s="28">
        <f>D10-(D10*30/100)</f>
        <v>3500</v>
      </c>
      <c r="H10" s="28">
        <f>D10-(D10*10/100)</f>
        <v>4500</v>
      </c>
      <c r="I10" s="28">
        <f>H10-(H10*10/100)</f>
        <v>4050</v>
      </c>
      <c r="J10" s="28">
        <f>H10-(H10*20/100)</f>
        <v>3600</v>
      </c>
      <c r="K10" s="28">
        <f>H10-(H10*30/100)</f>
        <v>3150</v>
      </c>
      <c r="L10" s="28">
        <f>D10-(D10*20/100)</f>
        <v>4000</v>
      </c>
      <c r="M10" s="28">
        <f>L10-(L10*10/100)</f>
        <v>3600</v>
      </c>
      <c r="N10" s="28">
        <f>L10-(L10*20/100)</f>
        <v>3200</v>
      </c>
      <c r="O10" s="28">
        <f>L10-(L10*30/100)</f>
        <v>2800</v>
      </c>
      <c r="P10" s="148" t="s">
        <v>10</v>
      </c>
      <c r="Q10" s="146" t="s">
        <v>55</v>
      </c>
      <c r="R10" s="117" t="s">
        <v>683</v>
      </c>
      <c r="U10" s="15"/>
      <c r="V10" s="15"/>
      <c r="W10" s="15"/>
      <c r="X10" s="15"/>
      <c r="Y10" s="15"/>
    </row>
    <row r="11" spans="1:25" ht="18.75" customHeight="1" thickBot="1" x14ac:dyDescent="0.3">
      <c r="A11" s="141"/>
      <c r="B11" s="143"/>
      <c r="C11" s="29" t="s">
        <v>416</v>
      </c>
      <c r="D11" s="28">
        <f t="shared" ref="D11:O11" si="1">D10*50/100</f>
        <v>2500</v>
      </c>
      <c r="E11" s="28">
        <f t="shared" si="1"/>
        <v>2250</v>
      </c>
      <c r="F11" s="28">
        <f t="shared" si="1"/>
        <v>2000</v>
      </c>
      <c r="G11" s="28">
        <f t="shared" si="1"/>
        <v>1750</v>
      </c>
      <c r="H11" s="28">
        <f t="shared" si="1"/>
        <v>2250</v>
      </c>
      <c r="I11" s="28">
        <f t="shared" si="1"/>
        <v>2025</v>
      </c>
      <c r="J11" s="28">
        <f t="shared" si="1"/>
        <v>1800</v>
      </c>
      <c r="K11" s="28">
        <f t="shared" si="1"/>
        <v>1575</v>
      </c>
      <c r="L11" s="28">
        <f t="shared" si="1"/>
        <v>2000</v>
      </c>
      <c r="M11" s="28">
        <f t="shared" si="1"/>
        <v>1800</v>
      </c>
      <c r="N11" s="28">
        <f t="shared" si="1"/>
        <v>1600</v>
      </c>
      <c r="O11" s="28">
        <f t="shared" si="1"/>
        <v>1400</v>
      </c>
      <c r="P11" s="149"/>
      <c r="Q11" s="147"/>
      <c r="R11" s="117"/>
      <c r="U11" s="137"/>
      <c r="V11" s="137"/>
      <c r="W11" s="137"/>
      <c r="X11" s="137"/>
      <c r="Y11" s="137"/>
    </row>
    <row r="12" spans="1:25" ht="47.25" customHeight="1" thickBot="1" x14ac:dyDescent="0.3">
      <c r="A12" s="23" t="s">
        <v>106</v>
      </c>
      <c r="B12" s="19" t="s">
        <v>454</v>
      </c>
      <c r="C12" s="24" t="s">
        <v>414</v>
      </c>
      <c r="D12" s="150">
        <v>30000</v>
      </c>
      <c r="E12" s="151"/>
      <c r="F12" s="151"/>
      <c r="G12" s="152"/>
      <c r="H12" s="153">
        <f>D12-(D12*20/100)</f>
        <v>24000</v>
      </c>
      <c r="I12" s="151"/>
      <c r="J12" s="151"/>
      <c r="K12" s="152"/>
      <c r="L12" s="153">
        <f>D12-(D12*40/100)</f>
        <v>18000</v>
      </c>
      <c r="M12" s="151"/>
      <c r="N12" s="151"/>
      <c r="O12" s="152"/>
      <c r="P12" s="20" t="s">
        <v>9</v>
      </c>
      <c r="Q12" s="82" t="s">
        <v>69</v>
      </c>
      <c r="R12" s="87" t="s">
        <v>684</v>
      </c>
      <c r="U12" s="137"/>
      <c r="V12" s="137"/>
      <c r="W12" s="137"/>
      <c r="X12" s="137"/>
      <c r="Y12" s="137"/>
    </row>
    <row r="13" spans="1:25" ht="18" customHeight="1" x14ac:dyDescent="0.25">
      <c r="A13" s="140" t="s">
        <v>215</v>
      </c>
      <c r="B13" s="142" t="s">
        <v>455</v>
      </c>
      <c r="C13" s="27" t="s">
        <v>415</v>
      </c>
      <c r="D13" s="26">
        <v>2000</v>
      </c>
      <c r="E13" s="28">
        <f>D13-(D13*10/100)</f>
        <v>1800</v>
      </c>
      <c r="F13" s="28">
        <f>D13-(D13*20/100)</f>
        <v>1600</v>
      </c>
      <c r="G13" s="28">
        <f>D13-(D13*30/100)</f>
        <v>1400</v>
      </c>
      <c r="H13" s="28">
        <f>D13-(D13*10/100)</f>
        <v>1800</v>
      </c>
      <c r="I13" s="28">
        <f>H13-(H13*10/100)</f>
        <v>1620</v>
      </c>
      <c r="J13" s="28">
        <f>H13-(H13*20/100)</f>
        <v>1440</v>
      </c>
      <c r="K13" s="28">
        <f>H13-(H13*30/100)</f>
        <v>1260</v>
      </c>
      <c r="L13" s="28">
        <f>D13-(D13*20/100)</f>
        <v>1600</v>
      </c>
      <c r="M13" s="28">
        <f>L13-(L13*10/100)</f>
        <v>1440</v>
      </c>
      <c r="N13" s="28">
        <f>L13-(L13*20/100)</f>
        <v>1280</v>
      </c>
      <c r="O13" s="28">
        <f>L13-(L13*30/100)</f>
        <v>1120</v>
      </c>
      <c r="P13" s="148" t="s">
        <v>10</v>
      </c>
      <c r="Q13" s="146" t="s">
        <v>69</v>
      </c>
      <c r="R13" s="117" t="s">
        <v>684</v>
      </c>
    </row>
    <row r="14" spans="1:25" ht="18.75" customHeight="1" thickBot="1" x14ac:dyDescent="0.3">
      <c r="A14" s="141"/>
      <c r="B14" s="143"/>
      <c r="C14" s="29" t="s">
        <v>416</v>
      </c>
      <c r="D14" s="28">
        <f t="shared" ref="D14:O14" si="2">D13*50/100</f>
        <v>1000</v>
      </c>
      <c r="E14" s="28">
        <f t="shared" si="2"/>
        <v>900</v>
      </c>
      <c r="F14" s="28">
        <f t="shared" si="2"/>
        <v>800</v>
      </c>
      <c r="G14" s="28">
        <f t="shared" si="2"/>
        <v>700</v>
      </c>
      <c r="H14" s="28">
        <f t="shared" si="2"/>
        <v>900</v>
      </c>
      <c r="I14" s="28">
        <f t="shared" si="2"/>
        <v>810</v>
      </c>
      <c r="J14" s="28">
        <f t="shared" si="2"/>
        <v>720</v>
      </c>
      <c r="K14" s="28">
        <f t="shared" si="2"/>
        <v>630</v>
      </c>
      <c r="L14" s="28">
        <f t="shared" si="2"/>
        <v>800</v>
      </c>
      <c r="M14" s="28">
        <f t="shared" si="2"/>
        <v>720</v>
      </c>
      <c r="N14" s="28">
        <f t="shared" si="2"/>
        <v>640</v>
      </c>
      <c r="O14" s="28">
        <f t="shared" si="2"/>
        <v>560</v>
      </c>
      <c r="P14" s="149"/>
      <c r="Q14" s="147"/>
      <c r="R14" s="117"/>
    </row>
    <row r="15" spans="1:25" ht="47.25" customHeight="1" thickBot="1" x14ac:dyDescent="0.3">
      <c r="A15" s="23" t="s">
        <v>109</v>
      </c>
      <c r="B15" s="19" t="s">
        <v>755</v>
      </c>
      <c r="C15" s="24" t="s">
        <v>414</v>
      </c>
      <c r="D15" s="150">
        <v>30000</v>
      </c>
      <c r="E15" s="151"/>
      <c r="F15" s="151"/>
      <c r="G15" s="152"/>
      <c r="H15" s="153">
        <f>D15-(D15*20/100)</f>
        <v>24000</v>
      </c>
      <c r="I15" s="151"/>
      <c r="J15" s="151"/>
      <c r="K15" s="152"/>
      <c r="L15" s="153">
        <f>D15-(D15*40/100)</f>
        <v>18000</v>
      </c>
      <c r="M15" s="151"/>
      <c r="N15" s="151"/>
      <c r="O15" s="152"/>
      <c r="P15" s="20" t="s">
        <v>9</v>
      </c>
      <c r="Q15" s="82" t="s">
        <v>69</v>
      </c>
      <c r="R15" s="87" t="s">
        <v>685</v>
      </c>
    </row>
    <row r="16" spans="1:25" ht="18" customHeight="1" x14ac:dyDescent="0.25">
      <c r="A16" s="140" t="s">
        <v>111</v>
      </c>
      <c r="B16" s="142" t="s">
        <v>756</v>
      </c>
      <c r="C16" s="27" t="s">
        <v>415</v>
      </c>
      <c r="D16" s="100">
        <v>5000</v>
      </c>
      <c r="E16" s="98">
        <f>D16-(D16*10/100)</f>
        <v>4500</v>
      </c>
      <c r="F16" s="98">
        <f>D16-(D16*20/100)</f>
        <v>4000</v>
      </c>
      <c r="G16" s="98">
        <f>D16-(D16*30/100)</f>
        <v>3500</v>
      </c>
      <c r="H16" s="98">
        <f>D16-(D16*10/100)</f>
        <v>4500</v>
      </c>
      <c r="I16" s="98">
        <f>H16-(H16*10/100)</f>
        <v>4050</v>
      </c>
      <c r="J16" s="98">
        <f>H16-(H16*20/100)</f>
        <v>3600</v>
      </c>
      <c r="K16" s="98">
        <f>H16-(H16*30/100)</f>
        <v>3150</v>
      </c>
      <c r="L16" s="98">
        <f>D16-(D16*20/100)</f>
        <v>4000</v>
      </c>
      <c r="M16" s="98">
        <f>L16-(L16*10/100)</f>
        <v>3600</v>
      </c>
      <c r="N16" s="98">
        <f>L16-(L16*20/100)</f>
        <v>3200</v>
      </c>
      <c r="O16" s="98">
        <f>L16-(L16*30/100)</f>
        <v>2800</v>
      </c>
      <c r="P16" s="148" t="s">
        <v>10</v>
      </c>
      <c r="Q16" s="146" t="s">
        <v>69</v>
      </c>
      <c r="R16" s="117" t="s">
        <v>685</v>
      </c>
    </row>
    <row r="17" spans="1:18" ht="18.75" customHeight="1" thickBot="1" x14ac:dyDescent="0.3">
      <c r="A17" s="141"/>
      <c r="B17" s="143"/>
      <c r="C17" s="29" t="s">
        <v>416</v>
      </c>
      <c r="D17" s="98">
        <f t="shared" ref="D17:O17" si="3">D16*50/100</f>
        <v>2500</v>
      </c>
      <c r="E17" s="98">
        <f t="shared" si="3"/>
        <v>2250</v>
      </c>
      <c r="F17" s="98">
        <f t="shared" si="3"/>
        <v>2000</v>
      </c>
      <c r="G17" s="98">
        <f t="shared" si="3"/>
        <v>1750</v>
      </c>
      <c r="H17" s="98">
        <f t="shared" si="3"/>
        <v>2250</v>
      </c>
      <c r="I17" s="98">
        <f t="shared" si="3"/>
        <v>2025</v>
      </c>
      <c r="J17" s="98">
        <f t="shared" si="3"/>
        <v>1800</v>
      </c>
      <c r="K17" s="98">
        <f t="shared" si="3"/>
        <v>1575</v>
      </c>
      <c r="L17" s="98">
        <f t="shared" si="3"/>
        <v>2000</v>
      </c>
      <c r="M17" s="98">
        <f t="shared" si="3"/>
        <v>1800</v>
      </c>
      <c r="N17" s="98">
        <f t="shared" si="3"/>
        <v>1600</v>
      </c>
      <c r="O17" s="98">
        <f t="shared" si="3"/>
        <v>1400</v>
      </c>
      <c r="P17" s="149"/>
      <c r="Q17" s="147"/>
      <c r="R17" s="117"/>
    </row>
    <row r="18" spans="1:18" ht="18" customHeight="1" x14ac:dyDescent="0.25">
      <c r="A18" s="140" t="s">
        <v>113</v>
      </c>
      <c r="B18" s="142" t="s">
        <v>574</v>
      </c>
      <c r="C18" s="27" t="s">
        <v>415</v>
      </c>
      <c r="D18" s="26">
        <v>5000</v>
      </c>
      <c r="E18" s="28">
        <f>D18-(D18*10/100)</f>
        <v>4500</v>
      </c>
      <c r="F18" s="28">
        <f>D18-(D18*20/100)</f>
        <v>4000</v>
      </c>
      <c r="G18" s="28">
        <f>D18-(D18*30/100)</f>
        <v>3500</v>
      </c>
      <c r="H18" s="28">
        <f>D18-(D18*10/100)</f>
        <v>4500</v>
      </c>
      <c r="I18" s="28">
        <f>H18-(H18*10/100)</f>
        <v>4050</v>
      </c>
      <c r="J18" s="28">
        <f>H18-(H18*20/100)</f>
        <v>3600</v>
      </c>
      <c r="K18" s="28">
        <f>H18-(H18*30/100)</f>
        <v>3150</v>
      </c>
      <c r="L18" s="28">
        <f>D18-(D18*20/100)</f>
        <v>4000</v>
      </c>
      <c r="M18" s="28">
        <f>L18-(L18*10/100)</f>
        <v>3600</v>
      </c>
      <c r="N18" s="28">
        <f>L18-(L18*20/100)</f>
        <v>3200</v>
      </c>
      <c r="O18" s="28">
        <f>L18-(L18*30/100)</f>
        <v>2800</v>
      </c>
      <c r="P18" s="148" t="s">
        <v>10</v>
      </c>
      <c r="Q18" s="146" t="s">
        <v>69</v>
      </c>
      <c r="R18" s="117" t="s">
        <v>685</v>
      </c>
    </row>
    <row r="19" spans="1:18" ht="18.75" customHeight="1" thickBot="1" x14ac:dyDescent="0.3">
      <c r="A19" s="141"/>
      <c r="B19" s="143"/>
      <c r="C19" s="29" t="s">
        <v>416</v>
      </c>
      <c r="D19" s="28">
        <f t="shared" ref="D19:O19" si="4">D18*50/100</f>
        <v>2500</v>
      </c>
      <c r="E19" s="28">
        <f t="shared" si="4"/>
        <v>2250</v>
      </c>
      <c r="F19" s="28">
        <f t="shared" si="4"/>
        <v>2000</v>
      </c>
      <c r="G19" s="28">
        <f t="shared" si="4"/>
        <v>1750</v>
      </c>
      <c r="H19" s="28">
        <f t="shared" si="4"/>
        <v>2250</v>
      </c>
      <c r="I19" s="28">
        <f t="shared" si="4"/>
        <v>2025</v>
      </c>
      <c r="J19" s="28">
        <f t="shared" si="4"/>
        <v>1800</v>
      </c>
      <c r="K19" s="28">
        <f t="shared" si="4"/>
        <v>1575</v>
      </c>
      <c r="L19" s="28">
        <f t="shared" si="4"/>
        <v>2000</v>
      </c>
      <c r="M19" s="28">
        <f t="shared" si="4"/>
        <v>1800</v>
      </c>
      <c r="N19" s="28">
        <f t="shared" si="4"/>
        <v>1600</v>
      </c>
      <c r="O19" s="28">
        <f t="shared" si="4"/>
        <v>1400</v>
      </c>
      <c r="P19" s="149"/>
      <c r="Q19" s="147"/>
      <c r="R19" s="117"/>
    </row>
    <row r="20" spans="1:18" ht="36" customHeight="1" thickBot="1" x14ac:dyDescent="0.3">
      <c r="A20" s="68" t="s">
        <v>115</v>
      </c>
      <c r="B20" s="19" t="s">
        <v>456</v>
      </c>
      <c r="C20" s="24" t="s">
        <v>414</v>
      </c>
      <c r="D20" s="150">
        <v>50000</v>
      </c>
      <c r="E20" s="151"/>
      <c r="F20" s="151"/>
      <c r="G20" s="152"/>
      <c r="H20" s="153">
        <f>D20-(D20*20/100)</f>
        <v>40000</v>
      </c>
      <c r="I20" s="151"/>
      <c r="J20" s="151"/>
      <c r="K20" s="152"/>
      <c r="L20" s="153">
        <f>D20-(D20*40/100)</f>
        <v>30000</v>
      </c>
      <c r="M20" s="151"/>
      <c r="N20" s="151"/>
      <c r="O20" s="152"/>
      <c r="P20" s="69" t="s">
        <v>9</v>
      </c>
      <c r="Q20" s="83" t="s">
        <v>69</v>
      </c>
      <c r="R20" s="87" t="s">
        <v>686</v>
      </c>
    </row>
    <row r="21" spans="1:18" ht="18" customHeight="1" x14ac:dyDescent="0.25">
      <c r="A21" s="140" t="s">
        <v>211</v>
      </c>
      <c r="B21" s="142" t="s">
        <v>457</v>
      </c>
      <c r="C21" s="27" t="s">
        <v>415</v>
      </c>
      <c r="D21" s="26">
        <v>5000</v>
      </c>
      <c r="E21" s="28">
        <f>D21-(D21*10/100)</f>
        <v>4500</v>
      </c>
      <c r="F21" s="28">
        <f>D21-(D21*20/100)</f>
        <v>4000</v>
      </c>
      <c r="G21" s="28">
        <f>D21-(D21*30/100)</f>
        <v>3500</v>
      </c>
      <c r="H21" s="28">
        <f>D21-(D21*10/100)</f>
        <v>4500</v>
      </c>
      <c r="I21" s="28">
        <f>H21-(H21*10/100)</f>
        <v>4050</v>
      </c>
      <c r="J21" s="28">
        <f>H21-(H21*20/100)</f>
        <v>3600</v>
      </c>
      <c r="K21" s="28">
        <f>H21-(H21*30/100)</f>
        <v>3150</v>
      </c>
      <c r="L21" s="28">
        <f>D21-(D21*20/100)</f>
        <v>4000</v>
      </c>
      <c r="M21" s="28">
        <f>L21-(L21*10/100)</f>
        <v>3600</v>
      </c>
      <c r="N21" s="28">
        <f>L21-(L21*20/100)</f>
        <v>3200</v>
      </c>
      <c r="O21" s="28">
        <f>L21-(L21*30/100)</f>
        <v>2800</v>
      </c>
      <c r="P21" s="148" t="s">
        <v>10</v>
      </c>
      <c r="Q21" s="146" t="s">
        <v>69</v>
      </c>
      <c r="R21" s="117" t="s">
        <v>686</v>
      </c>
    </row>
    <row r="22" spans="1:18" ht="18.75" customHeight="1" thickBot="1" x14ac:dyDescent="0.3">
      <c r="A22" s="141"/>
      <c r="B22" s="143"/>
      <c r="C22" s="29" t="s">
        <v>416</v>
      </c>
      <c r="D22" s="28">
        <f t="shared" ref="D22:O22" si="5">D21*50/100</f>
        <v>2500</v>
      </c>
      <c r="E22" s="28">
        <f t="shared" si="5"/>
        <v>2250</v>
      </c>
      <c r="F22" s="28">
        <f t="shared" si="5"/>
        <v>2000</v>
      </c>
      <c r="G22" s="28">
        <f t="shared" si="5"/>
        <v>1750</v>
      </c>
      <c r="H22" s="28">
        <f t="shared" si="5"/>
        <v>2250</v>
      </c>
      <c r="I22" s="28">
        <f t="shared" si="5"/>
        <v>2025</v>
      </c>
      <c r="J22" s="28">
        <f t="shared" si="5"/>
        <v>1800</v>
      </c>
      <c r="K22" s="28">
        <f t="shared" si="5"/>
        <v>1575</v>
      </c>
      <c r="L22" s="28">
        <f t="shared" si="5"/>
        <v>2000</v>
      </c>
      <c r="M22" s="28">
        <f t="shared" si="5"/>
        <v>1800</v>
      </c>
      <c r="N22" s="28">
        <f t="shared" si="5"/>
        <v>1600</v>
      </c>
      <c r="O22" s="28">
        <f t="shared" si="5"/>
        <v>1400</v>
      </c>
      <c r="P22" s="149"/>
      <c r="Q22" s="147"/>
      <c r="R22" s="117"/>
    </row>
    <row r="23" spans="1:18" ht="18" customHeight="1" x14ac:dyDescent="0.25">
      <c r="A23" s="140" t="s">
        <v>119</v>
      </c>
      <c r="B23" s="142" t="s">
        <v>554</v>
      </c>
      <c r="C23" s="27" t="s">
        <v>415</v>
      </c>
      <c r="D23" s="26">
        <v>5000</v>
      </c>
      <c r="E23" s="28">
        <f>D23-(D23*10/100)</f>
        <v>4500</v>
      </c>
      <c r="F23" s="28">
        <f>D23-(D23*20/100)</f>
        <v>4000</v>
      </c>
      <c r="G23" s="28">
        <f>D23-(D23*30/100)</f>
        <v>3500</v>
      </c>
      <c r="H23" s="28">
        <f>D23-(D23*10/100)</f>
        <v>4500</v>
      </c>
      <c r="I23" s="28">
        <f>H23-(H23*10/100)</f>
        <v>4050</v>
      </c>
      <c r="J23" s="28">
        <f>H23-(H23*20/100)</f>
        <v>3600</v>
      </c>
      <c r="K23" s="28">
        <f>H23-(H23*30/100)</f>
        <v>3150</v>
      </c>
      <c r="L23" s="28">
        <f>D23-(D23*20/100)</f>
        <v>4000</v>
      </c>
      <c r="M23" s="28">
        <f>L23-(L23*10/100)</f>
        <v>3600</v>
      </c>
      <c r="N23" s="28">
        <f>L23-(L23*20/100)</f>
        <v>3200</v>
      </c>
      <c r="O23" s="28">
        <f>L23-(L23*30/100)</f>
        <v>2800</v>
      </c>
      <c r="P23" s="148" t="s">
        <v>10</v>
      </c>
      <c r="Q23" s="146" t="s">
        <v>55</v>
      </c>
      <c r="R23" s="117" t="s">
        <v>687</v>
      </c>
    </row>
    <row r="24" spans="1:18" ht="18.75" customHeight="1" thickBot="1" x14ac:dyDescent="0.3">
      <c r="A24" s="141"/>
      <c r="B24" s="143"/>
      <c r="C24" s="29" t="s">
        <v>416</v>
      </c>
      <c r="D24" s="28">
        <f>D23*50/100</f>
        <v>2500</v>
      </c>
      <c r="E24" s="28">
        <f>E23*50/100</f>
        <v>2250</v>
      </c>
      <c r="F24" s="28">
        <f>F23*50/100</f>
        <v>2000</v>
      </c>
      <c r="G24" s="28">
        <f>G23*50/100</f>
        <v>1750</v>
      </c>
      <c r="H24" s="28">
        <f t="shared" ref="H24:O24" si="6">H23*50/100</f>
        <v>2250</v>
      </c>
      <c r="I24" s="28">
        <f t="shared" si="6"/>
        <v>2025</v>
      </c>
      <c r="J24" s="28">
        <f t="shared" si="6"/>
        <v>1800</v>
      </c>
      <c r="K24" s="28">
        <f t="shared" si="6"/>
        <v>1575</v>
      </c>
      <c r="L24" s="28">
        <f t="shared" si="6"/>
        <v>2000</v>
      </c>
      <c r="M24" s="28">
        <f t="shared" si="6"/>
        <v>1800</v>
      </c>
      <c r="N24" s="28">
        <f t="shared" si="6"/>
        <v>1600</v>
      </c>
      <c r="O24" s="28">
        <f t="shared" si="6"/>
        <v>1400</v>
      </c>
      <c r="P24" s="149"/>
      <c r="Q24" s="147"/>
      <c r="R24" s="117"/>
    </row>
    <row r="25" spans="1:18" ht="18" customHeight="1" x14ac:dyDescent="0.25">
      <c r="A25" s="140" t="s">
        <v>214</v>
      </c>
      <c r="B25" s="142" t="s">
        <v>22</v>
      </c>
      <c r="C25" s="27" t="s">
        <v>415</v>
      </c>
      <c r="D25" s="26">
        <v>5000</v>
      </c>
      <c r="E25" s="28">
        <f>D25-(D25*10/100)</f>
        <v>4500</v>
      </c>
      <c r="F25" s="28">
        <f>D25-(D25*20/100)</f>
        <v>4000</v>
      </c>
      <c r="G25" s="28">
        <f>D25-(D25*30/100)</f>
        <v>3500</v>
      </c>
      <c r="H25" s="28">
        <f>D25-(D25*10/100)</f>
        <v>4500</v>
      </c>
      <c r="I25" s="28">
        <f>H25-(H25*10/100)</f>
        <v>4050</v>
      </c>
      <c r="J25" s="28">
        <f>H25-(H25*20/100)</f>
        <v>3600</v>
      </c>
      <c r="K25" s="28">
        <f>H25-(H25*30/100)</f>
        <v>3150</v>
      </c>
      <c r="L25" s="28">
        <f>D25-(D25*20/100)</f>
        <v>4000</v>
      </c>
      <c r="M25" s="28">
        <f>L25-(L25*10/100)</f>
        <v>3600</v>
      </c>
      <c r="N25" s="28">
        <f>L25-(L25*20/100)</f>
        <v>3200</v>
      </c>
      <c r="O25" s="28">
        <f>L25-(L25*30/100)</f>
        <v>2800</v>
      </c>
      <c r="P25" s="148" t="s">
        <v>10</v>
      </c>
      <c r="Q25" s="146" t="s">
        <v>54</v>
      </c>
      <c r="R25" s="117" t="s">
        <v>688</v>
      </c>
    </row>
    <row r="26" spans="1:18" ht="18.75" customHeight="1" thickBot="1" x14ac:dyDescent="0.3">
      <c r="A26" s="141"/>
      <c r="B26" s="143"/>
      <c r="C26" s="29" t="s">
        <v>416</v>
      </c>
      <c r="D26" s="28">
        <f t="shared" ref="D26:O26" si="7">D25*50/100</f>
        <v>2500</v>
      </c>
      <c r="E26" s="28">
        <f t="shared" si="7"/>
        <v>2250</v>
      </c>
      <c r="F26" s="28">
        <f t="shared" si="7"/>
        <v>2000</v>
      </c>
      <c r="G26" s="28">
        <f t="shared" si="7"/>
        <v>1750</v>
      </c>
      <c r="H26" s="28">
        <f t="shared" si="7"/>
        <v>2250</v>
      </c>
      <c r="I26" s="28">
        <f t="shared" si="7"/>
        <v>2025</v>
      </c>
      <c r="J26" s="28">
        <f t="shared" si="7"/>
        <v>1800</v>
      </c>
      <c r="K26" s="28">
        <f t="shared" si="7"/>
        <v>1575</v>
      </c>
      <c r="L26" s="28">
        <f t="shared" si="7"/>
        <v>2000</v>
      </c>
      <c r="M26" s="28">
        <f t="shared" si="7"/>
        <v>1800</v>
      </c>
      <c r="N26" s="28">
        <f t="shared" si="7"/>
        <v>1600</v>
      </c>
      <c r="O26" s="28">
        <f t="shared" si="7"/>
        <v>1400</v>
      </c>
      <c r="P26" s="149"/>
      <c r="Q26" s="147"/>
      <c r="R26" s="117"/>
    </row>
    <row r="27" spans="1:18" ht="18" customHeight="1" x14ac:dyDescent="0.25">
      <c r="A27" s="140" t="s">
        <v>122</v>
      </c>
      <c r="B27" s="142" t="s">
        <v>23</v>
      </c>
      <c r="C27" s="27" t="s">
        <v>415</v>
      </c>
      <c r="D27" s="26">
        <v>2000</v>
      </c>
      <c r="E27" s="28">
        <f>D27-(D27*10/100)</f>
        <v>1800</v>
      </c>
      <c r="F27" s="28">
        <f>D27-(D27*20/100)</f>
        <v>1600</v>
      </c>
      <c r="G27" s="28">
        <f>D27-(D27*30/100)</f>
        <v>1400</v>
      </c>
      <c r="H27" s="28">
        <f>D27-(D27*10/100)</f>
        <v>1800</v>
      </c>
      <c r="I27" s="28">
        <f>H27-(H27*10/100)</f>
        <v>1620</v>
      </c>
      <c r="J27" s="28">
        <f>H27-(H27*20/100)</f>
        <v>1440</v>
      </c>
      <c r="K27" s="28">
        <f>H27-(H27*30/100)</f>
        <v>1260</v>
      </c>
      <c r="L27" s="28">
        <f>D27-(D27*20/100)</f>
        <v>1600</v>
      </c>
      <c r="M27" s="28">
        <f>L27-(L27*10/100)</f>
        <v>1440</v>
      </c>
      <c r="N27" s="28">
        <f>L27-(L27*20/100)</f>
        <v>1280</v>
      </c>
      <c r="O27" s="28">
        <f>L27-(L27*30/100)</f>
        <v>1120</v>
      </c>
      <c r="P27" s="148" t="s">
        <v>10</v>
      </c>
      <c r="Q27" s="146" t="s">
        <v>54</v>
      </c>
      <c r="R27" s="117" t="s">
        <v>688</v>
      </c>
    </row>
    <row r="28" spans="1:18" ht="18.75" customHeight="1" thickBot="1" x14ac:dyDescent="0.3">
      <c r="A28" s="141"/>
      <c r="B28" s="143"/>
      <c r="C28" s="29" t="s">
        <v>416</v>
      </c>
      <c r="D28" s="28">
        <f t="shared" ref="D28:O28" si="8">D27*50/100</f>
        <v>1000</v>
      </c>
      <c r="E28" s="28">
        <f t="shared" si="8"/>
        <v>900</v>
      </c>
      <c r="F28" s="28">
        <f t="shared" si="8"/>
        <v>800</v>
      </c>
      <c r="G28" s="28">
        <f t="shared" si="8"/>
        <v>700</v>
      </c>
      <c r="H28" s="28">
        <f t="shared" si="8"/>
        <v>900</v>
      </c>
      <c r="I28" s="28">
        <f t="shared" si="8"/>
        <v>810</v>
      </c>
      <c r="J28" s="28">
        <f t="shared" si="8"/>
        <v>720</v>
      </c>
      <c r="K28" s="28">
        <f t="shared" si="8"/>
        <v>630</v>
      </c>
      <c r="L28" s="28">
        <f t="shared" si="8"/>
        <v>800</v>
      </c>
      <c r="M28" s="28">
        <f t="shared" si="8"/>
        <v>720</v>
      </c>
      <c r="N28" s="28">
        <f t="shared" si="8"/>
        <v>640</v>
      </c>
      <c r="O28" s="28">
        <f t="shared" si="8"/>
        <v>560</v>
      </c>
      <c r="P28" s="149"/>
      <c r="Q28" s="147"/>
      <c r="R28" s="117"/>
    </row>
    <row r="29" spans="1:18" ht="18" customHeight="1" x14ac:dyDescent="0.25">
      <c r="A29" s="140" t="s">
        <v>123</v>
      </c>
      <c r="B29" s="142" t="s">
        <v>458</v>
      </c>
      <c r="C29" s="27" t="s">
        <v>415</v>
      </c>
      <c r="D29" s="26">
        <v>1000</v>
      </c>
      <c r="E29" s="28">
        <f>D29-(D29*10/100)</f>
        <v>900</v>
      </c>
      <c r="F29" s="28">
        <f>D29-(D29*20/100)</f>
        <v>800</v>
      </c>
      <c r="G29" s="28">
        <f>D29-(D29*30/100)</f>
        <v>700</v>
      </c>
      <c r="H29" s="28">
        <f>D29-(D29*10/100)</f>
        <v>900</v>
      </c>
      <c r="I29" s="28">
        <f>H29-(H29*10/100)</f>
        <v>810</v>
      </c>
      <c r="J29" s="28">
        <f>H29-(H29*20/100)</f>
        <v>720</v>
      </c>
      <c r="K29" s="28">
        <f>H29-(H29*30/100)</f>
        <v>630</v>
      </c>
      <c r="L29" s="28">
        <f>D29-(D29*20/100)</f>
        <v>800</v>
      </c>
      <c r="M29" s="28">
        <f>L29-(L29*10/100)</f>
        <v>720</v>
      </c>
      <c r="N29" s="28">
        <f>L29-(L29*20/100)</f>
        <v>640</v>
      </c>
      <c r="O29" s="28">
        <f>L29-(L29*30/100)</f>
        <v>560</v>
      </c>
      <c r="P29" s="148" t="s">
        <v>10</v>
      </c>
      <c r="Q29" s="146" t="s">
        <v>69</v>
      </c>
      <c r="R29" s="117" t="s">
        <v>639</v>
      </c>
    </row>
    <row r="30" spans="1:18" ht="18.75" customHeight="1" thickBot="1" x14ac:dyDescent="0.3">
      <c r="A30" s="141"/>
      <c r="B30" s="143"/>
      <c r="C30" s="29" t="s">
        <v>416</v>
      </c>
      <c r="D30" s="28">
        <f t="shared" ref="D30:O30" si="9">D29*50/100</f>
        <v>500</v>
      </c>
      <c r="E30" s="28">
        <f t="shared" si="9"/>
        <v>450</v>
      </c>
      <c r="F30" s="28">
        <f t="shared" si="9"/>
        <v>400</v>
      </c>
      <c r="G30" s="28">
        <f t="shared" si="9"/>
        <v>350</v>
      </c>
      <c r="H30" s="28">
        <f t="shared" si="9"/>
        <v>450</v>
      </c>
      <c r="I30" s="28">
        <f t="shared" si="9"/>
        <v>405</v>
      </c>
      <c r="J30" s="28">
        <f t="shared" si="9"/>
        <v>360</v>
      </c>
      <c r="K30" s="28">
        <f t="shared" si="9"/>
        <v>315</v>
      </c>
      <c r="L30" s="28">
        <f t="shared" si="9"/>
        <v>400</v>
      </c>
      <c r="M30" s="28">
        <f t="shared" si="9"/>
        <v>360</v>
      </c>
      <c r="N30" s="28">
        <f t="shared" si="9"/>
        <v>320</v>
      </c>
      <c r="O30" s="28">
        <f t="shared" si="9"/>
        <v>280</v>
      </c>
      <c r="P30" s="149"/>
      <c r="Q30" s="147"/>
      <c r="R30" s="117"/>
    </row>
    <row r="31" spans="1:18" ht="47.25" customHeight="1" thickBot="1" x14ac:dyDescent="0.3">
      <c r="A31" s="104" t="s">
        <v>125</v>
      </c>
      <c r="B31" s="19" t="s">
        <v>459</v>
      </c>
      <c r="C31" s="24" t="s">
        <v>414</v>
      </c>
      <c r="D31" s="150">
        <v>5000</v>
      </c>
      <c r="E31" s="151"/>
      <c r="F31" s="151"/>
      <c r="G31" s="152"/>
      <c r="H31" s="153">
        <f>D31-(D31*20/100)</f>
        <v>4000</v>
      </c>
      <c r="I31" s="151"/>
      <c r="J31" s="151"/>
      <c r="K31" s="152"/>
      <c r="L31" s="153">
        <f>D31-(D31*40/100)</f>
        <v>3000</v>
      </c>
      <c r="M31" s="151"/>
      <c r="N31" s="151"/>
      <c r="O31" s="152"/>
      <c r="P31" s="20" t="s">
        <v>9</v>
      </c>
      <c r="Q31" s="82" t="s">
        <v>55</v>
      </c>
      <c r="R31" s="81" t="s">
        <v>730</v>
      </c>
    </row>
    <row r="32" spans="1:18" ht="47.25" customHeight="1" thickBot="1" x14ac:dyDescent="0.3">
      <c r="A32" s="104" t="s">
        <v>126</v>
      </c>
      <c r="B32" s="19" t="s">
        <v>12</v>
      </c>
      <c r="C32" s="24" t="s">
        <v>414</v>
      </c>
      <c r="D32" s="150">
        <v>15000</v>
      </c>
      <c r="E32" s="151"/>
      <c r="F32" s="151"/>
      <c r="G32" s="152"/>
      <c r="H32" s="153">
        <f>D32-(D32*20/100)</f>
        <v>12000</v>
      </c>
      <c r="I32" s="151"/>
      <c r="J32" s="151"/>
      <c r="K32" s="152"/>
      <c r="L32" s="153">
        <f>D32-(D32*40/100)</f>
        <v>9000</v>
      </c>
      <c r="M32" s="151"/>
      <c r="N32" s="151"/>
      <c r="O32" s="152"/>
      <c r="P32" s="20" t="s">
        <v>9</v>
      </c>
      <c r="Q32" s="82" t="s">
        <v>55</v>
      </c>
      <c r="R32" s="81" t="s">
        <v>667</v>
      </c>
    </row>
    <row r="33" spans="1:24" ht="18" customHeight="1" x14ac:dyDescent="0.25">
      <c r="A33" s="140" t="s">
        <v>340</v>
      </c>
      <c r="B33" s="142" t="s">
        <v>13</v>
      </c>
      <c r="C33" s="27" t="s">
        <v>415</v>
      </c>
      <c r="D33" s="26">
        <v>4000</v>
      </c>
      <c r="E33" s="28">
        <f>D33-(D33*10/100)</f>
        <v>3600</v>
      </c>
      <c r="F33" s="28">
        <f>D33-(D33*20/100)</f>
        <v>3200</v>
      </c>
      <c r="G33" s="28">
        <f>D33-(D33*30/100)</f>
        <v>2800</v>
      </c>
      <c r="H33" s="28">
        <f>D33-(D33*10/100)</f>
        <v>3600</v>
      </c>
      <c r="I33" s="28">
        <f>H33-(H33*10/100)</f>
        <v>3240</v>
      </c>
      <c r="J33" s="28">
        <f>H33-(H33*20/100)</f>
        <v>2880</v>
      </c>
      <c r="K33" s="28">
        <f>H33-(H33*30/100)</f>
        <v>2520</v>
      </c>
      <c r="L33" s="28">
        <f>D33-(D33*20/100)</f>
        <v>3200</v>
      </c>
      <c r="M33" s="28">
        <f>L33-(L33*10/100)</f>
        <v>2880</v>
      </c>
      <c r="N33" s="28">
        <f>L33-(L33*20/100)</f>
        <v>2560</v>
      </c>
      <c r="O33" s="28">
        <f>L33-(L33*30/100)</f>
        <v>2240</v>
      </c>
      <c r="P33" s="148" t="s">
        <v>10</v>
      </c>
      <c r="Q33" s="156" t="s">
        <v>58</v>
      </c>
      <c r="R33" s="117" t="s">
        <v>689</v>
      </c>
    </row>
    <row r="34" spans="1:24" ht="18.75" customHeight="1" thickBot="1" x14ac:dyDescent="0.3">
      <c r="A34" s="141"/>
      <c r="B34" s="143"/>
      <c r="C34" s="29" t="s">
        <v>416</v>
      </c>
      <c r="D34" s="28">
        <f t="shared" ref="D34:O34" si="10">D33*50/100</f>
        <v>2000</v>
      </c>
      <c r="E34" s="28">
        <f t="shared" si="10"/>
        <v>1800</v>
      </c>
      <c r="F34" s="28">
        <f t="shared" si="10"/>
        <v>1600</v>
      </c>
      <c r="G34" s="28">
        <f t="shared" si="10"/>
        <v>1400</v>
      </c>
      <c r="H34" s="28">
        <f t="shared" si="10"/>
        <v>1800</v>
      </c>
      <c r="I34" s="28">
        <f t="shared" si="10"/>
        <v>1620</v>
      </c>
      <c r="J34" s="28">
        <f t="shared" si="10"/>
        <v>1440</v>
      </c>
      <c r="K34" s="28">
        <f t="shared" si="10"/>
        <v>1260</v>
      </c>
      <c r="L34" s="28">
        <f t="shared" si="10"/>
        <v>1600</v>
      </c>
      <c r="M34" s="28">
        <f t="shared" si="10"/>
        <v>1440</v>
      </c>
      <c r="N34" s="28">
        <f t="shared" si="10"/>
        <v>1280</v>
      </c>
      <c r="O34" s="28">
        <f t="shared" si="10"/>
        <v>1120</v>
      </c>
      <c r="P34" s="149"/>
      <c r="Q34" s="157"/>
      <c r="R34" s="117"/>
    </row>
    <row r="35" spans="1:24" ht="18" customHeight="1" x14ac:dyDescent="0.25">
      <c r="A35" s="158" t="s">
        <v>757</v>
      </c>
      <c r="B35" s="142" t="s">
        <v>409</v>
      </c>
      <c r="C35" s="27" t="s">
        <v>415</v>
      </c>
      <c r="D35" s="26">
        <v>500</v>
      </c>
      <c r="E35" s="28">
        <f>D35-(D35*10/100)</f>
        <v>450</v>
      </c>
      <c r="F35" s="28">
        <f>D35-(D35*20/100)</f>
        <v>400</v>
      </c>
      <c r="G35" s="28">
        <f>D35-(D35*30/100)</f>
        <v>350</v>
      </c>
      <c r="H35" s="28">
        <f>D35-(D35*10/100)</f>
        <v>450</v>
      </c>
      <c r="I35" s="28">
        <f>H35-(H35*10/100)</f>
        <v>405</v>
      </c>
      <c r="J35" s="28">
        <f>H35-(H35*20/100)</f>
        <v>360</v>
      </c>
      <c r="K35" s="28">
        <f>H35-(H35*30/100)</f>
        <v>315</v>
      </c>
      <c r="L35" s="28">
        <f>D35-(D35*20/100)</f>
        <v>400</v>
      </c>
      <c r="M35" s="28">
        <f>L35-(L35*10/100)</f>
        <v>360</v>
      </c>
      <c r="N35" s="28">
        <f>L35-(L35*20/100)</f>
        <v>320</v>
      </c>
      <c r="O35" s="28">
        <f>L35-(L35*30/100)</f>
        <v>280</v>
      </c>
      <c r="P35" s="148" t="s">
        <v>10</v>
      </c>
      <c r="Q35" s="156" t="s">
        <v>58</v>
      </c>
      <c r="R35" s="117" t="s">
        <v>669</v>
      </c>
    </row>
    <row r="36" spans="1:24" ht="18.75" customHeight="1" thickBot="1" x14ac:dyDescent="0.3">
      <c r="A36" s="159"/>
      <c r="B36" s="143"/>
      <c r="C36" s="29" t="s">
        <v>416</v>
      </c>
      <c r="D36" s="28">
        <f t="shared" ref="D36:O36" si="11">D35*50/100</f>
        <v>250</v>
      </c>
      <c r="E36" s="28">
        <f t="shared" si="11"/>
        <v>225</v>
      </c>
      <c r="F36" s="28">
        <f t="shared" si="11"/>
        <v>200</v>
      </c>
      <c r="G36" s="28">
        <f t="shared" si="11"/>
        <v>175</v>
      </c>
      <c r="H36" s="28">
        <f t="shared" si="11"/>
        <v>225</v>
      </c>
      <c r="I36" s="28">
        <f t="shared" si="11"/>
        <v>202.5</v>
      </c>
      <c r="J36" s="28">
        <f t="shared" si="11"/>
        <v>180</v>
      </c>
      <c r="K36" s="28">
        <f t="shared" si="11"/>
        <v>157.5</v>
      </c>
      <c r="L36" s="28">
        <f t="shared" si="11"/>
        <v>200</v>
      </c>
      <c r="M36" s="28">
        <f t="shared" si="11"/>
        <v>180</v>
      </c>
      <c r="N36" s="28">
        <f t="shared" si="11"/>
        <v>160</v>
      </c>
      <c r="O36" s="28">
        <f t="shared" si="11"/>
        <v>140</v>
      </c>
      <c r="P36" s="149"/>
      <c r="Q36" s="157"/>
      <c r="R36" s="117"/>
    </row>
    <row r="37" spans="1:24" ht="24" customHeight="1" thickBot="1" x14ac:dyDescent="0.3">
      <c r="A37" s="133" t="s">
        <v>411</v>
      </c>
      <c r="B37" s="134"/>
      <c r="C37" s="134"/>
      <c r="D37" s="134"/>
      <c r="E37" s="134"/>
      <c r="F37" s="134"/>
      <c r="G37" s="134"/>
      <c r="H37" s="134"/>
      <c r="I37" s="134"/>
      <c r="J37" s="134"/>
      <c r="K37" s="134"/>
      <c r="L37" s="134"/>
      <c r="M37" s="134"/>
      <c r="N37" s="134"/>
      <c r="O37" s="134"/>
      <c r="P37" s="134"/>
      <c r="Q37" s="134"/>
      <c r="R37" s="134"/>
    </row>
    <row r="38" spans="1:24" ht="24" customHeight="1" thickBot="1" x14ac:dyDescent="0.3">
      <c r="A38" s="165" t="s">
        <v>4</v>
      </c>
      <c r="B38" s="167" t="s">
        <v>3</v>
      </c>
      <c r="C38" s="163" t="s">
        <v>406</v>
      </c>
      <c r="D38" s="169" t="s">
        <v>2</v>
      </c>
      <c r="E38" s="170"/>
      <c r="F38" s="170"/>
      <c r="G38" s="171"/>
      <c r="H38" s="169" t="s">
        <v>1</v>
      </c>
      <c r="I38" s="170"/>
      <c r="J38" s="170"/>
      <c r="K38" s="171"/>
      <c r="L38" s="169" t="s">
        <v>0</v>
      </c>
      <c r="M38" s="170"/>
      <c r="N38" s="170"/>
      <c r="O38" s="171"/>
      <c r="P38" s="167" t="s">
        <v>405</v>
      </c>
      <c r="Q38" s="161" t="s">
        <v>37</v>
      </c>
      <c r="R38" s="128" t="s">
        <v>632</v>
      </c>
    </row>
    <row r="39" spans="1:24" ht="38.25" thickBot="1" x14ac:dyDescent="0.3">
      <c r="A39" s="166"/>
      <c r="B39" s="168"/>
      <c r="C39" s="164"/>
      <c r="D39" s="16" t="s">
        <v>8</v>
      </c>
      <c r="E39" s="17" t="s">
        <v>7</v>
      </c>
      <c r="F39" s="17" t="s">
        <v>6</v>
      </c>
      <c r="G39" s="17" t="s">
        <v>5</v>
      </c>
      <c r="H39" s="17" t="s">
        <v>8</v>
      </c>
      <c r="I39" s="17" t="s">
        <v>7</v>
      </c>
      <c r="J39" s="17" t="s">
        <v>6</v>
      </c>
      <c r="K39" s="17" t="s">
        <v>5</v>
      </c>
      <c r="L39" s="17" t="s">
        <v>8</v>
      </c>
      <c r="M39" s="17" t="s">
        <v>7</v>
      </c>
      <c r="N39" s="17" t="s">
        <v>6</v>
      </c>
      <c r="O39" s="17" t="s">
        <v>5</v>
      </c>
      <c r="P39" s="168"/>
      <c r="Q39" s="162"/>
      <c r="R39" s="128"/>
    </row>
    <row r="40" spans="1:24" ht="18" customHeight="1" x14ac:dyDescent="0.25">
      <c r="A40" s="140" t="s">
        <v>216</v>
      </c>
      <c r="B40" s="142" t="s">
        <v>594</v>
      </c>
      <c r="C40" s="27" t="s">
        <v>415</v>
      </c>
      <c r="D40" s="26">
        <v>5000</v>
      </c>
      <c r="E40" s="28">
        <f>D40-(D40*10/100)</f>
        <v>4500</v>
      </c>
      <c r="F40" s="28">
        <f>D40-(D40*20/100)</f>
        <v>4000</v>
      </c>
      <c r="G40" s="28">
        <f>D40-(D40*30/100)</f>
        <v>3500</v>
      </c>
      <c r="H40" s="28">
        <f>D40-(D40*10/100)</f>
        <v>4500</v>
      </c>
      <c r="I40" s="28">
        <f>H40-(H40*10/100)</f>
        <v>4050</v>
      </c>
      <c r="J40" s="28">
        <f>H40-(H40*20/100)</f>
        <v>3600</v>
      </c>
      <c r="K40" s="28">
        <f>H40-(H40*30/100)</f>
        <v>3150</v>
      </c>
      <c r="L40" s="28">
        <f>D40-(D40*20/100)</f>
        <v>4000</v>
      </c>
      <c r="M40" s="28">
        <f>L40-(L40*10/100)</f>
        <v>3600</v>
      </c>
      <c r="N40" s="28">
        <f>L40-(L40*20/100)</f>
        <v>3200</v>
      </c>
      <c r="O40" s="28">
        <f>L40-(L40*30/100)</f>
        <v>2800</v>
      </c>
      <c r="P40" s="148" t="s">
        <v>10</v>
      </c>
      <c r="Q40" s="146" t="s">
        <v>55</v>
      </c>
      <c r="R40" s="117" t="s">
        <v>690</v>
      </c>
    </row>
    <row r="41" spans="1:24" ht="25.5" customHeight="1" thickBot="1" x14ac:dyDescent="0.3">
      <c r="A41" s="141"/>
      <c r="B41" s="143"/>
      <c r="C41" s="29" t="s">
        <v>416</v>
      </c>
      <c r="D41" s="28">
        <f t="shared" ref="D41:O41" si="12">D40*50/100</f>
        <v>2500</v>
      </c>
      <c r="E41" s="28">
        <f t="shared" si="12"/>
        <v>2250</v>
      </c>
      <c r="F41" s="28">
        <f t="shared" si="12"/>
        <v>2000</v>
      </c>
      <c r="G41" s="28">
        <f t="shared" si="12"/>
        <v>1750</v>
      </c>
      <c r="H41" s="28">
        <f t="shared" si="12"/>
        <v>2250</v>
      </c>
      <c r="I41" s="28">
        <f t="shared" si="12"/>
        <v>2025</v>
      </c>
      <c r="J41" s="28">
        <f t="shared" si="12"/>
        <v>1800</v>
      </c>
      <c r="K41" s="28">
        <f t="shared" si="12"/>
        <v>1575</v>
      </c>
      <c r="L41" s="28">
        <f t="shared" si="12"/>
        <v>2000</v>
      </c>
      <c r="M41" s="28">
        <f t="shared" si="12"/>
        <v>1800</v>
      </c>
      <c r="N41" s="28">
        <f t="shared" si="12"/>
        <v>1600</v>
      </c>
      <c r="O41" s="28">
        <f t="shared" si="12"/>
        <v>1400</v>
      </c>
      <c r="P41" s="149"/>
      <c r="Q41" s="147"/>
      <c r="R41" s="117"/>
    </row>
    <row r="42" spans="1:24" ht="18" customHeight="1" x14ac:dyDescent="0.25">
      <c r="A42" s="140" t="s">
        <v>217</v>
      </c>
      <c r="B42" s="142" t="s">
        <v>575</v>
      </c>
      <c r="C42" s="27" t="s">
        <v>415</v>
      </c>
      <c r="D42" s="26">
        <v>2000</v>
      </c>
      <c r="E42" s="28">
        <f>D42-(D42*10/100)</f>
        <v>1800</v>
      </c>
      <c r="F42" s="28">
        <f>D42-(D42*20/100)</f>
        <v>1600</v>
      </c>
      <c r="G42" s="28">
        <f>D42-(D42*30/100)</f>
        <v>1400</v>
      </c>
      <c r="H42" s="28">
        <f>D42-(D42*10/100)</f>
        <v>1800</v>
      </c>
      <c r="I42" s="28">
        <f>H42-(H42*10/100)</f>
        <v>1620</v>
      </c>
      <c r="J42" s="28">
        <f>H42-(H42*20/100)</f>
        <v>1440</v>
      </c>
      <c r="K42" s="28">
        <f>H42-(H42*30/100)</f>
        <v>1260</v>
      </c>
      <c r="L42" s="28">
        <f>D42-(D42*20/100)</f>
        <v>1600</v>
      </c>
      <c r="M42" s="28">
        <f>L42-(L42*10/100)</f>
        <v>1440</v>
      </c>
      <c r="N42" s="28">
        <f>L42-(L42*20/100)</f>
        <v>1280</v>
      </c>
      <c r="O42" s="28">
        <f>L42-(L42*30/100)</f>
        <v>1120</v>
      </c>
      <c r="P42" s="148" t="s">
        <v>10</v>
      </c>
      <c r="Q42" s="146" t="s">
        <v>58</v>
      </c>
      <c r="R42" s="117" t="s">
        <v>690</v>
      </c>
    </row>
    <row r="43" spans="1:24" ht="24" customHeight="1" thickBot="1" x14ac:dyDescent="0.3">
      <c r="A43" s="141"/>
      <c r="B43" s="143"/>
      <c r="C43" s="29" t="s">
        <v>416</v>
      </c>
      <c r="D43" s="28">
        <f t="shared" ref="D43:O43" si="13">D42*50/100</f>
        <v>1000</v>
      </c>
      <c r="E43" s="28">
        <f t="shared" si="13"/>
        <v>900</v>
      </c>
      <c r="F43" s="28">
        <f t="shared" si="13"/>
        <v>800</v>
      </c>
      <c r="G43" s="28">
        <f t="shared" si="13"/>
        <v>700</v>
      </c>
      <c r="H43" s="28">
        <f t="shared" si="13"/>
        <v>900</v>
      </c>
      <c r="I43" s="28">
        <f t="shared" si="13"/>
        <v>810</v>
      </c>
      <c r="J43" s="28">
        <f t="shared" si="13"/>
        <v>720</v>
      </c>
      <c r="K43" s="28">
        <f t="shared" si="13"/>
        <v>630</v>
      </c>
      <c r="L43" s="28">
        <f t="shared" si="13"/>
        <v>800</v>
      </c>
      <c r="M43" s="28">
        <f t="shared" si="13"/>
        <v>720</v>
      </c>
      <c r="N43" s="28">
        <f t="shared" si="13"/>
        <v>640</v>
      </c>
      <c r="O43" s="28">
        <f t="shared" si="13"/>
        <v>560</v>
      </c>
      <c r="P43" s="149"/>
      <c r="Q43" s="147"/>
      <c r="R43" s="117"/>
    </row>
    <row r="44" spans="1:24" ht="52.5" customHeight="1" thickBot="1" x14ac:dyDescent="0.3">
      <c r="A44" s="58" t="s">
        <v>218</v>
      </c>
      <c r="B44" s="19" t="s">
        <v>576</v>
      </c>
      <c r="C44" s="24" t="s">
        <v>414</v>
      </c>
      <c r="D44" s="150">
        <v>30000</v>
      </c>
      <c r="E44" s="151"/>
      <c r="F44" s="151"/>
      <c r="G44" s="152"/>
      <c r="H44" s="153">
        <f>D44-(D44*20/100)</f>
        <v>24000</v>
      </c>
      <c r="I44" s="151"/>
      <c r="J44" s="151"/>
      <c r="K44" s="152"/>
      <c r="L44" s="153">
        <f>D44-(D44*40/100)</f>
        <v>18000</v>
      </c>
      <c r="M44" s="151"/>
      <c r="N44" s="151"/>
      <c r="O44" s="152"/>
      <c r="P44" s="20" t="s">
        <v>9</v>
      </c>
      <c r="Q44" s="82" t="s">
        <v>69</v>
      </c>
      <c r="R44" s="87" t="s">
        <v>690</v>
      </c>
      <c r="T44" s="138"/>
      <c r="U44" s="139"/>
      <c r="V44" s="139"/>
      <c r="W44" s="139"/>
      <c r="X44" s="139"/>
    </row>
    <row r="45" spans="1:24" ht="47.25" customHeight="1" thickBot="1" x14ac:dyDescent="0.3">
      <c r="A45" s="58" t="s">
        <v>220</v>
      </c>
      <c r="B45" s="19" t="s">
        <v>460</v>
      </c>
      <c r="C45" s="24" t="s">
        <v>414</v>
      </c>
      <c r="D45" s="150">
        <v>15000</v>
      </c>
      <c r="E45" s="151"/>
      <c r="F45" s="151"/>
      <c r="G45" s="152"/>
      <c r="H45" s="153">
        <f t="shared" ref="H45:H51" si="14">D45-(D45*20/100)</f>
        <v>12000</v>
      </c>
      <c r="I45" s="151"/>
      <c r="J45" s="151"/>
      <c r="K45" s="152"/>
      <c r="L45" s="153">
        <f t="shared" ref="L45:L51" si="15">D45-(D45*40/100)</f>
        <v>9000</v>
      </c>
      <c r="M45" s="151"/>
      <c r="N45" s="151"/>
      <c r="O45" s="152"/>
      <c r="P45" s="20" t="s">
        <v>9</v>
      </c>
      <c r="Q45" s="82" t="s">
        <v>69</v>
      </c>
      <c r="R45" s="87" t="s">
        <v>690</v>
      </c>
    </row>
    <row r="46" spans="1:24" ht="47.25" customHeight="1" thickBot="1" x14ac:dyDescent="0.3">
      <c r="A46" s="58" t="s">
        <v>221</v>
      </c>
      <c r="B46" s="19" t="s">
        <v>563</v>
      </c>
      <c r="C46" s="24" t="s">
        <v>414</v>
      </c>
      <c r="D46" s="150">
        <v>50000</v>
      </c>
      <c r="E46" s="151"/>
      <c r="F46" s="151"/>
      <c r="G46" s="152"/>
      <c r="H46" s="153">
        <f>D46-(D46*20/100)</f>
        <v>40000</v>
      </c>
      <c r="I46" s="151"/>
      <c r="J46" s="151"/>
      <c r="K46" s="152"/>
      <c r="L46" s="153">
        <f>D46-(D46*40/100)</f>
        <v>30000</v>
      </c>
      <c r="M46" s="151"/>
      <c r="N46" s="151"/>
      <c r="O46" s="152"/>
      <c r="P46" s="20" t="s">
        <v>9</v>
      </c>
      <c r="Q46" s="82" t="s">
        <v>549</v>
      </c>
      <c r="R46" s="81" t="s">
        <v>650</v>
      </c>
    </row>
    <row r="47" spans="1:24" ht="47.25" customHeight="1" thickBot="1" x14ac:dyDescent="0.3">
      <c r="A47" s="58" t="s">
        <v>134</v>
      </c>
      <c r="B47" s="19" t="s">
        <v>461</v>
      </c>
      <c r="C47" s="24" t="s">
        <v>414</v>
      </c>
      <c r="D47" s="150">
        <v>15000</v>
      </c>
      <c r="E47" s="151"/>
      <c r="F47" s="151"/>
      <c r="G47" s="152"/>
      <c r="H47" s="153">
        <f t="shared" si="14"/>
        <v>12000</v>
      </c>
      <c r="I47" s="151"/>
      <c r="J47" s="151"/>
      <c r="K47" s="152"/>
      <c r="L47" s="153">
        <f t="shared" si="15"/>
        <v>9000</v>
      </c>
      <c r="M47" s="151"/>
      <c r="N47" s="151"/>
      <c r="O47" s="152"/>
      <c r="P47" s="20" t="s">
        <v>9</v>
      </c>
      <c r="Q47" s="82" t="s">
        <v>69</v>
      </c>
      <c r="R47" s="87" t="s">
        <v>690</v>
      </c>
    </row>
    <row r="48" spans="1:24" ht="50.25" customHeight="1" thickBot="1" x14ac:dyDescent="0.3">
      <c r="A48" s="58" t="s">
        <v>222</v>
      </c>
      <c r="B48" s="19" t="s">
        <v>14</v>
      </c>
      <c r="C48" s="24" t="s">
        <v>414</v>
      </c>
      <c r="D48" s="150">
        <v>5000</v>
      </c>
      <c r="E48" s="151"/>
      <c r="F48" s="151"/>
      <c r="G48" s="152"/>
      <c r="H48" s="153">
        <f t="shared" si="14"/>
        <v>4000</v>
      </c>
      <c r="I48" s="151"/>
      <c r="J48" s="151"/>
      <c r="K48" s="152"/>
      <c r="L48" s="153">
        <f t="shared" si="15"/>
        <v>3000</v>
      </c>
      <c r="M48" s="151"/>
      <c r="N48" s="151"/>
      <c r="O48" s="152"/>
      <c r="P48" s="20" t="s">
        <v>9</v>
      </c>
      <c r="Q48" s="82" t="s">
        <v>69</v>
      </c>
      <c r="R48" s="87" t="s">
        <v>690</v>
      </c>
    </row>
    <row r="49" spans="1:18" ht="68.25" customHeight="1" thickBot="1" x14ac:dyDescent="0.3">
      <c r="A49" s="58" t="s">
        <v>223</v>
      </c>
      <c r="B49" s="19" t="s">
        <v>15</v>
      </c>
      <c r="C49" s="24" t="s">
        <v>414</v>
      </c>
      <c r="D49" s="150">
        <v>30000</v>
      </c>
      <c r="E49" s="151"/>
      <c r="F49" s="151"/>
      <c r="G49" s="152"/>
      <c r="H49" s="153">
        <f t="shared" si="14"/>
        <v>24000</v>
      </c>
      <c r="I49" s="151"/>
      <c r="J49" s="151"/>
      <c r="K49" s="152"/>
      <c r="L49" s="153">
        <f t="shared" si="15"/>
        <v>18000</v>
      </c>
      <c r="M49" s="151"/>
      <c r="N49" s="151"/>
      <c r="O49" s="152"/>
      <c r="P49" s="20" t="s">
        <v>9</v>
      </c>
      <c r="Q49" s="82" t="s">
        <v>69</v>
      </c>
      <c r="R49" s="87" t="s">
        <v>690</v>
      </c>
    </row>
    <row r="50" spans="1:18" ht="62.25" customHeight="1" thickBot="1" x14ac:dyDescent="0.3">
      <c r="A50" s="58" t="s">
        <v>224</v>
      </c>
      <c r="B50" s="19" t="s">
        <v>577</v>
      </c>
      <c r="C50" s="24" t="s">
        <v>414</v>
      </c>
      <c r="D50" s="150">
        <v>5000</v>
      </c>
      <c r="E50" s="151"/>
      <c r="F50" s="151"/>
      <c r="G50" s="152"/>
      <c r="H50" s="153">
        <f t="shared" si="14"/>
        <v>4000</v>
      </c>
      <c r="I50" s="151"/>
      <c r="J50" s="151"/>
      <c r="K50" s="152"/>
      <c r="L50" s="153">
        <f t="shared" si="15"/>
        <v>3000</v>
      </c>
      <c r="M50" s="151"/>
      <c r="N50" s="151"/>
      <c r="O50" s="152"/>
      <c r="P50" s="20" t="s">
        <v>9</v>
      </c>
      <c r="Q50" s="82" t="s">
        <v>55</v>
      </c>
      <c r="R50" s="87" t="s">
        <v>690</v>
      </c>
    </row>
    <row r="51" spans="1:18" ht="47.25" customHeight="1" thickBot="1" x14ac:dyDescent="0.3">
      <c r="A51" s="58" t="s">
        <v>225</v>
      </c>
      <c r="B51" s="19" t="s">
        <v>52</v>
      </c>
      <c r="C51" s="24" t="s">
        <v>414</v>
      </c>
      <c r="D51" s="150">
        <v>10000</v>
      </c>
      <c r="E51" s="151"/>
      <c r="F51" s="151"/>
      <c r="G51" s="152"/>
      <c r="H51" s="153">
        <f t="shared" si="14"/>
        <v>8000</v>
      </c>
      <c r="I51" s="151"/>
      <c r="J51" s="151"/>
      <c r="K51" s="152"/>
      <c r="L51" s="153">
        <f t="shared" si="15"/>
        <v>6000</v>
      </c>
      <c r="M51" s="151"/>
      <c r="N51" s="151"/>
      <c r="O51" s="152"/>
      <c r="P51" s="20" t="s">
        <v>9</v>
      </c>
      <c r="Q51" s="82" t="s">
        <v>58</v>
      </c>
      <c r="R51" s="87" t="s">
        <v>690</v>
      </c>
    </row>
    <row r="52" spans="1:18" ht="47.25" customHeight="1" thickBot="1" x14ac:dyDescent="0.3">
      <c r="A52" s="58" t="s">
        <v>226</v>
      </c>
      <c r="B52" s="19" t="s">
        <v>462</v>
      </c>
      <c r="C52" s="24" t="s">
        <v>414</v>
      </c>
      <c r="D52" s="150">
        <v>2000</v>
      </c>
      <c r="E52" s="151"/>
      <c r="F52" s="151"/>
      <c r="G52" s="152"/>
      <c r="H52" s="153">
        <f>D52-(D52*20/100)</f>
        <v>1600</v>
      </c>
      <c r="I52" s="151"/>
      <c r="J52" s="151"/>
      <c r="K52" s="152"/>
      <c r="L52" s="153">
        <f>D52-(D52*40/100)</f>
        <v>1200</v>
      </c>
      <c r="M52" s="151"/>
      <c r="N52" s="151"/>
      <c r="O52" s="152"/>
      <c r="P52" s="20" t="s">
        <v>9</v>
      </c>
      <c r="Q52" s="82" t="s">
        <v>463</v>
      </c>
      <c r="R52" s="87" t="s">
        <v>690</v>
      </c>
    </row>
    <row r="53" spans="1:18" ht="56.25" customHeight="1" thickBot="1" x14ac:dyDescent="0.3">
      <c r="A53" s="58" t="s">
        <v>227</v>
      </c>
      <c r="B53" s="19" t="s">
        <v>49</v>
      </c>
      <c r="C53" s="24" t="s">
        <v>414</v>
      </c>
      <c r="D53" s="150">
        <v>10000</v>
      </c>
      <c r="E53" s="151"/>
      <c r="F53" s="151"/>
      <c r="G53" s="152"/>
      <c r="H53" s="153">
        <f>D53-(D53*20/100)</f>
        <v>8000</v>
      </c>
      <c r="I53" s="151"/>
      <c r="J53" s="151"/>
      <c r="K53" s="152"/>
      <c r="L53" s="153">
        <f>D53-(D53*40/100)</f>
        <v>6000</v>
      </c>
      <c r="M53" s="151"/>
      <c r="N53" s="151"/>
      <c r="O53" s="152"/>
      <c r="P53" s="20" t="s">
        <v>9</v>
      </c>
      <c r="Q53" s="82" t="s">
        <v>85</v>
      </c>
      <c r="R53" s="87" t="s">
        <v>690</v>
      </c>
    </row>
    <row r="54" spans="1:18" ht="47.25" customHeight="1" thickBot="1" x14ac:dyDescent="0.3">
      <c r="A54" s="58" t="s">
        <v>228</v>
      </c>
      <c r="B54" s="19" t="s">
        <v>21</v>
      </c>
      <c r="C54" s="24" t="s">
        <v>414</v>
      </c>
      <c r="D54" s="150">
        <v>50000</v>
      </c>
      <c r="E54" s="151"/>
      <c r="F54" s="151"/>
      <c r="G54" s="152"/>
      <c r="H54" s="153">
        <f t="shared" ref="H54:H71" si="16">D54-(D54*20/100)</f>
        <v>40000</v>
      </c>
      <c r="I54" s="151"/>
      <c r="J54" s="151"/>
      <c r="K54" s="152"/>
      <c r="L54" s="153">
        <f t="shared" ref="L54:L71" si="17">D54-(D54*40/100)</f>
        <v>30000</v>
      </c>
      <c r="M54" s="151"/>
      <c r="N54" s="151"/>
      <c r="O54" s="152"/>
      <c r="P54" s="20" t="s">
        <v>9</v>
      </c>
      <c r="Q54" s="82" t="s">
        <v>69</v>
      </c>
      <c r="R54" s="87" t="s">
        <v>691</v>
      </c>
    </row>
    <row r="55" spans="1:18" ht="47.25" customHeight="1" thickBot="1" x14ac:dyDescent="0.3">
      <c r="A55" s="58" t="s">
        <v>229</v>
      </c>
      <c r="B55" s="19" t="s">
        <v>467</v>
      </c>
      <c r="C55" s="24" t="s">
        <v>414</v>
      </c>
      <c r="D55" s="150">
        <v>50</v>
      </c>
      <c r="E55" s="151"/>
      <c r="F55" s="151"/>
      <c r="G55" s="152"/>
      <c r="H55" s="153">
        <f t="shared" si="16"/>
        <v>40</v>
      </c>
      <c r="I55" s="151"/>
      <c r="J55" s="151"/>
      <c r="K55" s="152"/>
      <c r="L55" s="153">
        <f t="shared" si="17"/>
        <v>30</v>
      </c>
      <c r="M55" s="151"/>
      <c r="N55" s="151"/>
      <c r="O55" s="152"/>
      <c r="P55" s="20" t="s">
        <v>9</v>
      </c>
      <c r="Q55" s="82" t="s">
        <v>623</v>
      </c>
      <c r="R55" s="87" t="s">
        <v>733</v>
      </c>
    </row>
    <row r="56" spans="1:18" s="34" customFormat="1" ht="47.25" customHeight="1" thickBot="1" x14ac:dyDescent="0.3">
      <c r="A56" s="58" t="s">
        <v>230</v>
      </c>
      <c r="B56" s="19" t="s">
        <v>419</v>
      </c>
      <c r="C56" s="24" t="s">
        <v>414</v>
      </c>
      <c r="D56" s="150">
        <v>50</v>
      </c>
      <c r="E56" s="151"/>
      <c r="F56" s="151"/>
      <c r="G56" s="160"/>
      <c r="H56" s="150">
        <f t="shared" si="16"/>
        <v>40</v>
      </c>
      <c r="I56" s="151"/>
      <c r="J56" s="151"/>
      <c r="K56" s="160"/>
      <c r="L56" s="150">
        <f t="shared" si="17"/>
        <v>30</v>
      </c>
      <c r="M56" s="151"/>
      <c r="N56" s="151"/>
      <c r="O56" s="152"/>
      <c r="P56" s="20" t="s">
        <v>9</v>
      </c>
      <c r="Q56" s="82" t="s">
        <v>625</v>
      </c>
      <c r="R56" s="87" t="s">
        <v>692</v>
      </c>
    </row>
    <row r="57" spans="1:18" s="34" customFormat="1" ht="47.25" customHeight="1" thickBot="1" x14ac:dyDescent="0.3">
      <c r="A57" s="58" t="s">
        <v>231</v>
      </c>
      <c r="B57" s="19" t="s">
        <v>595</v>
      </c>
      <c r="C57" s="24" t="s">
        <v>414</v>
      </c>
      <c r="D57" s="150">
        <v>50</v>
      </c>
      <c r="E57" s="151"/>
      <c r="F57" s="151"/>
      <c r="G57" s="160"/>
      <c r="H57" s="150">
        <f>D57-(D57*20/100)</f>
        <v>40</v>
      </c>
      <c r="I57" s="151"/>
      <c r="J57" s="151"/>
      <c r="K57" s="160"/>
      <c r="L57" s="150">
        <f>D57-(D57*40/100)</f>
        <v>30</v>
      </c>
      <c r="M57" s="151"/>
      <c r="N57" s="151"/>
      <c r="O57" s="152"/>
      <c r="P57" s="20" t="s">
        <v>9</v>
      </c>
      <c r="Q57" s="82" t="s">
        <v>624</v>
      </c>
      <c r="R57" s="87" t="s">
        <v>681</v>
      </c>
    </row>
    <row r="58" spans="1:18" ht="68.25" customHeight="1" thickBot="1" x14ac:dyDescent="0.3">
      <c r="A58" s="58" t="s">
        <v>232</v>
      </c>
      <c r="B58" s="19" t="s">
        <v>420</v>
      </c>
      <c r="C58" s="24" t="s">
        <v>414</v>
      </c>
      <c r="D58" s="150">
        <v>5000</v>
      </c>
      <c r="E58" s="151"/>
      <c r="F58" s="151"/>
      <c r="G58" s="152"/>
      <c r="H58" s="153">
        <f>D58-(D58*20/100)</f>
        <v>4000</v>
      </c>
      <c r="I58" s="151"/>
      <c r="J58" s="151"/>
      <c r="K58" s="152"/>
      <c r="L58" s="153">
        <f>D58-(D58*40/100)</f>
        <v>3000</v>
      </c>
      <c r="M58" s="151"/>
      <c r="N58" s="151"/>
      <c r="O58" s="152"/>
      <c r="P58" s="20" t="s">
        <v>9</v>
      </c>
      <c r="Q58" s="82" t="s">
        <v>55</v>
      </c>
      <c r="R58" s="87" t="s">
        <v>681</v>
      </c>
    </row>
    <row r="59" spans="1:18" ht="47.25" customHeight="1" thickBot="1" x14ac:dyDescent="0.3">
      <c r="A59" s="58" t="s">
        <v>233</v>
      </c>
      <c r="B59" s="19" t="s">
        <v>596</v>
      </c>
      <c r="C59" s="24" t="s">
        <v>414</v>
      </c>
      <c r="D59" s="150">
        <v>5000</v>
      </c>
      <c r="E59" s="151"/>
      <c r="F59" s="151"/>
      <c r="G59" s="152"/>
      <c r="H59" s="153">
        <f>D59-(D59*20/100)</f>
        <v>4000</v>
      </c>
      <c r="I59" s="151"/>
      <c r="J59" s="151"/>
      <c r="K59" s="152"/>
      <c r="L59" s="153">
        <f>D59-(D59*40/100)</f>
        <v>3000</v>
      </c>
      <c r="M59" s="151"/>
      <c r="N59" s="151"/>
      <c r="O59" s="152"/>
      <c r="P59" s="20" t="s">
        <v>9</v>
      </c>
      <c r="Q59" s="82" t="s">
        <v>82</v>
      </c>
      <c r="R59" s="87" t="s">
        <v>681</v>
      </c>
    </row>
    <row r="60" spans="1:18" ht="57" customHeight="1" thickBot="1" x14ac:dyDescent="0.3">
      <c r="A60" s="58" t="s">
        <v>234</v>
      </c>
      <c r="B60" s="19" t="s">
        <v>421</v>
      </c>
      <c r="C60" s="24" t="s">
        <v>414</v>
      </c>
      <c r="D60" s="150">
        <v>5000</v>
      </c>
      <c r="E60" s="151"/>
      <c r="F60" s="151"/>
      <c r="G60" s="152"/>
      <c r="H60" s="153">
        <f>D60-(D60*20/100)</f>
        <v>4000</v>
      </c>
      <c r="I60" s="151"/>
      <c r="J60" s="151"/>
      <c r="K60" s="152"/>
      <c r="L60" s="153">
        <f>D60-(D60*40/100)</f>
        <v>3000</v>
      </c>
      <c r="M60" s="151"/>
      <c r="N60" s="151"/>
      <c r="O60" s="152"/>
      <c r="P60" s="20" t="s">
        <v>9</v>
      </c>
      <c r="Q60" s="82" t="s">
        <v>55</v>
      </c>
      <c r="R60" s="87" t="s">
        <v>681</v>
      </c>
    </row>
    <row r="61" spans="1:18" ht="59.25" customHeight="1" thickBot="1" x14ac:dyDescent="0.3">
      <c r="A61" s="58" t="s">
        <v>235</v>
      </c>
      <c r="B61" s="19" t="s">
        <v>468</v>
      </c>
      <c r="C61" s="24" t="s">
        <v>414</v>
      </c>
      <c r="D61" s="150">
        <v>5000</v>
      </c>
      <c r="E61" s="151"/>
      <c r="F61" s="151"/>
      <c r="G61" s="152"/>
      <c r="H61" s="153">
        <f>D61-(D61*20/100)</f>
        <v>4000</v>
      </c>
      <c r="I61" s="151"/>
      <c r="J61" s="151"/>
      <c r="K61" s="152"/>
      <c r="L61" s="153">
        <f>D61-(D61*40/100)</f>
        <v>3000</v>
      </c>
      <c r="M61" s="151"/>
      <c r="N61" s="151"/>
      <c r="O61" s="152"/>
      <c r="P61" s="20" t="s">
        <v>9</v>
      </c>
      <c r="Q61" s="82" t="s">
        <v>55</v>
      </c>
      <c r="R61" s="87" t="s">
        <v>681</v>
      </c>
    </row>
    <row r="62" spans="1:18" ht="75" customHeight="1" thickBot="1" x14ac:dyDescent="0.3">
      <c r="A62" s="58" t="s">
        <v>236</v>
      </c>
      <c r="B62" s="19" t="s">
        <v>621</v>
      </c>
      <c r="C62" s="24" t="s">
        <v>414</v>
      </c>
      <c r="D62" s="150">
        <v>5000</v>
      </c>
      <c r="E62" s="151"/>
      <c r="F62" s="151"/>
      <c r="G62" s="152"/>
      <c r="H62" s="153">
        <f t="shared" si="16"/>
        <v>4000</v>
      </c>
      <c r="I62" s="151"/>
      <c r="J62" s="151"/>
      <c r="K62" s="152"/>
      <c r="L62" s="153">
        <f t="shared" si="17"/>
        <v>3000</v>
      </c>
      <c r="M62" s="151"/>
      <c r="N62" s="151"/>
      <c r="O62" s="152"/>
      <c r="P62" s="20" t="s">
        <v>9</v>
      </c>
      <c r="Q62" s="84" t="s">
        <v>56</v>
      </c>
      <c r="R62" s="87" t="s">
        <v>681</v>
      </c>
    </row>
    <row r="63" spans="1:18" ht="47.25" customHeight="1" thickBot="1" x14ac:dyDescent="0.3">
      <c r="A63" s="58" t="s">
        <v>237</v>
      </c>
      <c r="B63" s="19" t="s">
        <v>555</v>
      </c>
      <c r="C63" s="24" t="s">
        <v>414</v>
      </c>
      <c r="D63" s="150">
        <v>5000</v>
      </c>
      <c r="E63" s="151"/>
      <c r="F63" s="151"/>
      <c r="G63" s="152"/>
      <c r="H63" s="153">
        <f t="shared" si="16"/>
        <v>4000</v>
      </c>
      <c r="I63" s="151"/>
      <c r="J63" s="151"/>
      <c r="K63" s="152"/>
      <c r="L63" s="153">
        <f t="shared" si="17"/>
        <v>3000</v>
      </c>
      <c r="M63" s="151"/>
      <c r="N63" s="151"/>
      <c r="O63" s="152"/>
      <c r="P63" s="20" t="s">
        <v>9</v>
      </c>
      <c r="Q63" s="82" t="s">
        <v>58</v>
      </c>
      <c r="R63" s="87" t="s">
        <v>681</v>
      </c>
    </row>
    <row r="64" spans="1:18" ht="47.25" customHeight="1" thickBot="1" x14ac:dyDescent="0.3">
      <c r="A64" s="58" t="s">
        <v>238</v>
      </c>
      <c r="B64" s="19" t="s">
        <v>556</v>
      </c>
      <c r="C64" s="24" t="s">
        <v>414</v>
      </c>
      <c r="D64" s="150">
        <v>5000</v>
      </c>
      <c r="E64" s="151"/>
      <c r="F64" s="151"/>
      <c r="G64" s="152"/>
      <c r="H64" s="153">
        <f t="shared" si="16"/>
        <v>4000</v>
      </c>
      <c r="I64" s="151"/>
      <c r="J64" s="151"/>
      <c r="K64" s="152"/>
      <c r="L64" s="153">
        <f t="shared" si="17"/>
        <v>3000</v>
      </c>
      <c r="M64" s="151"/>
      <c r="N64" s="151"/>
      <c r="O64" s="152"/>
      <c r="P64" s="20" t="s">
        <v>9</v>
      </c>
      <c r="Q64" s="82" t="s">
        <v>58</v>
      </c>
      <c r="R64" s="87" t="s">
        <v>681</v>
      </c>
    </row>
    <row r="65" spans="1:18" ht="47.25" customHeight="1" thickBot="1" x14ac:dyDescent="0.3">
      <c r="A65" s="58" t="s">
        <v>239</v>
      </c>
      <c r="B65" s="19" t="s">
        <v>597</v>
      </c>
      <c r="C65" s="24" t="s">
        <v>414</v>
      </c>
      <c r="D65" s="150">
        <v>10000</v>
      </c>
      <c r="E65" s="151"/>
      <c r="F65" s="151"/>
      <c r="G65" s="152"/>
      <c r="H65" s="153">
        <f t="shared" si="16"/>
        <v>8000</v>
      </c>
      <c r="I65" s="151"/>
      <c r="J65" s="151"/>
      <c r="K65" s="152"/>
      <c r="L65" s="153">
        <f t="shared" si="17"/>
        <v>6000</v>
      </c>
      <c r="M65" s="151"/>
      <c r="N65" s="151"/>
      <c r="O65" s="152"/>
      <c r="P65" s="20" t="s">
        <v>9</v>
      </c>
      <c r="Q65" s="82" t="s">
        <v>57</v>
      </c>
      <c r="R65" s="87" t="s">
        <v>681</v>
      </c>
    </row>
    <row r="66" spans="1:18" ht="47.25" customHeight="1" thickBot="1" x14ac:dyDescent="0.3">
      <c r="A66" s="58" t="s">
        <v>240</v>
      </c>
      <c r="B66" s="19" t="s">
        <v>469</v>
      </c>
      <c r="C66" s="24" t="s">
        <v>414</v>
      </c>
      <c r="D66" s="150">
        <v>10000</v>
      </c>
      <c r="E66" s="151"/>
      <c r="F66" s="151"/>
      <c r="G66" s="152"/>
      <c r="H66" s="153">
        <f t="shared" si="16"/>
        <v>8000</v>
      </c>
      <c r="I66" s="151"/>
      <c r="J66" s="151"/>
      <c r="K66" s="152"/>
      <c r="L66" s="153">
        <f t="shared" si="17"/>
        <v>6000</v>
      </c>
      <c r="M66" s="151"/>
      <c r="N66" s="151"/>
      <c r="O66" s="152"/>
      <c r="P66" s="20" t="s">
        <v>9</v>
      </c>
      <c r="Q66" s="82" t="s">
        <v>56</v>
      </c>
      <c r="R66" s="87" t="s">
        <v>681</v>
      </c>
    </row>
    <row r="67" spans="1:18" ht="47.25" customHeight="1" thickBot="1" x14ac:dyDescent="0.3">
      <c r="A67" s="58" t="s">
        <v>241</v>
      </c>
      <c r="B67" s="19" t="s">
        <v>423</v>
      </c>
      <c r="C67" s="24" t="s">
        <v>414</v>
      </c>
      <c r="D67" s="150">
        <v>10000</v>
      </c>
      <c r="E67" s="151"/>
      <c r="F67" s="151"/>
      <c r="G67" s="152"/>
      <c r="H67" s="153">
        <f t="shared" si="16"/>
        <v>8000</v>
      </c>
      <c r="I67" s="151"/>
      <c r="J67" s="151"/>
      <c r="K67" s="152"/>
      <c r="L67" s="153">
        <f t="shared" si="17"/>
        <v>6000</v>
      </c>
      <c r="M67" s="151"/>
      <c r="N67" s="151"/>
      <c r="O67" s="152"/>
      <c r="P67" s="20" t="s">
        <v>9</v>
      </c>
      <c r="Q67" s="82" t="s">
        <v>55</v>
      </c>
      <c r="R67" s="87" t="s">
        <v>681</v>
      </c>
    </row>
    <row r="68" spans="1:18" ht="47.25" customHeight="1" thickBot="1" x14ac:dyDescent="0.3">
      <c r="A68" s="58" t="s">
        <v>242</v>
      </c>
      <c r="B68" s="19" t="s">
        <v>464</v>
      </c>
      <c r="C68" s="24" t="s">
        <v>414</v>
      </c>
      <c r="D68" s="150">
        <v>10000</v>
      </c>
      <c r="E68" s="151"/>
      <c r="F68" s="151"/>
      <c r="G68" s="152"/>
      <c r="H68" s="153">
        <f>D68-(D68*20/100)</f>
        <v>8000</v>
      </c>
      <c r="I68" s="151"/>
      <c r="J68" s="151"/>
      <c r="K68" s="152"/>
      <c r="L68" s="153">
        <f>D68-(D68*40/100)</f>
        <v>6000</v>
      </c>
      <c r="M68" s="151"/>
      <c r="N68" s="151"/>
      <c r="O68" s="152"/>
      <c r="P68" s="20" t="s">
        <v>9</v>
      </c>
      <c r="Q68" s="82" t="s">
        <v>451</v>
      </c>
      <c r="R68" s="87" t="s">
        <v>693</v>
      </c>
    </row>
    <row r="69" spans="1:18" ht="47.25" customHeight="1" thickBot="1" x14ac:dyDescent="0.3">
      <c r="A69" s="58" t="s">
        <v>243</v>
      </c>
      <c r="B69" s="19" t="s">
        <v>466</v>
      </c>
      <c r="C69" s="24" t="s">
        <v>414</v>
      </c>
      <c r="D69" s="150">
        <v>2000</v>
      </c>
      <c r="E69" s="151"/>
      <c r="F69" s="151"/>
      <c r="G69" s="152"/>
      <c r="H69" s="153">
        <f>D69-(D69*20/100)</f>
        <v>1600</v>
      </c>
      <c r="I69" s="151"/>
      <c r="J69" s="151"/>
      <c r="K69" s="152"/>
      <c r="L69" s="153">
        <f>D69-(D69*40/100)</f>
        <v>1200</v>
      </c>
      <c r="M69" s="151"/>
      <c r="N69" s="151"/>
      <c r="O69" s="152"/>
      <c r="P69" s="20" t="s">
        <v>9</v>
      </c>
      <c r="Q69" s="82" t="s">
        <v>465</v>
      </c>
      <c r="R69" s="81" t="s">
        <v>734</v>
      </c>
    </row>
    <row r="70" spans="1:18" ht="47.25" customHeight="1" thickBot="1" x14ac:dyDescent="0.3">
      <c r="A70" s="58" t="s">
        <v>244</v>
      </c>
      <c r="B70" s="19" t="s">
        <v>560</v>
      </c>
      <c r="C70" s="24" t="s">
        <v>414</v>
      </c>
      <c r="D70" s="150">
        <v>500</v>
      </c>
      <c r="E70" s="151"/>
      <c r="F70" s="151"/>
      <c r="G70" s="152"/>
      <c r="H70" s="153">
        <f>D70-(D70*20/100)</f>
        <v>400</v>
      </c>
      <c r="I70" s="151"/>
      <c r="J70" s="151"/>
      <c r="K70" s="152"/>
      <c r="L70" s="153">
        <f>D70-(D70*40/100)</f>
        <v>300</v>
      </c>
      <c r="M70" s="151"/>
      <c r="N70" s="151"/>
      <c r="O70" s="152"/>
      <c r="P70" s="20" t="s">
        <v>9</v>
      </c>
      <c r="Q70" s="82" t="s">
        <v>470</v>
      </c>
      <c r="R70" s="81" t="s">
        <v>694</v>
      </c>
    </row>
    <row r="71" spans="1:18" ht="47.25" customHeight="1" thickBot="1" x14ac:dyDescent="0.3">
      <c r="A71" s="58" t="s">
        <v>245</v>
      </c>
      <c r="B71" s="19" t="s">
        <v>24</v>
      </c>
      <c r="C71" s="24" t="s">
        <v>414</v>
      </c>
      <c r="D71" s="150">
        <v>500</v>
      </c>
      <c r="E71" s="151"/>
      <c r="F71" s="151"/>
      <c r="G71" s="152"/>
      <c r="H71" s="153">
        <f t="shared" si="16"/>
        <v>400</v>
      </c>
      <c r="I71" s="151"/>
      <c r="J71" s="151"/>
      <c r="K71" s="152"/>
      <c r="L71" s="153">
        <f t="shared" si="17"/>
        <v>300</v>
      </c>
      <c r="M71" s="151"/>
      <c r="N71" s="151"/>
      <c r="O71" s="152"/>
      <c r="P71" s="20" t="s">
        <v>9</v>
      </c>
      <c r="Q71" s="82" t="s">
        <v>626</v>
      </c>
      <c r="R71" s="81" t="s">
        <v>695</v>
      </c>
    </row>
    <row r="72" spans="1:18" ht="47.25" customHeight="1" thickBot="1" x14ac:dyDescent="0.3">
      <c r="A72" s="58" t="s">
        <v>246</v>
      </c>
      <c r="B72" s="19" t="s">
        <v>471</v>
      </c>
      <c r="C72" s="24" t="s">
        <v>414</v>
      </c>
      <c r="D72" s="150">
        <v>5000</v>
      </c>
      <c r="E72" s="151"/>
      <c r="F72" s="151"/>
      <c r="G72" s="152"/>
      <c r="H72" s="153">
        <f>D72-(D72*20/100)</f>
        <v>4000</v>
      </c>
      <c r="I72" s="151"/>
      <c r="J72" s="151"/>
      <c r="K72" s="152"/>
      <c r="L72" s="153">
        <f>D72-(D72*40/100)</f>
        <v>3000</v>
      </c>
      <c r="M72" s="151"/>
      <c r="N72" s="151"/>
      <c r="O72" s="152"/>
      <c r="P72" s="20" t="s">
        <v>9</v>
      </c>
      <c r="Q72" s="82" t="s">
        <v>473</v>
      </c>
      <c r="R72" s="81" t="s">
        <v>696</v>
      </c>
    </row>
    <row r="73" spans="1:18" ht="47.25" customHeight="1" thickBot="1" x14ac:dyDescent="0.3">
      <c r="A73" s="58" t="s">
        <v>248</v>
      </c>
      <c r="B73" s="19" t="s">
        <v>472</v>
      </c>
      <c r="C73" s="24" t="s">
        <v>414</v>
      </c>
      <c r="D73" s="150">
        <v>5000</v>
      </c>
      <c r="E73" s="151"/>
      <c r="F73" s="151"/>
      <c r="G73" s="152"/>
      <c r="H73" s="153">
        <f>D73-(D73*20/100)</f>
        <v>4000</v>
      </c>
      <c r="I73" s="151"/>
      <c r="J73" s="151"/>
      <c r="K73" s="152"/>
      <c r="L73" s="153">
        <f>D73-(D73*40/100)</f>
        <v>3000</v>
      </c>
      <c r="M73" s="151"/>
      <c r="N73" s="151"/>
      <c r="O73" s="152"/>
      <c r="P73" s="20" t="s">
        <v>9</v>
      </c>
      <c r="Q73" s="82" t="s">
        <v>474</v>
      </c>
      <c r="R73" s="93" t="s">
        <v>697</v>
      </c>
    </row>
    <row r="74" spans="1:18" ht="47.25" customHeight="1" thickBot="1" x14ac:dyDescent="0.3">
      <c r="A74" s="58" t="s">
        <v>344</v>
      </c>
      <c r="B74" s="19" t="s">
        <v>427</v>
      </c>
      <c r="C74" s="24" t="s">
        <v>414</v>
      </c>
      <c r="D74" s="150">
        <v>2000</v>
      </c>
      <c r="E74" s="151"/>
      <c r="F74" s="151"/>
      <c r="G74" s="152"/>
      <c r="H74" s="153">
        <f>D74-(D74*20/100)</f>
        <v>1600</v>
      </c>
      <c r="I74" s="151"/>
      <c r="J74" s="151"/>
      <c r="K74" s="152"/>
      <c r="L74" s="153">
        <f>D74-(D74*40/100)</f>
        <v>1200</v>
      </c>
      <c r="M74" s="151"/>
      <c r="N74" s="151"/>
      <c r="O74" s="152"/>
      <c r="P74" s="20" t="s">
        <v>9</v>
      </c>
      <c r="Q74" s="82" t="s">
        <v>483</v>
      </c>
      <c r="R74" s="93" t="s">
        <v>698</v>
      </c>
    </row>
    <row r="75" spans="1:18" ht="18" customHeight="1" x14ac:dyDescent="0.25">
      <c r="A75" s="140" t="s">
        <v>250</v>
      </c>
      <c r="B75" s="142" t="s">
        <v>25</v>
      </c>
      <c r="C75" s="27" t="s">
        <v>415</v>
      </c>
      <c r="D75" s="26">
        <v>2000</v>
      </c>
      <c r="E75" s="28">
        <f>D75-(D75*10/100)</f>
        <v>1800</v>
      </c>
      <c r="F75" s="28">
        <f>D75-(D75*20/100)</f>
        <v>1600</v>
      </c>
      <c r="G75" s="28">
        <f>D75-(D75*30/100)</f>
        <v>1400</v>
      </c>
      <c r="H75" s="28">
        <f>D75-(D75*10/100)</f>
        <v>1800</v>
      </c>
      <c r="I75" s="28">
        <f>H75-(H75*10/100)</f>
        <v>1620</v>
      </c>
      <c r="J75" s="28">
        <f>H75-(H75*20/100)</f>
        <v>1440</v>
      </c>
      <c r="K75" s="28">
        <f>H75-(H75*30/100)</f>
        <v>1260</v>
      </c>
      <c r="L75" s="28">
        <f>D75-(D75*20/100)</f>
        <v>1600</v>
      </c>
      <c r="M75" s="28">
        <f>L75-(L75*10/100)</f>
        <v>1440</v>
      </c>
      <c r="N75" s="28">
        <f>L75-(L75*20/100)</f>
        <v>1280</v>
      </c>
      <c r="O75" s="28">
        <f>L75-(L75*30/100)</f>
        <v>1120</v>
      </c>
      <c r="P75" s="148" t="s">
        <v>10</v>
      </c>
      <c r="Q75" s="146" t="s">
        <v>55</v>
      </c>
      <c r="R75" s="117" t="s">
        <v>699</v>
      </c>
    </row>
    <row r="76" spans="1:18" ht="18.75" customHeight="1" thickBot="1" x14ac:dyDescent="0.3">
      <c r="A76" s="141"/>
      <c r="B76" s="143"/>
      <c r="C76" s="29" t="s">
        <v>416</v>
      </c>
      <c r="D76" s="28">
        <f t="shared" ref="D76:O76" si="18">D75*50/100</f>
        <v>1000</v>
      </c>
      <c r="E76" s="28">
        <f t="shared" si="18"/>
        <v>900</v>
      </c>
      <c r="F76" s="28">
        <f t="shared" si="18"/>
        <v>800</v>
      </c>
      <c r="G76" s="28">
        <f t="shared" si="18"/>
        <v>700</v>
      </c>
      <c r="H76" s="28">
        <f t="shared" si="18"/>
        <v>900</v>
      </c>
      <c r="I76" s="28">
        <f t="shared" si="18"/>
        <v>810</v>
      </c>
      <c r="J76" s="28">
        <f t="shared" si="18"/>
        <v>720</v>
      </c>
      <c r="K76" s="28">
        <f t="shared" si="18"/>
        <v>630</v>
      </c>
      <c r="L76" s="28">
        <f t="shared" si="18"/>
        <v>800</v>
      </c>
      <c r="M76" s="28">
        <f t="shared" si="18"/>
        <v>720</v>
      </c>
      <c r="N76" s="28">
        <f t="shared" si="18"/>
        <v>640</v>
      </c>
      <c r="O76" s="28">
        <f t="shared" si="18"/>
        <v>560</v>
      </c>
      <c r="P76" s="149"/>
      <c r="Q76" s="147"/>
      <c r="R76" s="117"/>
    </row>
    <row r="77" spans="1:18" ht="18" customHeight="1" x14ac:dyDescent="0.25">
      <c r="A77" s="140" t="s">
        <v>252</v>
      </c>
      <c r="B77" s="142" t="s">
        <v>598</v>
      </c>
      <c r="C77" s="27" t="s">
        <v>415</v>
      </c>
      <c r="D77" s="26">
        <v>1000</v>
      </c>
      <c r="E77" s="28">
        <f>D77-(D77*10/100)</f>
        <v>900</v>
      </c>
      <c r="F77" s="28">
        <f>D77-(D77*20/100)</f>
        <v>800</v>
      </c>
      <c r="G77" s="28">
        <f>D77-(D77*30/100)</f>
        <v>700</v>
      </c>
      <c r="H77" s="28">
        <f>D77-(D77*10/100)</f>
        <v>900</v>
      </c>
      <c r="I77" s="28">
        <f>H77-(H77*10/100)</f>
        <v>810</v>
      </c>
      <c r="J77" s="28">
        <f>H77-(H77*20/100)</f>
        <v>720</v>
      </c>
      <c r="K77" s="28">
        <f>H77-(H77*30/100)</f>
        <v>630</v>
      </c>
      <c r="L77" s="28">
        <f>D77-(D77*20/100)</f>
        <v>800</v>
      </c>
      <c r="M77" s="28">
        <f>L77-(L77*10/100)</f>
        <v>720</v>
      </c>
      <c r="N77" s="28">
        <f>L77-(L77*20/100)</f>
        <v>640</v>
      </c>
      <c r="O77" s="28">
        <f>L77-(L77*30/100)</f>
        <v>560</v>
      </c>
      <c r="P77" s="148" t="s">
        <v>10</v>
      </c>
      <c r="Q77" s="146" t="s">
        <v>58</v>
      </c>
      <c r="R77" s="117" t="s">
        <v>700</v>
      </c>
    </row>
    <row r="78" spans="1:18" ht="18.75" customHeight="1" thickBot="1" x14ac:dyDescent="0.3">
      <c r="A78" s="141"/>
      <c r="B78" s="143"/>
      <c r="C78" s="29" t="s">
        <v>416</v>
      </c>
      <c r="D78" s="28">
        <f t="shared" ref="D78:O78" si="19">D77*50/100</f>
        <v>500</v>
      </c>
      <c r="E78" s="28">
        <f t="shared" si="19"/>
        <v>450</v>
      </c>
      <c r="F78" s="28">
        <f t="shared" si="19"/>
        <v>400</v>
      </c>
      <c r="G78" s="28">
        <f t="shared" si="19"/>
        <v>350</v>
      </c>
      <c r="H78" s="28">
        <f t="shared" si="19"/>
        <v>450</v>
      </c>
      <c r="I78" s="28">
        <f t="shared" si="19"/>
        <v>405</v>
      </c>
      <c r="J78" s="28">
        <f t="shared" si="19"/>
        <v>360</v>
      </c>
      <c r="K78" s="28">
        <f t="shared" si="19"/>
        <v>315</v>
      </c>
      <c r="L78" s="28">
        <f t="shared" si="19"/>
        <v>400</v>
      </c>
      <c r="M78" s="28">
        <f t="shared" si="19"/>
        <v>360</v>
      </c>
      <c r="N78" s="28">
        <f t="shared" si="19"/>
        <v>320</v>
      </c>
      <c r="O78" s="28">
        <f t="shared" si="19"/>
        <v>280</v>
      </c>
      <c r="P78" s="149"/>
      <c r="Q78" s="147"/>
      <c r="R78" s="117"/>
    </row>
    <row r="79" spans="1:18" ht="47.25" customHeight="1" thickBot="1" x14ac:dyDescent="0.3">
      <c r="A79" s="58" t="s">
        <v>253</v>
      </c>
      <c r="B79" s="19" t="s">
        <v>35</v>
      </c>
      <c r="C79" s="24" t="s">
        <v>414</v>
      </c>
      <c r="D79" s="150">
        <v>15000</v>
      </c>
      <c r="E79" s="151"/>
      <c r="F79" s="151"/>
      <c r="G79" s="152"/>
      <c r="H79" s="153">
        <f t="shared" ref="H79:H91" si="20">D79-(D79*20/100)</f>
        <v>12000</v>
      </c>
      <c r="I79" s="151"/>
      <c r="J79" s="151"/>
      <c r="K79" s="152"/>
      <c r="L79" s="153">
        <f t="shared" ref="L79:L91" si="21">D79-(D79*40/100)</f>
        <v>9000</v>
      </c>
      <c r="M79" s="151"/>
      <c r="N79" s="151"/>
      <c r="O79" s="152"/>
      <c r="P79" s="20" t="s">
        <v>9</v>
      </c>
      <c r="Q79" s="82" t="s">
        <v>58</v>
      </c>
      <c r="R79" s="94" t="s">
        <v>701</v>
      </c>
    </row>
    <row r="80" spans="1:18" ht="47.25" customHeight="1" thickBot="1" x14ac:dyDescent="0.3">
      <c r="A80" s="58" t="s">
        <v>254</v>
      </c>
      <c r="B80" s="22" t="s">
        <v>89</v>
      </c>
      <c r="C80" s="24" t="s">
        <v>414</v>
      </c>
      <c r="D80" s="150">
        <v>60000</v>
      </c>
      <c r="E80" s="151"/>
      <c r="F80" s="151"/>
      <c r="G80" s="152"/>
      <c r="H80" s="153">
        <f t="shared" si="20"/>
        <v>48000</v>
      </c>
      <c r="I80" s="151"/>
      <c r="J80" s="151"/>
      <c r="K80" s="152"/>
      <c r="L80" s="153">
        <f t="shared" si="21"/>
        <v>36000</v>
      </c>
      <c r="M80" s="151"/>
      <c r="N80" s="151"/>
      <c r="O80" s="152"/>
      <c r="P80" s="20" t="s">
        <v>9</v>
      </c>
      <c r="Q80" s="82" t="s">
        <v>58</v>
      </c>
      <c r="R80" s="81" t="s">
        <v>702</v>
      </c>
    </row>
    <row r="81" spans="1:18" ht="47.25" customHeight="1" thickBot="1" x14ac:dyDescent="0.3">
      <c r="A81" s="58" t="s">
        <v>255</v>
      </c>
      <c r="B81" s="19" t="s">
        <v>599</v>
      </c>
      <c r="C81" s="24" t="s">
        <v>414</v>
      </c>
      <c r="D81" s="150">
        <v>40000</v>
      </c>
      <c r="E81" s="151"/>
      <c r="F81" s="151"/>
      <c r="G81" s="152"/>
      <c r="H81" s="153">
        <f t="shared" si="20"/>
        <v>32000</v>
      </c>
      <c r="I81" s="151"/>
      <c r="J81" s="151"/>
      <c r="K81" s="152"/>
      <c r="L81" s="153">
        <f t="shared" si="21"/>
        <v>24000</v>
      </c>
      <c r="M81" s="151"/>
      <c r="N81" s="151"/>
      <c r="O81" s="152"/>
      <c r="P81" s="20" t="s">
        <v>9</v>
      </c>
      <c r="Q81" s="82" t="s">
        <v>58</v>
      </c>
      <c r="R81" s="81" t="s">
        <v>702</v>
      </c>
    </row>
    <row r="82" spans="1:18" ht="47.25" customHeight="1" thickBot="1" x14ac:dyDescent="0.3">
      <c r="A82" s="58" t="s">
        <v>256</v>
      </c>
      <c r="B82" s="19" t="s">
        <v>475</v>
      </c>
      <c r="C82" s="24" t="s">
        <v>414</v>
      </c>
      <c r="D82" s="150">
        <v>30000</v>
      </c>
      <c r="E82" s="151"/>
      <c r="F82" s="151"/>
      <c r="G82" s="152"/>
      <c r="H82" s="153">
        <f t="shared" si="20"/>
        <v>24000</v>
      </c>
      <c r="I82" s="151"/>
      <c r="J82" s="151"/>
      <c r="K82" s="152"/>
      <c r="L82" s="153">
        <f t="shared" si="21"/>
        <v>18000</v>
      </c>
      <c r="M82" s="151"/>
      <c r="N82" s="151"/>
      <c r="O82" s="152"/>
      <c r="P82" s="20" t="s">
        <v>9</v>
      </c>
      <c r="Q82" s="82" t="s">
        <v>58</v>
      </c>
      <c r="R82" s="81" t="s">
        <v>702</v>
      </c>
    </row>
    <row r="83" spans="1:18" ht="47.25" customHeight="1" thickBot="1" x14ac:dyDescent="0.3">
      <c r="A83" s="58" t="s">
        <v>257</v>
      </c>
      <c r="B83" s="19" t="s">
        <v>600</v>
      </c>
      <c r="C83" s="24" t="s">
        <v>414</v>
      </c>
      <c r="D83" s="150">
        <v>20000</v>
      </c>
      <c r="E83" s="151"/>
      <c r="F83" s="151"/>
      <c r="G83" s="152"/>
      <c r="H83" s="153">
        <f t="shared" si="20"/>
        <v>16000</v>
      </c>
      <c r="I83" s="151"/>
      <c r="J83" s="151"/>
      <c r="K83" s="152"/>
      <c r="L83" s="153">
        <f t="shared" si="21"/>
        <v>12000</v>
      </c>
      <c r="M83" s="151"/>
      <c r="N83" s="151"/>
      <c r="O83" s="152"/>
      <c r="P83" s="20" t="s">
        <v>9</v>
      </c>
      <c r="Q83" s="82" t="s">
        <v>58</v>
      </c>
      <c r="R83" s="81" t="s">
        <v>702</v>
      </c>
    </row>
    <row r="84" spans="1:18" ht="47.25" customHeight="1" thickBot="1" x14ac:dyDescent="0.3">
      <c r="A84" s="58" t="s">
        <v>258</v>
      </c>
      <c r="B84" s="19" t="s">
        <v>476</v>
      </c>
      <c r="C84" s="24" t="s">
        <v>414</v>
      </c>
      <c r="D84" s="150">
        <v>2000</v>
      </c>
      <c r="E84" s="151"/>
      <c r="F84" s="151"/>
      <c r="G84" s="152"/>
      <c r="H84" s="153">
        <f t="shared" si="20"/>
        <v>1600</v>
      </c>
      <c r="I84" s="151"/>
      <c r="J84" s="151"/>
      <c r="K84" s="152"/>
      <c r="L84" s="153">
        <f t="shared" si="21"/>
        <v>1200</v>
      </c>
      <c r="M84" s="151"/>
      <c r="N84" s="151"/>
      <c r="O84" s="152"/>
      <c r="P84" s="20" t="s">
        <v>9</v>
      </c>
      <c r="Q84" s="82" t="s">
        <v>431</v>
      </c>
      <c r="R84" s="81" t="s">
        <v>702</v>
      </c>
    </row>
    <row r="85" spans="1:18" ht="47.25" customHeight="1" thickBot="1" x14ac:dyDescent="0.3">
      <c r="A85" s="58" t="s">
        <v>259</v>
      </c>
      <c r="B85" s="19" t="s">
        <v>601</v>
      </c>
      <c r="C85" s="24" t="s">
        <v>414</v>
      </c>
      <c r="D85" s="150">
        <v>2000</v>
      </c>
      <c r="E85" s="151"/>
      <c r="F85" s="151"/>
      <c r="G85" s="152"/>
      <c r="H85" s="153">
        <f t="shared" si="20"/>
        <v>1600</v>
      </c>
      <c r="I85" s="151"/>
      <c r="J85" s="151"/>
      <c r="K85" s="152"/>
      <c r="L85" s="153">
        <f t="shared" si="21"/>
        <v>1200</v>
      </c>
      <c r="M85" s="151"/>
      <c r="N85" s="151"/>
      <c r="O85" s="152"/>
      <c r="P85" s="20" t="s">
        <v>9</v>
      </c>
      <c r="Q85" s="82" t="s">
        <v>477</v>
      </c>
      <c r="R85" s="81" t="s">
        <v>703</v>
      </c>
    </row>
    <row r="86" spans="1:18" ht="47.25" customHeight="1" thickBot="1" x14ac:dyDescent="0.3">
      <c r="A86" s="58" t="s">
        <v>260</v>
      </c>
      <c r="B86" s="19" t="s">
        <v>602</v>
      </c>
      <c r="C86" s="24" t="s">
        <v>414</v>
      </c>
      <c r="D86" s="150">
        <v>500</v>
      </c>
      <c r="E86" s="151"/>
      <c r="F86" s="151"/>
      <c r="G86" s="152"/>
      <c r="H86" s="153">
        <f t="shared" si="20"/>
        <v>400</v>
      </c>
      <c r="I86" s="151"/>
      <c r="J86" s="151"/>
      <c r="K86" s="152"/>
      <c r="L86" s="153">
        <f t="shared" si="21"/>
        <v>300</v>
      </c>
      <c r="M86" s="151"/>
      <c r="N86" s="151"/>
      <c r="O86" s="152"/>
      <c r="P86" s="20" t="s">
        <v>9</v>
      </c>
      <c r="Q86" s="82" t="s">
        <v>435</v>
      </c>
      <c r="R86" s="81" t="s">
        <v>704</v>
      </c>
    </row>
    <row r="87" spans="1:18" ht="47.25" customHeight="1" thickBot="1" x14ac:dyDescent="0.3">
      <c r="A87" s="58" t="s">
        <v>261</v>
      </c>
      <c r="B87" s="19" t="s">
        <v>617</v>
      </c>
      <c r="C87" s="24" t="s">
        <v>414</v>
      </c>
      <c r="D87" s="150">
        <v>2000</v>
      </c>
      <c r="E87" s="151"/>
      <c r="F87" s="151"/>
      <c r="G87" s="152"/>
      <c r="H87" s="153">
        <f t="shared" si="20"/>
        <v>1600</v>
      </c>
      <c r="I87" s="151"/>
      <c r="J87" s="151"/>
      <c r="K87" s="152"/>
      <c r="L87" s="153">
        <f t="shared" si="21"/>
        <v>1200</v>
      </c>
      <c r="M87" s="151"/>
      <c r="N87" s="151"/>
      <c r="O87" s="152"/>
      <c r="P87" s="20" t="s">
        <v>9</v>
      </c>
      <c r="Q87" s="82" t="s">
        <v>433</v>
      </c>
      <c r="R87" s="81" t="s">
        <v>705</v>
      </c>
    </row>
    <row r="88" spans="1:18" ht="47.25" customHeight="1" thickBot="1" x14ac:dyDescent="0.3">
      <c r="A88" s="58" t="s">
        <v>262</v>
      </c>
      <c r="B88" s="19" t="s">
        <v>616</v>
      </c>
      <c r="C88" s="24" t="s">
        <v>414</v>
      </c>
      <c r="D88" s="150">
        <v>2000</v>
      </c>
      <c r="E88" s="151"/>
      <c r="F88" s="151"/>
      <c r="G88" s="152"/>
      <c r="H88" s="153">
        <f t="shared" si="20"/>
        <v>1600</v>
      </c>
      <c r="I88" s="151"/>
      <c r="J88" s="151"/>
      <c r="K88" s="152"/>
      <c r="L88" s="153">
        <f t="shared" si="21"/>
        <v>1200</v>
      </c>
      <c r="M88" s="151"/>
      <c r="N88" s="151"/>
      <c r="O88" s="152"/>
      <c r="P88" s="20" t="s">
        <v>9</v>
      </c>
      <c r="Q88" s="82" t="s">
        <v>433</v>
      </c>
      <c r="R88" s="81" t="s">
        <v>705</v>
      </c>
    </row>
    <row r="89" spans="1:18" ht="47.25" customHeight="1" thickBot="1" x14ac:dyDescent="0.3">
      <c r="A89" s="58" t="s">
        <v>263</v>
      </c>
      <c r="B89" s="19" t="s">
        <v>627</v>
      </c>
      <c r="C89" s="24" t="s">
        <v>414</v>
      </c>
      <c r="D89" s="150">
        <v>500</v>
      </c>
      <c r="E89" s="151"/>
      <c r="F89" s="151"/>
      <c r="G89" s="152"/>
      <c r="H89" s="153">
        <f t="shared" si="20"/>
        <v>400</v>
      </c>
      <c r="I89" s="151"/>
      <c r="J89" s="151"/>
      <c r="K89" s="152"/>
      <c r="L89" s="153">
        <f t="shared" si="21"/>
        <v>300</v>
      </c>
      <c r="M89" s="151"/>
      <c r="N89" s="151"/>
      <c r="O89" s="152"/>
      <c r="P89" s="20" t="s">
        <v>9</v>
      </c>
      <c r="Q89" s="82" t="s">
        <v>433</v>
      </c>
      <c r="R89" s="81" t="s">
        <v>706</v>
      </c>
    </row>
    <row r="90" spans="1:18" ht="47.25" customHeight="1" thickBot="1" x14ac:dyDescent="0.3">
      <c r="A90" s="58" t="s">
        <v>264</v>
      </c>
      <c r="B90" s="19" t="s">
        <v>603</v>
      </c>
      <c r="C90" s="24" t="s">
        <v>414</v>
      </c>
      <c r="D90" s="150">
        <v>500</v>
      </c>
      <c r="E90" s="151"/>
      <c r="F90" s="151"/>
      <c r="G90" s="152"/>
      <c r="H90" s="153">
        <f t="shared" si="20"/>
        <v>400</v>
      </c>
      <c r="I90" s="151"/>
      <c r="J90" s="151"/>
      <c r="K90" s="152"/>
      <c r="L90" s="153">
        <f t="shared" si="21"/>
        <v>300</v>
      </c>
      <c r="M90" s="151"/>
      <c r="N90" s="151"/>
      <c r="O90" s="152"/>
      <c r="P90" s="20" t="s">
        <v>9</v>
      </c>
      <c r="Q90" s="82" t="s">
        <v>433</v>
      </c>
      <c r="R90" s="81" t="s">
        <v>683</v>
      </c>
    </row>
    <row r="91" spans="1:18" ht="47.25" customHeight="1" thickBot="1" x14ac:dyDescent="0.3">
      <c r="A91" s="58" t="s">
        <v>265</v>
      </c>
      <c r="B91" s="19" t="s">
        <v>72</v>
      </c>
      <c r="C91" s="24" t="s">
        <v>414</v>
      </c>
      <c r="D91" s="150">
        <v>20000</v>
      </c>
      <c r="E91" s="151"/>
      <c r="F91" s="151"/>
      <c r="G91" s="152"/>
      <c r="H91" s="153">
        <f t="shared" si="20"/>
        <v>16000</v>
      </c>
      <c r="I91" s="151"/>
      <c r="J91" s="151"/>
      <c r="K91" s="152"/>
      <c r="L91" s="153">
        <f t="shared" si="21"/>
        <v>12000</v>
      </c>
      <c r="M91" s="151"/>
      <c r="N91" s="151"/>
      <c r="O91" s="152"/>
      <c r="P91" s="20" t="s">
        <v>9</v>
      </c>
      <c r="Q91" s="82" t="s">
        <v>58</v>
      </c>
      <c r="R91" s="81" t="s">
        <v>707</v>
      </c>
    </row>
    <row r="92" spans="1:18" ht="18" customHeight="1" x14ac:dyDescent="0.25">
      <c r="A92" s="140" t="s">
        <v>266</v>
      </c>
      <c r="B92" s="142" t="s">
        <v>91</v>
      </c>
      <c r="C92" s="27" t="s">
        <v>415</v>
      </c>
      <c r="D92" s="26">
        <v>1000</v>
      </c>
      <c r="E92" s="28">
        <f>D92-(D92*10/100)</f>
        <v>900</v>
      </c>
      <c r="F92" s="28">
        <f>D92-(D92*20/100)</f>
        <v>800</v>
      </c>
      <c r="G92" s="28">
        <f>D92-(D92*30/100)</f>
        <v>700</v>
      </c>
      <c r="H92" s="28">
        <f>D92-(D92*10/100)</f>
        <v>900</v>
      </c>
      <c r="I92" s="28">
        <f>H92-(H92*10/100)</f>
        <v>810</v>
      </c>
      <c r="J92" s="28">
        <f>H92-(H92*20/100)</f>
        <v>720</v>
      </c>
      <c r="K92" s="28">
        <f>H92-(H92*30/100)</f>
        <v>630</v>
      </c>
      <c r="L92" s="28">
        <f>D92-(D92*20/100)</f>
        <v>800</v>
      </c>
      <c r="M92" s="28">
        <f>L92-(L92*10/100)</f>
        <v>720</v>
      </c>
      <c r="N92" s="28">
        <f>L92-(L92*20/100)</f>
        <v>640</v>
      </c>
      <c r="O92" s="28">
        <f>L92-(L92*30/100)</f>
        <v>560</v>
      </c>
      <c r="P92" s="148" t="s">
        <v>10</v>
      </c>
      <c r="Q92" s="146" t="s">
        <v>55</v>
      </c>
      <c r="R92" s="117" t="s">
        <v>708</v>
      </c>
    </row>
    <row r="93" spans="1:18" ht="18.75" customHeight="1" thickBot="1" x14ac:dyDescent="0.3">
      <c r="A93" s="141"/>
      <c r="B93" s="143"/>
      <c r="C93" s="29" t="s">
        <v>416</v>
      </c>
      <c r="D93" s="28">
        <f t="shared" ref="D93:O93" si="22">D92*50/100</f>
        <v>500</v>
      </c>
      <c r="E93" s="28">
        <f t="shared" si="22"/>
        <v>450</v>
      </c>
      <c r="F93" s="28">
        <f t="shared" si="22"/>
        <v>400</v>
      </c>
      <c r="G93" s="28">
        <f t="shared" si="22"/>
        <v>350</v>
      </c>
      <c r="H93" s="28">
        <f t="shared" si="22"/>
        <v>450</v>
      </c>
      <c r="I93" s="28">
        <f t="shared" si="22"/>
        <v>405</v>
      </c>
      <c r="J93" s="28">
        <f t="shared" si="22"/>
        <v>360</v>
      </c>
      <c r="K93" s="28">
        <f t="shared" si="22"/>
        <v>315</v>
      </c>
      <c r="L93" s="28">
        <f t="shared" si="22"/>
        <v>400</v>
      </c>
      <c r="M93" s="28">
        <f t="shared" si="22"/>
        <v>360</v>
      </c>
      <c r="N93" s="28">
        <f t="shared" si="22"/>
        <v>320</v>
      </c>
      <c r="O93" s="28">
        <f t="shared" si="22"/>
        <v>280</v>
      </c>
      <c r="P93" s="149"/>
      <c r="Q93" s="147"/>
      <c r="R93" s="117"/>
    </row>
    <row r="94" spans="1:18" ht="47.25" customHeight="1" thickBot="1" x14ac:dyDescent="0.3">
      <c r="A94" s="58" t="s">
        <v>267</v>
      </c>
      <c r="B94" s="19" t="s">
        <v>604</v>
      </c>
      <c r="C94" s="24" t="s">
        <v>414</v>
      </c>
      <c r="D94" s="150">
        <v>2000</v>
      </c>
      <c r="E94" s="151"/>
      <c r="F94" s="151"/>
      <c r="G94" s="152"/>
      <c r="H94" s="153">
        <f>D94-(D94*20/100)</f>
        <v>1600</v>
      </c>
      <c r="I94" s="151"/>
      <c r="J94" s="151"/>
      <c r="K94" s="152"/>
      <c r="L94" s="153">
        <f>D94-(D94*40/100)</f>
        <v>1200</v>
      </c>
      <c r="M94" s="151"/>
      <c r="N94" s="151"/>
      <c r="O94" s="152"/>
      <c r="P94" s="20" t="s">
        <v>9</v>
      </c>
      <c r="Q94" s="82" t="s">
        <v>478</v>
      </c>
      <c r="R94" s="81" t="s">
        <v>739</v>
      </c>
    </row>
    <row r="95" spans="1:18" ht="18" customHeight="1" x14ac:dyDescent="0.25">
      <c r="A95" s="140" t="s">
        <v>268</v>
      </c>
      <c r="B95" s="142" t="s">
        <v>436</v>
      </c>
      <c r="C95" s="27" t="s">
        <v>415</v>
      </c>
      <c r="D95" s="26">
        <v>2000</v>
      </c>
      <c r="E95" s="28">
        <f>D95-(D95*10/100)</f>
        <v>1800</v>
      </c>
      <c r="F95" s="28">
        <f>D95-(D95*20/100)</f>
        <v>1600</v>
      </c>
      <c r="G95" s="28">
        <f>D95-(D95*30/100)</f>
        <v>1400</v>
      </c>
      <c r="H95" s="28">
        <f>D95-(D95*10/100)</f>
        <v>1800</v>
      </c>
      <c r="I95" s="28">
        <f>H95-(H95*10/100)</f>
        <v>1620</v>
      </c>
      <c r="J95" s="28">
        <f>H95-(H95*20/100)</f>
        <v>1440</v>
      </c>
      <c r="K95" s="28">
        <f>H95-(H95*30/100)</f>
        <v>1260</v>
      </c>
      <c r="L95" s="28">
        <f>D95-(D95*20/100)</f>
        <v>1600</v>
      </c>
      <c r="M95" s="28">
        <f>L95-(L95*10/100)</f>
        <v>1440</v>
      </c>
      <c r="N95" s="28">
        <f>L95-(L95*20/100)</f>
        <v>1280</v>
      </c>
      <c r="O95" s="28">
        <f>L95-(L95*30/100)</f>
        <v>1120</v>
      </c>
      <c r="P95" s="148" t="s">
        <v>10</v>
      </c>
      <c r="Q95" s="146" t="s">
        <v>55</v>
      </c>
      <c r="R95" s="154" t="s">
        <v>681</v>
      </c>
    </row>
    <row r="96" spans="1:18" ht="18.75" customHeight="1" thickBot="1" x14ac:dyDescent="0.3">
      <c r="A96" s="141"/>
      <c r="B96" s="143"/>
      <c r="C96" s="29" t="s">
        <v>416</v>
      </c>
      <c r="D96" s="28">
        <f t="shared" ref="D96:I96" si="23">D95*50/100</f>
        <v>1000</v>
      </c>
      <c r="E96" s="28">
        <f t="shared" si="23"/>
        <v>900</v>
      </c>
      <c r="F96" s="28">
        <f t="shared" si="23"/>
        <v>800</v>
      </c>
      <c r="G96" s="28">
        <f t="shared" si="23"/>
        <v>700</v>
      </c>
      <c r="H96" s="28">
        <f t="shared" si="23"/>
        <v>900</v>
      </c>
      <c r="I96" s="28">
        <f t="shared" si="23"/>
        <v>810</v>
      </c>
      <c r="J96" s="28">
        <f t="shared" ref="J96:O96" si="24">J95*50/100</f>
        <v>720</v>
      </c>
      <c r="K96" s="28">
        <f t="shared" si="24"/>
        <v>630</v>
      </c>
      <c r="L96" s="28">
        <f t="shared" si="24"/>
        <v>800</v>
      </c>
      <c r="M96" s="28">
        <f t="shared" si="24"/>
        <v>720</v>
      </c>
      <c r="N96" s="28">
        <f t="shared" si="24"/>
        <v>640</v>
      </c>
      <c r="O96" s="28">
        <f t="shared" si="24"/>
        <v>560</v>
      </c>
      <c r="P96" s="149"/>
      <c r="Q96" s="147"/>
      <c r="R96" s="155"/>
    </row>
    <row r="97" spans="1:18" ht="18" customHeight="1" x14ac:dyDescent="0.25">
      <c r="A97" s="140" t="s">
        <v>269</v>
      </c>
      <c r="B97" s="142" t="s">
        <v>437</v>
      </c>
      <c r="C97" s="27" t="s">
        <v>415</v>
      </c>
      <c r="D97" s="26">
        <v>2000</v>
      </c>
      <c r="E97" s="28">
        <f>D97-(D97*10/100)</f>
        <v>1800</v>
      </c>
      <c r="F97" s="28">
        <f>D97-(D97*20/100)</f>
        <v>1600</v>
      </c>
      <c r="G97" s="28">
        <f>D97-(D97*30/100)</f>
        <v>1400</v>
      </c>
      <c r="H97" s="28">
        <f>D97-(D97*10/100)</f>
        <v>1800</v>
      </c>
      <c r="I97" s="28">
        <f>H97-(H97*10/100)</f>
        <v>1620</v>
      </c>
      <c r="J97" s="28">
        <f>H97-(H97*20/100)</f>
        <v>1440</v>
      </c>
      <c r="K97" s="28">
        <f>H97-(H97*30/100)</f>
        <v>1260</v>
      </c>
      <c r="L97" s="28">
        <f>D97-(D97*20/100)</f>
        <v>1600</v>
      </c>
      <c r="M97" s="28">
        <f>L97-(L97*10/100)</f>
        <v>1440</v>
      </c>
      <c r="N97" s="28">
        <f>L97-(L97*20/100)</f>
        <v>1280</v>
      </c>
      <c r="O97" s="28">
        <f>L97-(L97*30/100)</f>
        <v>1120</v>
      </c>
      <c r="P97" s="148" t="s">
        <v>10</v>
      </c>
      <c r="Q97" s="146" t="s">
        <v>55</v>
      </c>
      <c r="R97" s="154" t="s">
        <v>681</v>
      </c>
    </row>
    <row r="98" spans="1:18" ht="18.75" customHeight="1" thickBot="1" x14ac:dyDescent="0.3">
      <c r="A98" s="141"/>
      <c r="B98" s="143"/>
      <c r="C98" s="29" t="s">
        <v>416</v>
      </c>
      <c r="D98" s="28">
        <f t="shared" ref="D98:O98" si="25">D97*50/100</f>
        <v>1000</v>
      </c>
      <c r="E98" s="28">
        <f t="shared" si="25"/>
        <v>900</v>
      </c>
      <c r="F98" s="28">
        <f t="shared" si="25"/>
        <v>800</v>
      </c>
      <c r="G98" s="28">
        <f t="shared" si="25"/>
        <v>700</v>
      </c>
      <c r="H98" s="28">
        <f t="shared" si="25"/>
        <v>900</v>
      </c>
      <c r="I98" s="28">
        <f t="shared" si="25"/>
        <v>810</v>
      </c>
      <c r="J98" s="28">
        <f>J97*50/100</f>
        <v>720</v>
      </c>
      <c r="K98" s="28">
        <f t="shared" si="25"/>
        <v>630</v>
      </c>
      <c r="L98" s="28">
        <f t="shared" si="25"/>
        <v>800</v>
      </c>
      <c r="M98" s="28">
        <f t="shared" si="25"/>
        <v>720</v>
      </c>
      <c r="N98" s="28">
        <f t="shared" si="25"/>
        <v>640</v>
      </c>
      <c r="O98" s="28">
        <f t="shared" si="25"/>
        <v>560</v>
      </c>
      <c r="P98" s="149"/>
      <c r="Q98" s="147"/>
      <c r="R98" s="155"/>
    </row>
    <row r="99" spans="1:18" ht="42.75" customHeight="1" thickBot="1" x14ac:dyDescent="0.3">
      <c r="A99" s="70" t="s">
        <v>181</v>
      </c>
      <c r="B99" s="19" t="s">
        <v>606</v>
      </c>
      <c r="C99" s="24" t="s">
        <v>414</v>
      </c>
      <c r="D99" s="150">
        <v>50000</v>
      </c>
      <c r="E99" s="151"/>
      <c r="F99" s="151"/>
      <c r="G99" s="152"/>
      <c r="H99" s="153">
        <f t="shared" ref="H99:H104" si="26">D99-(D99*20/100)</f>
        <v>40000</v>
      </c>
      <c r="I99" s="151"/>
      <c r="J99" s="151"/>
      <c r="K99" s="152"/>
      <c r="L99" s="153">
        <f t="shared" ref="L99:L104" si="27">D99-(D99*40/100)</f>
        <v>30000</v>
      </c>
      <c r="M99" s="151"/>
      <c r="N99" s="151"/>
      <c r="O99" s="152"/>
      <c r="P99" s="20" t="s">
        <v>9</v>
      </c>
      <c r="Q99" s="82" t="s">
        <v>58</v>
      </c>
      <c r="R99" s="87" t="s">
        <v>709</v>
      </c>
    </row>
    <row r="100" spans="1:18" ht="45" customHeight="1" thickBot="1" x14ac:dyDescent="0.3">
      <c r="A100" s="70" t="s">
        <v>270</v>
      </c>
      <c r="B100" s="19" t="s">
        <v>605</v>
      </c>
      <c r="C100" s="24" t="s">
        <v>414</v>
      </c>
      <c r="D100" s="150">
        <v>50000</v>
      </c>
      <c r="E100" s="151"/>
      <c r="F100" s="151"/>
      <c r="G100" s="152"/>
      <c r="H100" s="153">
        <f t="shared" si="26"/>
        <v>40000</v>
      </c>
      <c r="I100" s="151"/>
      <c r="J100" s="151"/>
      <c r="K100" s="152"/>
      <c r="L100" s="153">
        <f t="shared" si="27"/>
        <v>30000</v>
      </c>
      <c r="M100" s="151"/>
      <c r="N100" s="151"/>
      <c r="O100" s="152"/>
      <c r="P100" s="20" t="s">
        <v>9</v>
      </c>
      <c r="Q100" s="82" t="s">
        <v>58</v>
      </c>
      <c r="R100" s="87" t="s">
        <v>710</v>
      </c>
    </row>
    <row r="101" spans="1:18" ht="47.25" customHeight="1" thickBot="1" x14ac:dyDescent="0.3">
      <c r="A101" s="58" t="s">
        <v>271</v>
      </c>
      <c r="B101" s="19" t="s">
        <v>479</v>
      </c>
      <c r="C101" s="24" t="s">
        <v>414</v>
      </c>
      <c r="D101" s="150">
        <v>20000</v>
      </c>
      <c r="E101" s="151"/>
      <c r="F101" s="151"/>
      <c r="G101" s="152"/>
      <c r="H101" s="153">
        <f t="shared" si="26"/>
        <v>16000</v>
      </c>
      <c r="I101" s="151"/>
      <c r="J101" s="151"/>
      <c r="K101" s="152"/>
      <c r="L101" s="153">
        <f t="shared" si="27"/>
        <v>12000</v>
      </c>
      <c r="M101" s="151"/>
      <c r="N101" s="151"/>
      <c r="O101" s="152"/>
      <c r="P101" s="20" t="s">
        <v>9</v>
      </c>
      <c r="Q101" s="82" t="s">
        <v>58</v>
      </c>
      <c r="R101" s="87" t="s">
        <v>711</v>
      </c>
    </row>
    <row r="102" spans="1:18" ht="47.25" customHeight="1" thickBot="1" x14ac:dyDescent="0.3">
      <c r="A102" s="58" t="s">
        <v>272</v>
      </c>
      <c r="B102" s="19" t="s">
        <v>480</v>
      </c>
      <c r="C102" s="24" t="s">
        <v>414</v>
      </c>
      <c r="D102" s="150">
        <v>40000</v>
      </c>
      <c r="E102" s="151"/>
      <c r="F102" s="151"/>
      <c r="G102" s="152"/>
      <c r="H102" s="153">
        <f t="shared" si="26"/>
        <v>32000</v>
      </c>
      <c r="I102" s="151"/>
      <c r="J102" s="151"/>
      <c r="K102" s="152"/>
      <c r="L102" s="153">
        <f t="shared" si="27"/>
        <v>24000</v>
      </c>
      <c r="M102" s="151"/>
      <c r="N102" s="151"/>
      <c r="O102" s="152"/>
      <c r="P102" s="20" t="s">
        <v>9</v>
      </c>
      <c r="Q102" s="82" t="s">
        <v>58</v>
      </c>
      <c r="R102" s="87" t="s">
        <v>712</v>
      </c>
    </row>
    <row r="103" spans="1:18" ht="47.25" customHeight="1" thickBot="1" x14ac:dyDescent="0.3">
      <c r="A103" s="58" t="s">
        <v>273</v>
      </c>
      <c r="B103" s="19" t="s">
        <v>33</v>
      </c>
      <c r="C103" s="24" t="s">
        <v>414</v>
      </c>
      <c r="D103" s="150">
        <v>50000</v>
      </c>
      <c r="E103" s="151"/>
      <c r="F103" s="151"/>
      <c r="G103" s="152"/>
      <c r="H103" s="153">
        <f t="shared" si="26"/>
        <v>40000</v>
      </c>
      <c r="I103" s="151"/>
      <c r="J103" s="151"/>
      <c r="K103" s="152"/>
      <c r="L103" s="153">
        <f t="shared" si="27"/>
        <v>30000</v>
      </c>
      <c r="M103" s="151"/>
      <c r="N103" s="151"/>
      <c r="O103" s="152"/>
      <c r="P103" s="20" t="s">
        <v>9</v>
      </c>
      <c r="Q103" s="82" t="s">
        <v>58</v>
      </c>
      <c r="R103" s="74" t="s">
        <v>719</v>
      </c>
    </row>
    <row r="104" spans="1:18" ht="47.25" customHeight="1" thickBot="1" x14ac:dyDescent="0.3">
      <c r="A104" s="58" t="s">
        <v>274</v>
      </c>
      <c r="B104" s="19" t="s">
        <v>481</v>
      </c>
      <c r="C104" s="24" t="s">
        <v>414</v>
      </c>
      <c r="D104" s="150">
        <v>25000</v>
      </c>
      <c r="E104" s="151"/>
      <c r="F104" s="151"/>
      <c r="G104" s="152"/>
      <c r="H104" s="153">
        <f t="shared" si="26"/>
        <v>20000</v>
      </c>
      <c r="I104" s="151"/>
      <c r="J104" s="151"/>
      <c r="K104" s="152"/>
      <c r="L104" s="153">
        <f t="shared" si="27"/>
        <v>15000</v>
      </c>
      <c r="M104" s="151"/>
      <c r="N104" s="151"/>
      <c r="O104" s="152"/>
      <c r="P104" s="20" t="s">
        <v>9</v>
      </c>
      <c r="Q104" s="82" t="s">
        <v>58</v>
      </c>
      <c r="R104" s="74" t="s">
        <v>649</v>
      </c>
    </row>
    <row r="105" spans="1:18" ht="18" customHeight="1" x14ac:dyDescent="0.25">
      <c r="A105" s="140" t="s">
        <v>275</v>
      </c>
      <c r="B105" s="142" t="s">
        <v>482</v>
      </c>
      <c r="C105" s="27" t="s">
        <v>415</v>
      </c>
      <c r="D105" s="26">
        <v>1000</v>
      </c>
      <c r="E105" s="28">
        <f>D105-(D105*10/100)</f>
        <v>900</v>
      </c>
      <c r="F105" s="28">
        <f>D105-(D105*20/100)</f>
        <v>800</v>
      </c>
      <c r="G105" s="28">
        <f>D105-(D105*30/100)</f>
        <v>700</v>
      </c>
      <c r="H105" s="28">
        <f>D105-(D105*10/100)</f>
        <v>900</v>
      </c>
      <c r="I105" s="28">
        <f>H105-(H105*10/100)</f>
        <v>810</v>
      </c>
      <c r="J105" s="28">
        <f>H105-(H105*20/100)</f>
        <v>720</v>
      </c>
      <c r="K105" s="28">
        <f>H105-(H105*30/100)</f>
        <v>630</v>
      </c>
      <c r="L105" s="28">
        <f>D105-(D105*20/100)</f>
        <v>800</v>
      </c>
      <c r="M105" s="28">
        <f>L105-(L105*10/100)</f>
        <v>720</v>
      </c>
      <c r="N105" s="28">
        <f>L105-(L105*20/100)</f>
        <v>640</v>
      </c>
      <c r="O105" s="28">
        <f>L105-(L105*30/100)</f>
        <v>560</v>
      </c>
      <c r="P105" s="148" t="s">
        <v>10</v>
      </c>
      <c r="Q105" s="146" t="s">
        <v>55</v>
      </c>
      <c r="R105" s="117" t="s">
        <v>713</v>
      </c>
    </row>
    <row r="106" spans="1:18" ht="18.75" customHeight="1" thickBot="1" x14ac:dyDescent="0.3">
      <c r="A106" s="141"/>
      <c r="B106" s="143"/>
      <c r="C106" s="29" t="s">
        <v>416</v>
      </c>
      <c r="D106" s="28">
        <f t="shared" ref="D106:O106" si="28">D105*50/100</f>
        <v>500</v>
      </c>
      <c r="E106" s="28">
        <f t="shared" si="28"/>
        <v>450</v>
      </c>
      <c r="F106" s="28">
        <f t="shared" si="28"/>
        <v>400</v>
      </c>
      <c r="G106" s="28">
        <f t="shared" si="28"/>
        <v>350</v>
      </c>
      <c r="H106" s="28">
        <f t="shared" si="28"/>
        <v>450</v>
      </c>
      <c r="I106" s="28">
        <f t="shared" si="28"/>
        <v>405</v>
      </c>
      <c r="J106" s="28">
        <f t="shared" si="28"/>
        <v>360</v>
      </c>
      <c r="K106" s="28">
        <f t="shared" si="28"/>
        <v>315</v>
      </c>
      <c r="L106" s="28">
        <f t="shared" si="28"/>
        <v>400</v>
      </c>
      <c r="M106" s="28">
        <f t="shared" si="28"/>
        <v>360</v>
      </c>
      <c r="N106" s="28">
        <f t="shared" si="28"/>
        <v>320</v>
      </c>
      <c r="O106" s="28">
        <f t="shared" si="28"/>
        <v>280</v>
      </c>
      <c r="P106" s="149"/>
      <c r="Q106" s="147"/>
      <c r="R106" s="117"/>
    </row>
    <row r="107" spans="1:18" ht="47.25" customHeight="1" thickBot="1" x14ac:dyDescent="0.3">
      <c r="A107" s="58" t="s">
        <v>276</v>
      </c>
      <c r="B107" s="19" t="s">
        <v>53</v>
      </c>
      <c r="C107" s="24" t="s">
        <v>414</v>
      </c>
      <c r="D107" s="150">
        <v>2000</v>
      </c>
      <c r="E107" s="151"/>
      <c r="F107" s="151"/>
      <c r="G107" s="152"/>
      <c r="H107" s="153">
        <f t="shared" ref="H107:H114" si="29">D107-(D107*20/100)</f>
        <v>1600</v>
      </c>
      <c r="I107" s="151"/>
      <c r="J107" s="151"/>
      <c r="K107" s="152"/>
      <c r="L107" s="153">
        <f t="shared" ref="L107:L114" si="30">D107-(D107*40/100)</f>
        <v>1200</v>
      </c>
      <c r="M107" s="151"/>
      <c r="N107" s="151"/>
      <c r="O107" s="152"/>
      <c r="P107" s="20" t="s">
        <v>9</v>
      </c>
      <c r="Q107" s="82" t="s">
        <v>483</v>
      </c>
      <c r="R107" s="81" t="s">
        <v>651</v>
      </c>
    </row>
    <row r="108" spans="1:18" ht="47.25" customHeight="1" thickBot="1" x14ac:dyDescent="0.3">
      <c r="A108" s="58" t="s">
        <v>277</v>
      </c>
      <c r="B108" s="19" t="s">
        <v>19</v>
      </c>
      <c r="C108" s="24" t="s">
        <v>414</v>
      </c>
      <c r="D108" s="150">
        <v>20000</v>
      </c>
      <c r="E108" s="151"/>
      <c r="F108" s="151"/>
      <c r="G108" s="152"/>
      <c r="H108" s="153">
        <f t="shared" si="29"/>
        <v>16000</v>
      </c>
      <c r="I108" s="151"/>
      <c r="J108" s="151"/>
      <c r="K108" s="152"/>
      <c r="L108" s="153">
        <f t="shared" si="30"/>
        <v>12000</v>
      </c>
      <c r="M108" s="151"/>
      <c r="N108" s="151"/>
      <c r="O108" s="152"/>
      <c r="P108" s="20" t="s">
        <v>9</v>
      </c>
      <c r="Q108" s="82" t="s">
        <v>484</v>
      </c>
      <c r="R108" s="81" t="s">
        <v>652</v>
      </c>
    </row>
    <row r="109" spans="1:18" ht="18" customHeight="1" x14ac:dyDescent="0.25">
      <c r="A109" s="140" t="s">
        <v>278</v>
      </c>
      <c r="B109" s="142" t="s">
        <v>588</v>
      </c>
      <c r="C109" s="27" t="s">
        <v>415</v>
      </c>
      <c r="D109" s="26">
        <v>1000</v>
      </c>
      <c r="E109" s="28">
        <f>D109-(D109*10/100)</f>
        <v>900</v>
      </c>
      <c r="F109" s="28">
        <f>D109-(D109*20/100)</f>
        <v>800</v>
      </c>
      <c r="G109" s="28">
        <f>D109-(D109*30/100)</f>
        <v>700</v>
      </c>
      <c r="H109" s="28">
        <f>D109-(D109*10/100)</f>
        <v>900</v>
      </c>
      <c r="I109" s="28">
        <f>H109-(H109*10/100)</f>
        <v>810</v>
      </c>
      <c r="J109" s="28">
        <f>H109-(H109*20/100)</f>
        <v>720</v>
      </c>
      <c r="K109" s="28">
        <f>H109-(H109*30/100)</f>
        <v>630</v>
      </c>
      <c r="L109" s="28">
        <f>D109-(D109*20/100)</f>
        <v>800</v>
      </c>
      <c r="M109" s="28">
        <f>L109-(L109*10/100)</f>
        <v>720</v>
      </c>
      <c r="N109" s="28">
        <f>L109-(L109*20/100)</f>
        <v>640</v>
      </c>
      <c r="O109" s="28">
        <f>L109-(L109*30/100)</f>
        <v>560</v>
      </c>
      <c r="P109" s="148" t="s">
        <v>10</v>
      </c>
      <c r="Q109" s="146" t="s">
        <v>484</v>
      </c>
      <c r="R109" s="117" t="s">
        <v>714</v>
      </c>
    </row>
    <row r="110" spans="1:18" ht="18.75" customHeight="1" thickBot="1" x14ac:dyDescent="0.3">
      <c r="A110" s="141"/>
      <c r="B110" s="143"/>
      <c r="C110" s="29" t="s">
        <v>416</v>
      </c>
      <c r="D110" s="28">
        <f t="shared" ref="D110:O110" si="31">D109*50/100</f>
        <v>500</v>
      </c>
      <c r="E110" s="28">
        <f t="shared" si="31"/>
        <v>450</v>
      </c>
      <c r="F110" s="28">
        <f t="shared" si="31"/>
        <v>400</v>
      </c>
      <c r="G110" s="28">
        <f t="shared" si="31"/>
        <v>350</v>
      </c>
      <c r="H110" s="28">
        <f t="shared" si="31"/>
        <v>450</v>
      </c>
      <c r="I110" s="28">
        <f t="shared" si="31"/>
        <v>405</v>
      </c>
      <c r="J110" s="28">
        <f t="shared" si="31"/>
        <v>360</v>
      </c>
      <c r="K110" s="28">
        <f t="shared" si="31"/>
        <v>315</v>
      </c>
      <c r="L110" s="28">
        <f t="shared" si="31"/>
        <v>400</v>
      </c>
      <c r="M110" s="28">
        <f t="shared" si="31"/>
        <v>360</v>
      </c>
      <c r="N110" s="28">
        <f t="shared" si="31"/>
        <v>320</v>
      </c>
      <c r="O110" s="28">
        <f t="shared" si="31"/>
        <v>280</v>
      </c>
      <c r="P110" s="149"/>
      <c r="Q110" s="147"/>
      <c r="R110" s="117"/>
    </row>
    <row r="111" spans="1:18" ht="47.25" customHeight="1" thickBot="1" x14ac:dyDescent="0.3">
      <c r="A111" s="58" t="s">
        <v>279</v>
      </c>
      <c r="B111" s="19" t="s">
        <v>565</v>
      </c>
      <c r="C111" s="24" t="s">
        <v>414</v>
      </c>
      <c r="D111" s="150">
        <v>50000</v>
      </c>
      <c r="E111" s="151"/>
      <c r="F111" s="151"/>
      <c r="G111" s="152"/>
      <c r="H111" s="153">
        <f t="shared" si="29"/>
        <v>40000</v>
      </c>
      <c r="I111" s="151"/>
      <c r="J111" s="151"/>
      <c r="K111" s="152"/>
      <c r="L111" s="153">
        <f t="shared" si="30"/>
        <v>30000</v>
      </c>
      <c r="M111" s="151"/>
      <c r="N111" s="151"/>
      <c r="O111" s="152"/>
      <c r="P111" s="20" t="s">
        <v>9</v>
      </c>
      <c r="Q111" s="82" t="s">
        <v>442</v>
      </c>
      <c r="R111" s="81" t="s">
        <v>715</v>
      </c>
    </row>
    <row r="112" spans="1:18" ht="47.25" customHeight="1" thickBot="1" x14ac:dyDescent="0.3">
      <c r="A112" s="58" t="s">
        <v>280</v>
      </c>
      <c r="B112" s="19" t="s">
        <v>485</v>
      </c>
      <c r="C112" s="24" t="s">
        <v>414</v>
      </c>
      <c r="D112" s="150">
        <v>15000</v>
      </c>
      <c r="E112" s="151"/>
      <c r="F112" s="151"/>
      <c r="G112" s="152"/>
      <c r="H112" s="153">
        <f t="shared" si="29"/>
        <v>12000</v>
      </c>
      <c r="I112" s="151"/>
      <c r="J112" s="151"/>
      <c r="K112" s="152"/>
      <c r="L112" s="153">
        <f t="shared" si="30"/>
        <v>9000</v>
      </c>
      <c r="M112" s="151"/>
      <c r="N112" s="151"/>
      <c r="O112" s="152"/>
      <c r="P112" s="20" t="s">
        <v>9</v>
      </c>
      <c r="Q112" s="82" t="s">
        <v>55</v>
      </c>
      <c r="R112" s="81" t="s">
        <v>676</v>
      </c>
    </row>
    <row r="113" spans="1:18" ht="47.25" customHeight="1" thickBot="1" x14ac:dyDescent="0.3">
      <c r="A113" s="58" t="s">
        <v>281</v>
      </c>
      <c r="B113" s="19" t="s">
        <v>486</v>
      </c>
      <c r="C113" s="24" t="s">
        <v>414</v>
      </c>
      <c r="D113" s="150">
        <v>15000</v>
      </c>
      <c r="E113" s="151"/>
      <c r="F113" s="151"/>
      <c r="G113" s="152"/>
      <c r="H113" s="153">
        <f t="shared" si="29"/>
        <v>12000</v>
      </c>
      <c r="I113" s="151"/>
      <c r="J113" s="151"/>
      <c r="K113" s="152"/>
      <c r="L113" s="153">
        <f t="shared" si="30"/>
        <v>9000</v>
      </c>
      <c r="M113" s="151"/>
      <c r="N113" s="151"/>
      <c r="O113" s="152"/>
      <c r="P113" s="20" t="s">
        <v>9</v>
      </c>
      <c r="Q113" s="82" t="s">
        <v>55</v>
      </c>
      <c r="R113" s="81" t="s">
        <v>654</v>
      </c>
    </row>
    <row r="114" spans="1:18" ht="47.25" customHeight="1" thickBot="1" x14ac:dyDescent="0.3">
      <c r="A114" s="58" t="s">
        <v>282</v>
      </c>
      <c r="B114" s="19" t="s">
        <v>566</v>
      </c>
      <c r="C114" s="24" t="s">
        <v>414</v>
      </c>
      <c r="D114" s="150">
        <v>30000</v>
      </c>
      <c r="E114" s="151"/>
      <c r="F114" s="151"/>
      <c r="G114" s="152"/>
      <c r="H114" s="153">
        <f t="shared" si="29"/>
        <v>24000</v>
      </c>
      <c r="I114" s="151"/>
      <c r="J114" s="151"/>
      <c r="K114" s="152"/>
      <c r="L114" s="153">
        <f t="shared" si="30"/>
        <v>18000</v>
      </c>
      <c r="M114" s="151"/>
      <c r="N114" s="151"/>
      <c r="O114" s="152"/>
      <c r="P114" s="20" t="s">
        <v>9</v>
      </c>
      <c r="Q114" s="82" t="s">
        <v>442</v>
      </c>
      <c r="R114" s="81" t="s">
        <v>655</v>
      </c>
    </row>
    <row r="115" spans="1:18" ht="18" customHeight="1" x14ac:dyDescent="0.25">
      <c r="A115" s="140" t="s">
        <v>283</v>
      </c>
      <c r="B115" s="142" t="s">
        <v>487</v>
      </c>
      <c r="C115" s="27" t="s">
        <v>415</v>
      </c>
      <c r="D115" s="26">
        <v>3000</v>
      </c>
      <c r="E115" s="28">
        <f>D115-(D115*10/100)</f>
        <v>2700</v>
      </c>
      <c r="F115" s="28">
        <f>D115-(D115*20/100)</f>
        <v>2400</v>
      </c>
      <c r="G115" s="28">
        <f>D115-(D115*30/100)</f>
        <v>2100</v>
      </c>
      <c r="H115" s="28">
        <f>D115-(D115*10/100)</f>
        <v>2700</v>
      </c>
      <c r="I115" s="28">
        <f>H115-(H115*10/100)</f>
        <v>2430</v>
      </c>
      <c r="J115" s="28">
        <f>H115-(H115*20/100)</f>
        <v>2160</v>
      </c>
      <c r="K115" s="28">
        <f>H115-(H115*30/100)</f>
        <v>1890</v>
      </c>
      <c r="L115" s="28">
        <f>D115-(D115*20/100)</f>
        <v>2400</v>
      </c>
      <c r="M115" s="28">
        <f>L115-(L115*10/100)</f>
        <v>2160</v>
      </c>
      <c r="N115" s="28">
        <f>L115-(L115*20/100)</f>
        <v>1920</v>
      </c>
      <c r="O115" s="28">
        <f>L115-(L115*30/100)</f>
        <v>1680</v>
      </c>
      <c r="P115" s="148" t="s">
        <v>10</v>
      </c>
      <c r="Q115" s="146" t="s">
        <v>55</v>
      </c>
      <c r="R115" s="117" t="s">
        <v>656</v>
      </c>
    </row>
    <row r="116" spans="1:18" ht="18.75" customHeight="1" thickBot="1" x14ac:dyDescent="0.3">
      <c r="A116" s="141"/>
      <c r="B116" s="143"/>
      <c r="C116" s="29" t="s">
        <v>416</v>
      </c>
      <c r="D116" s="28">
        <f t="shared" ref="D116:O116" si="32">D115*50/100</f>
        <v>1500</v>
      </c>
      <c r="E116" s="28">
        <f t="shared" si="32"/>
        <v>1350</v>
      </c>
      <c r="F116" s="28">
        <f t="shared" si="32"/>
        <v>1200</v>
      </c>
      <c r="G116" s="28">
        <f t="shared" si="32"/>
        <v>1050</v>
      </c>
      <c r="H116" s="28">
        <f t="shared" si="32"/>
        <v>1350</v>
      </c>
      <c r="I116" s="28">
        <f t="shared" si="32"/>
        <v>1215</v>
      </c>
      <c r="J116" s="28">
        <f t="shared" si="32"/>
        <v>1080</v>
      </c>
      <c r="K116" s="28">
        <f t="shared" si="32"/>
        <v>945</v>
      </c>
      <c r="L116" s="28">
        <f t="shared" si="32"/>
        <v>1200</v>
      </c>
      <c r="M116" s="28">
        <f t="shared" si="32"/>
        <v>1080</v>
      </c>
      <c r="N116" s="28">
        <f t="shared" si="32"/>
        <v>960</v>
      </c>
      <c r="O116" s="28">
        <f t="shared" si="32"/>
        <v>840</v>
      </c>
      <c r="P116" s="149"/>
      <c r="Q116" s="147"/>
      <c r="R116" s="117"/>
    </row>
    <row r="117" spans="1:18" ht="18" customHeight="1" x14ac:dyDescent="0.25">
      <c r="A117" s="140" t="s">
        <v>489</v>
      </c>
      <c r="B117" s="142" t="s">
        <v>488</v>
      </c>
      <c r="C117" s="27" t="s">
        <v>415</v>
      </c>
      <c r="D117" s="26">
        <v>3000</v>
      </c>
      <c r="E117" s="28">
        <f>D117-(D117*10/100)</f>
        <v>2700</v>
      </c>
      <c r="F117" s="28">
        <f>D117-(D117*20/100)</f>
        <v>2400</v>
      </c>
      <c r="G117" s="28">
        <f>D117-(D117*30/100)</f>
        <v>2100</v>
      </c>
      <c r="H117" s="28">
        <f>D117-(D117*10/100)</f>
        <v>2700</v>
      </c>
      <c r="I117" s="28">
        <f>H117-(H117*10/100)</f>
        <v>2430</v>
      </c>
      <c r="J117" s="28">
        <f>H117-(H117*20/100)</f>
        <v>2160</v>
      </c>
      <c r="K117" s="28">
        <f>H117-(H117*30/100)</f>
        <v>1890</v>
      </c>
      <c r="L117" s="28">
        <f>D117-(D117*20/100)</f>
        <v>2400</v>
      </c>
      <c r="M117" s="28">
        <f>L117-(L117*10/100)</f>
        <v>2160</v>
      </c>
      <c r="N117" s="28">
        <f>L117-(L117*20/100)</f>
        <v>1920</v>
      </c>
      <c r="O117" s="28">
        <f>L117-(L117*30/100)</f>
        <v>1680</v>
      </c>
      <c r="P117" s="148" t="s">
        <v>10</v>
      </c>
      <c r="Q117" s="146" t="s">
        <v>55</v>
      </c>
      <c r="R117" s="117" t="s">
        <v>656</v>
      </c>
    </row>
    <row r="118" spans="1:18" ht="18.75" customHeight="1" thickBot="1" x14ac:dyDescent="0.3">
      <c r="A118" s="141"/>
      <c r="B118" s="143"/>
      <c r="C118" s="29" t="s">
        <v>416</v>
      </c>
      <c r="D118" s="28">
        <f t="shared" ref="D118:O118" si="33">D117*50/100</f>
        <v>1500</v>
      </c>
      <c r="E118" s="28">
        <f t="shared" si="33"/>
        <v>1350</v>
      </c>
      <c r="F118" s="28">
        <f t="shared" si="33"/>
        <v>1200</v>
      </c>
      <c r="G118" s="28">
        <f t="shared" si="33"/>
        <v>1050</v>
      </c>
      <c r="H118" s="28">
        <f t="shared" si="33"/>
        <v>1350</v>
      </c>
      <c r="I118" s="28">
        <f t="shared" si="33"/>
        <v>1215</v>
      </c>
      <c r="J118" s="28">
        <f t="shared" si="33"/>
        <v>1080</v>
      </c>
      <c r="K118" s="28">
        <f t="shared" si="33"/>
        <v>945</v>
      </c>
      <c r="L118" s="28">
        <f t="shared" si="33"/>
        <v>1200</v>
      </c>
      <c r="M118" s="28">
        <f t="shared" si="33"/>
        <v>1080</v>
      </c>
      <c r="N118" s="28">
        <f t="shared" si="33"/>
        <v>960</v>
      </c>
      <c r="O118" s="28">
        <f t="shared" si="33"/>
        <v>840</v>
      </c>
      <c r="P118" s="149"/>
      <c r="Q118" s="147"/>
      <c r="R118" s="117"/>
    </row>
    <row r="119" spans="1:18" ht="47.25" customHeight="1" thickBot="1" x14ac:dyDescent="0.3">
      <c r="A119" s="58" t="s">
        <v>490</v>
      </c>
      <c r="B119" s="19" t="s">
        <v>38</v>
      </c>
      <c r="C119" s="24" t="s">
        <v>414</v>
      </c>
      <c r="D119" s="150">
        <v>15000</v>
      </c>
      <c r="E119" s="151"/>
      <c r="F119" s="151"/>
      <c r="G119" s="152"/>
      <c r="H119" s="153">
        <f>D119-(D119*20/100)</f>
        <v>12000</v>
      </c>
      <c r="I119" s="151"/>
      <c r="J119" s="151"/>
      <c r="K119" s="152"/>
      <c r="L119" s="153">
        <f>D119-(D119*40/100)</f>
        <v>9000</v>
      </c>
      <c r="M119" s="151"/>
      <c r="N119" s="151"/>
      <c r="O119" s="152"/>
      <c r="P119" s="20" t="s">
        <v>9</v>
      </c>
      <c r="Q119" s="82" t="s">
        <v>83</v>
      </c>
      <c r="R119" s="81" t="s">
        <v>716</v>
      </c>
    </row>
    <row r="120" spans="1:18" ht="47.25" customHeight="1" thickBot="1" x14ac:dyDescent="0.3">
      <c r="A120" s="58" t="s">
        <v>491</v>
      </c>
      <c r="B120" s="19" t="s">
        <v>41</v>
      </c>
      <c r="C120" s="24" t="s">
        <v>414</v>
      </c>
      <c r="D120" s="150">
        <v>15000</v>
      </c>
      <c r="E120" s="151"/>
      <c r="F120" s="151"/>
      <c r="G120" s="152"/>
      <c r="H120" s="153">
        <f>D120-(D120*20/100)</f>
        <v>12000</v>
      </c>
      <c r="I120" s="151"/>
      <c r="J120" s="151"/>
      <c r="K120" s="152"/>
      <c r="L120" s="153">
        <f>D120-(D120*40/100)</f>
        <v>9000</v>
      </c>
      <c r="M120" s="151"/>
      <c r="N120" s="151"/>
      <c r="O120" s="152"/>
      <c r="P120" s="20" t="s">
        <v>9</v>
      </c>
      <c r="Q120" s="82" t="s">
        <v>84</v>
      </c>
      <c r="R120" s="81" t="s">
        <v>716</v>
      </c>
    </row>
    <row r="121" spans="1:18" ht="47.25" customHeight="1" thickBot="1" x14ac:dyDescent="0.3">
      <c r="A121" s="58" t="s">
        <v>492</v>
      </c>
      <c r="B121" s="19" t="s">
        <v>40</v>
      </c>
      <c r="C121" s="24" t="s">
        <v>414</v>
      </c>
      <c r="D121" s="150">
        <v>50000</v>
      </c>
      <c r="E121" s="151"/>
      <c r="F121" s="151"/>
      <c r="G121" s="152"/>
      <c r="H121" s="153">
        <f>D121-(D121*20/100)</f>
        <v>40000</v>
      </c>
      <c r="I121" s="151"/>
      <c r="J121" s="151"/>
      <c r="K121" s="152"/>
      <c r="L121" s="153">
        <f>D121-(D121*40/100)</f>
        <v>30000</v>
      </c>
      <c r="M121" s="151"/>
      <c r="N121" s="151"/>
      <c r="O121" s="152"/>
      <c r="P121" s="20" t="s">
        <v>9</v>
      </c>
      <c r="Q121" s="82" t="s">
        <v>442</v>
      </c>
      <c r="R121" s="81" t="s">
        <v>717</v>
      </c>
    </row>
    <row r="122" spans="1:18" ht="47.25" customHeight="1" thickBot="1" x14ac:dyDescent="0.3">
      <c r="A122" s="58" t="s">
        <v>498</v>
      </c>
      <c r="B122" s="19" t="s">
        <v>493</v>
      </c>
      <c r="C122" s="24" t="s">
        <v>414</v>
      </c>
      <c r="D122" s="150">
        <v>10000</v>
      </c>
      <c r="E122" s="151"/>
      <c r="F122" s="151"/>
      <c r="G122" s="152"/>
      <c r="H122" s="153">
        <f>D122-(D122*20/100)</f>
        <v>8000</v>
      </c>
      <c r="I122" s="151"/>
      <c r="J122" s="151"/>
      <c r="K122" s="152"/>
      <c r="L122" s="153">
        <f>D122-(D122*40/100)</f>
        <v>6000</v>
      </c>
      <c r="M122" s="151"/>
      <c r="N122" s="151"/>
      <c r="O122" s="152"/>
      <c r="P122" s="20" t="s">
        <v>9</v>
      </c>
      <c r="Q122" s="82" t="s">
        <v>69</v>
      </c>
      <c r="R122" s="87" t="s">
        <v>758</v>
      </c>
    </row>
    <row r="123" spans="1:18" ht="18" customHeight="1" x14ac:dyDescent="0.25">
      <c r="A123" s="140" t="s">
        <v>499</v>
      </c>
      <c r="B123" s="142" t="s">
        <v>496</v>
      </c>
      <c r="C123" s="27" t="s">
        <v>415</v>
      </c>
      <c r="D123" s="26">
        <v>1000</v>
      </c>
      <c r="E123" s="28">
        <f>D123-(D123*10/100)</f>
        <v>900</v>
      </c>
      <c r="F123" s="28">
        <f>D123-(D123*20/100)</f>
        <v>800</v>
      </c>
      <c r="G123" s="28">
        <f>D123-(D123*30/100)</f>
        <v>700</v>
      </c>
      <c r="H123" s="28">
        <f>D123-(D123*10/100)</f>
        <v>900</v>
      </c>
      <c r="I123" s="28">
        <f>H123-(H123*10/100)</f>
        <v>810</v>
      </c>
      <c r="J123" s="28">
        <f>H123-(H123*20/100)</f>
        <v>720</v>
      </c>
      <c r="K123" s="28">
        <f>H123-(H123*30/100)</f>
        <v>630</v>
      </c>
      <c r="L123" s="28">
        <f>D123-(D123*20/100)</f>
        <v>800</v>
      </c>
      <c r="M123" s="28">
        <f>L123-(L123*10/100)</f>
        <v>720</v>
      </c>
      <c r="N123" s="28">
        <f>L123-(L123*20/100)</f>
        <v>640</v>
      </c>
      <c r="O123" s="28">
        <f>L123-(L123*30/100)</f>
        <v>560</v>
      </c>
      <c r="P123" s="148" t="s">
        <v>10</v>
      </c>
      <c r="Q123" s="146" t="s">
        <v>55</v>
      </c>
      <c r="R123" s="117" t="s">
        <v>681</v>
      </c>
    </row>
    <row r="124" spans="1:18" ht="18.75" customHeight="1" thickBot="1" x14ac:dyDescent="0.3">
      <c r="A124" s="141"/>
      <c r="B124" s="143" t="s">
        <v>494</v>
      </c>
      <c r="C124" s="29" t="s">
        <v>416</v>
      </c>
      <c r="D124" s="28">
        <f t="shared" ref="D124:O124" si="34">D123*50/100</f>
        <v>500</v>
      </c>
      <c r="E124" s="28">
        <f t="shared" si="34"/>
        <v>450</v>
      </c>
      <c r="F124" s="28">
        <f t="shared" si="34"/>
        <v>400</v>
      </c>
      <c r="G124" s="28">
        <f t="shared" si="34"/>
        <v>350</v>
      </c>
      <c r="H124" s="28">
        <f t="shared" si="34"/>
        <v>450</v>
      </c>
      <c r="I124" s="28">
        <f t="shared" si="34"/>
        <v>405</v>
      </c>
      <c r="J124" s="28">
        <f t="shared" si="34"/>
        <v>360</v>
      </c>
      <c r="K124" s="28">
        <f t="shared" si="34"/>
        <v>315</v>
      </c>
      <c r="L124" s="28">
        <f t="shared" si="34"/>
        <v>400</v>
      </c>
      <c r="M124" s="28">
        <f t="shared" si="34"/>
        <v>360</v>
      </c>
      <c r="N124" s="28">
        <f t="shared" si="34"/>
        <v>320</v>
      </c>
      <c r="O124" s="28">
        <f t="shared" si="34"/>
        <v>280</v>
      </c>
      <c r="P124" s="149"/>
      <c r="Q124" s="147"/>
      <c r="R124" s="117"/>
    </row>
    <row r="125" spans="1:18" ht="18" customHeight="1" x14ac:dyDescent="0.25">
      <c r="A125" s="140" t="s">
        <v>607</v>
      </c>
      <c r="B125" s="142" t="s">
        <v>497</v>
      </c>
      <c r="C125" s="27" t="s">
        <v>415</v>
      </c>
      <c r="D125" s="26">
        <v>5000</v>
      </c>
      <c r="E125" s="28">
        <f>D125-(D125*10/100)</f>
        <v>4500</v>
      </c>
      <c r="F125" s="28">
        <f>D125-(D125*20/100)</f>
        <v>4000</v>
      </c>
      <c r="G125" s="28">
        <f>D125-(D125*30/100)</f>
        <v>3500</v>
      </c>
      <c r="H125" s="28">
        <f>D125-(D125*10/100)</f>
        <v>4500</v>
      </c>
      <c r="I125" s="28">
        <f>H125-(H125*10/100)</f>
        <v>4050</v>
      </c>
      <c r="J125" s="28">
        <f>H125-(H125*20/100)</f>
        <v>3600</v>
      </c>
      <c r="K125" s="28">
        <f>H125-(H125*30/100)</f>
        <v>3150</v>
      </c>
      <c r="L125" s="28">
        <f>D125-(D125*20/100)</f>
        <v>4000</v>
      </c>
      <c r="M125" s="28">
        <f>L125-(L125*10/100)</f>
        <v>3600</v>
      </c>
      <c r="N125" s="28">
        <f>L125-(L125*20/100)</f>
        <v>3200</v>
      </c>
      <c r="O125" s="28">
        <f>L125-(L125*30/100)</f>
        <v>2800</v>
      </c>
      <c r="P125" s="148" t="s">
        <v>10</v>
      </c>
      <c r="Q125" s="146" t="s">
        <v>55</v>
      </c>
      <c r="R125" s="117" t="s">
        <v>681</v>
      </c>
    </row>
    <row r="126" spans="1:18" ht="18.75" customHeight="1" thickBot="1" x14ac:dyDescent="0.3">
      <c r="A126" s="141"/>
      <c r="B126" s="143" t="s">
        <v>495</v>
      </c>
      <c r="C126" s="29" t="s">
        <v>416</v>
      </c>
      <c r="D126" s="28">
        <f t="shared" ref="D126:O126" si="35">D125*50/100</f>
        <v>2500</v>
      </c>
      <c r="E126" s="28">
        <f t="shared" si="35"/>
        <v>2250</v>
      </c>
      <c r="F126" s="28">
        <f t="shared" si="35"/>
        <v>2000</v>
      </c>
      <c r="G126" s="28">
        <f t="shared" si="35"/>
        <v>1750</v>
      </c>
      <c r="H126" s="28">
        <f t="shared" si="35"/>
        <v>2250</v>
      </c>
      <c r="I126" s="28">
        <f t="shared" si="35"/>
        <v>2025</v>
      </c>
      <c r="J126" s="28">
        <f t="shared" si="35"/>
        <v>1800</v>
      </c>
      <c r="K126" s="28">
        <f t="shared" si="35"/>
        <v>1575</v>
      </c>
      <c r="L126" s="28">
        <f t="shared" si="35"/>
        <v>2000</v>
      </c>
      <c r="M126" s="28">
        <f t="shared" si="35"/>
        <v>1800</v>
      </c>
      <c r="N126" s="28">
        <f t="shared" si="35"/>
        <v>1600</v>
      </c>
      <c r="O126" s="28">
        <f t="shared" si="35"/>
        <v>1400</v>
      </c>
      <c r="P126" s="149"/>
      <c r="Q126" s="147"/>
      <c r="R126" s="117"/>
    </row>
    <row r="127" spans="1:18" ht="18" customHeight="1" x14ac:dyDescent="0.25">
      <c r="A127" s="140" t="s">
        <v>608</v>
      </c>
      <c r="B127" s="142" t="s">
        <v>500</v>
      </c>
      <c r="C127" s="27" t="s">
        <v>415</v>
      </c>
      <c r="D127" s="26">
        <v>5000</v>
      </c>
      <c r="E127" s="28">
        <f>D127-(D127*10/100)</f>
        <v>4500</v>
      </c>
      <c r="F127" s="28">
        <f>D127-(D127*20/100)</f>
        <v>4000</v>
      </c>
      <c r="G127" s="28">
        <f>D127-(D127*30/100)</f>
        <v>3500</v>
      </c>
      <c r="H127" s="28">
        <f>D127-(D127*10/100)</f>
        <v>4500</v>
      </c>
      <c r="I127" s="28">
        <f>H127-(H127*10/100)</f>
        <v>4050</v>
      </c>
      <c r="J127" s="28">
        <f>H127-(H127*20/100)</f>
        <v>3600</v>
      </c>
      <c r="K127" s="28">
        <f>H127-(H127*30/100)</f>
        <v>3150</v>
      </c>
      <c r="L127" s="28">
        <f>D127-(D127*20/100)</f>
        <v>4000</v>
      </c>
      <c r="M127" s="28">
        <f>L127-(L127*10/100)</f>
        <v>3600</v>
      </c>
      <c r="N127" s="28">
        <f>L127-(L127*20/100)</f>
        <v>3200</v>
      </c>
      <c r="O127" s="28">
        <f>L127-(L127*30/100)</f>
        <v>2800</v>
      </c>
      <c r="P127" s="148" t="s">
        <v>10</v>
      </c>
      <c r="Q127" s="146" t="s">
        <v>55</v>
      </c>
      <c r="R127" s="117" t="s">
        <v>718</v>
      </c>
    </row>
    <row r="128" spans="1:18" ht="18.75" customHeight="1" thickBot="1" x14ac:dyDescent="0.3">
      <c r="A128" s="141"/>
      <c r="B128" s="143" t="s">
        <v>495</v>
      </c>
      <c r="C128" s="29" t="s">
        <v>416</v>
      </c>
      <c r="D128" s="28">
        <f t="shared" ref="D128:O128" si="36">D127*50/100</f>
        <v>2500</v>
      </c>
      <c r="E128" s="28">
        <f t="shared" si="36"/>
        <v>2250</v>
      </c>
      <c r="F128" s="28">
        <f t="shared" si="36"/>
        <v>2000</v>
      </c>
      <c r="G128" s="28">
        <f t="shared" si="36"/>
        <v>1750</v>
      </c>
      <c r="H128" s="28">
        <f t="shared" si="36"/>
        <v>2250</v>
      </c>
      <c r="I128" s="28">
        <f t="shared" si="36"/>
        <v>2025</v>
      </c>
      <c r="J128" s="28">
        <f t="shared" si="36"/>
        <v>1800</v>
      </c>
      <c r="K128" s="28">
        <f t="shared" si="36"/>
        <v>1575</v>
      </c>
      <c r="L128" s="28">
        <f t="shared" si="36"/>
        <v>2000</v>
      </c>
      <c r="M128" s="28">
        <f t="shared" si="36"/>
        <v>1800</v>
      </c>
      <c r="N128" s="28">
        <f t="shared" si="36"/>
        <v>1600</v>
      </c>
      <c r="O128" s="28">
        <f t="shared" si="36"/>
        <v>1400</v>
      </c>
      <c r="P128" s="149"/>
      <c r="Q128" s="147"/>
      <c r="R128" s="117"/>
    </row>
    <row r="129" spans="1:18" ht="24" customHeight="1" thickBot="1" x14ac:dyDescent="0.3">
      <c r="A129" s="133" t="s">
        <v>609</v>
      </c>
      <c r="B129" s="134"/>
      <c r="C129" s="134"/>
      <c r="D129" s="134"/>
      <c r="E129" s="134"/>
      <c r="F129" s="134"/>
      <c r="G129" s="134"/>
      <c r="H129" s="134"/>
      <c r="I129" s="134"/>
      <c r="J129" s="134"/>
      <c r="K129" s="134"/>
      <c r="L129" s="134"/>
      <c r="M129" s="134"/>
      <c r="N129" s="134"/>
      <c r="O129" s="134"/>
      <c r="P129" s="134"/>
      <c r="Q129" s="134"/>
      <c r="R129" s="134"/>
    </row>
    <row r="130" spans="1:18" ht="24" customHeight="1" thickBot="1" x14ac:dyDescent="0.3">
      <c r="A130" s="165" t="s">
        <v>4</v>
      </c>
      <c r="B130" s="167" t="s">
        <v>3</v>
      </c>
      <c r="C130" s="163" t="s">
        <v>406</v>
      </c>
      <c r="D130" s="169" t="s">
        <v>2</v>
      </c>
      <c r="E130" s="170"/>
      <c r="F130" s="170"/>
      <c r="G130" s="171"/>
      <c r="H130" s="169" t="s">
        <v>1</v>
      </c>
      <c r="I130" s="170"/>
      <c r="J130" s="170"/>
      <c r="K130" s="171"/>
      <c r="L130" s="169" t="s">
        <v>0</v>
      </c>
      <c r="M130" s="170"/>
      <c r="N130" s="170"/>
      <c r="O130" s="171"/>
      <c r="P130" s="167" t="s">
        <v>405</v>
      </c>
      <c r="Q130" s="161" t="s">
        <v>37</v>
      </c>
      <c r="R130" s="128" t="s">
        <v>632</v>
      </c>
    </row>
    <row r="131" spans="1:18" ht="38.25" thickBot="1" x14ac:dyDescent="0.3">
      <c r="A131" s="166"/>
      <c r="B131" s="168"/>
      <c r="C131" s="164"/>
      <c r="D131" s="16" t="s">
        <v>8</v>
      </c>
      <c r="E131" s="17" t="s">
        <v>7</v>
      </c>
      <c r="F131" s="17" t="s">
        <v>6</v>
      </c>
      <c r="G131" s="17" t="s">
        <v>5</v>
      </c>
      <c r="H131" s="17" t="s">
        <v>8</v>
      </c>
      <c r="I131" s="17" t="s">
        <v>7</v>
      </c>
      <c r="J131" s="17" t="s">
        <v>6</v>
      </c>
      <c r="K131" s="17" t="s">
        <v>5</v>
      </c>
      <c r="L131" s="17" t="s">
        <v>8</v>
      </c>
      <c r="M131" s="17" t="s">
        <v>7</v>
      </c>
      <c r="N131" s="17" t="s">
        <v>6</v>
      </c>
      <c r="O131" s="17" t="s">
        <v>5</v>
      </c>
      <c r="P131" s="168"/>
      <c r="Q131" s="162"/>
      <c r="R131" s="128"/>
    </row>
    <row r="132" spans="1:18" ht="55.5" customHeight="1" thickBot="1" x14ac:dyDescent="0.3">
      <c r="A132" s="58" t="s">
        <v>184</v>
      </c>
      <c r="B132" s="19" t="s">
        <v>447</v>
      </c>
      <c r="C132" s="24" t="s">
        <v>414</v>
      </c>
      <c r="D132" s="150">
        <v>2000</v>
      </c>
      <c r="E132" s="151"/>
      <c r="F132" s="151"/>
      <c r="G132" s="152"/>
      <c r="H132" s="153">
        <f t="shared" ref="H132:H137" si="37">D132-(D132*20/100)</f>
        <v>1600</v>
      </c>
      <c r="I132" s="151"/>
      <c r="J132" s="151"/>
      <c r="K132" s="152"/>
      <c r="L132" s="153">
        <f t="shared" ref="L132:L137" si="38">D132-(D132*40/100)</f>
        <v>1200</v>
      </c>
      <c r="M132" s="151"/>
      <c r="N132" s="151"/>
      <c r="O132" s="152"/>
      <c r="P132" s="20" t="s">
        <v>9</v>
      </c>
      <c r="Q132" s="82" t="s">
        <v>448</v>
      </c>
      <c r="R132" s="81" t="s">
        <v>640</v>
      </c>
    </row>
    <row r="133" spans="1:18" ht="47.25" customHeight="1" x14ac:dyDescent="0.25">
      <c r="A133" s="58" t="s">
        <v>284</v>
      </c>
      <c r="B133" s="45" t="s">
        <v>501</v>
      </c>
      <c r="C133" s="24" t="s">
        <v>414</v>
      </c>
      <c r="D133" s="151">
        <v>20000</v>
      </c>
      <c r="E133" s="151"/>
      <c r="F133" s="151"/>
      <c r="G133" s="152"/>
      <c r="H133" s="153">
        <f t="shared" si="37"/>
        <v>16000</v>
      </c>
      <c r="I133" s="151"/>
      <c r="J133" s="151"/>
      <c r="K133" s="152"/>
      <c r="L133" s="153">
        <f t="shared" si="38"/>
        <v>12000</v>
      </c>
      <c r="M133" s="151"/>
      <c r="N133" s="151"/>
      <c r="O133" s="152"/>
      <c r="P133" s="20" t="s">
        <v>9</v>
      </c>
      <c r="Q133" s="82" t="s">
        <v>69</v>
      </c>
      <c r="R133" s="81" t="s">
        <v>641</v>
      </c>
    </row>
    <row r="134" spans="1:18" s="47" customFormat="1" ht="60" customHeight="1" x14ac:dyDescent="0.25">
      <c r="A134" s="58" t="s">
        <v>285</v>
      </c>
      <c r="B134" s="45" t="s">
        <v>610</v>
      </c>
      <c r="C134" s="46" t="s">
        <v>414</v>
      </c>
      <c r="D134" s="173">
        <v>5000</v>
      </c>
      <c r="E134" s="173"/>
      <c r="F134" s="173"/>
      <c r="G134" s="174"/>
      <c r="H134" s="172">
        <f t="shared" si="37"/>
        <v>4000</v>
      </c>
      <c r="I134" s="173"/>
      <c r="J134" s="173"/>
      <c r="K134" s="174"/>
      <c r="L134" s="172">
        <f t="shared" si="38"/>
        <v>3000</v>
      </c>
      <c r="M134" s="173"/>
      <c r="N134" s="173"/>
      <c r="O134" s="174"/>
      <c r="P134" s="20" t="s">
        <v>9</v>
      </c>
      <c r="Q134" s="82" t="s">
        <v>55</v>
      </c>
      <c r="R134" s="97" t="s">
        <v>719</v>
      </c>
    </row>
    <row r="135" spans="1:18" ht="47.25" customHeight="1" thickBot="1" x14ac:dyDescent="0.3">
      <c r="A135" s="58" t="s">
        <v>286</v>
      </c>
      <c r="B135" s="48" t="s">
        <v>44</v>
      </c>
      <c r="C135" s="53" t="s">
        <v>414</v>
      </c>
      <c r="D135" s="151">
        <v>50000</v>
      </c>
      <c r="E135" s="151"/>
      <c r="F135" s="151"/>
      <c r="G135" s="152"/>
      <c r="H135" s="153">
        <f t="shared" si="37"/>
        <v>40000</v>
      </c>
      <c r="I135" s="151"/>
      <c r="J135" s="151"/>
      <c r="K135" s="152"/>
      <c r="L135" s="153">
        <f t="shared" si="38"/>
        <v>30000</v>
      </c>
      <c r="M135" s="151"/>
      <c r="N135" s="151"/>
      <c r="O135" s="152"/>
      <c r="P135" s="21" t="s">
        <v>9</v>
      </c>
      <c r="Q135" s="85" t="s">
        <v>449</v>
      </c>
      <c r="R135" s="97" t="s">
        <v>720</v>
      </c>
    </row>
    <row r="136" spans="1:18" ht="47.25" customHeight="1" thickBot="1" x14ac:dyDescent="0.3">
      <c r="A136" s="58" t="s">
        <v>287</v>
      </c>
      <c r="B136" s="45" t="s">
        <v>450</v>
      </c>
      <c r="C136" s="24" t="s">
        <v>414</v>
      </c>
      <c r="D136" s="151">
        <v>15000</v>
      </c>
      <c r="E136" s="151"/>
      <c r="F136" s="151"/>
      <c r="G136" s="152"/>
      <c r="H136" s="153">
        <f t="shared" si="37"/>
        <v>12000</v>
      </c>
      <c r="I136" s="151"/>
      <c r="J136" s="151"/>
      <c r="K136" s="152"/>
      <c r="L136" s="153">
        <f t="shared" si="38"/>
        <v>9000</v>
      </c>
      <c r="M136" s="151"/>
      <c r="N136" s="151"/>
      <c r="O136" s="152"/>
      <c r="P136" s="20" t="s">
        <v>9</v>
      </c>
      <c r="Q136" s="82" t="s">
        <v>58</v>
      </c>
      <c r="R136" s="97" t="s">
        <v>720</v>
      </c>
    </row>
    <row r="137" spans="1:18" ht="47.25" customHeight="1" thickBot="1" x14ac:dyDescent="0.3">
      <c r="A137" s="58" t="s">
        <v>288</v>
      </c>
      <c r="B137" s="45" t="s">
        <v>502</v>
      </c>
      <c r="C137" s="24" t="s">
        <v>414</v>
      </c>
      <c r="D137" s="151">
        <v>5000</v>
      </c>
      <c r="E137" s="151"/>
      <c r="F137" s="151"/>
      <c r="G137" s="152"/>
      <c r="H137" s="153">
        <f t="shared" si="37"/>
        <v>4000</v>
      </c>
      <c r="I137" s="151"/>
      <c r="J137" s="151"/>
      <c r="K137" s="152"/>
      <c r="L137" s="153">
        <f t="shared" si="38"/>
        <v>3000</v>
      </c>
      <c r="M137" s="151"/>
      <c r="N137" s="151"/>
      <c r="O137" s="152"/>
      <c r="P137" s="20" t="s">
        <v>9</v>
      </c>
      <c r="Q137" s="82" t="s">
        <v>55</v>
      </c>
      <c r="R137" s="97" t="s">
        <v>719</v>
      </c>
    </row>
    <row r="138" spans="1:18" ht="21" customHeight="1" x14ac:dyDescent="0.25">
      <c r="A138" s="140" t="s">
        <v>191</v>
      </c>
      <c r="B138" s="144" t="s">
        <v>31</v>
      </c>
      <c r="C138" s="27" t="s">
        <v>415</v>
      </c>
      <c r="D138" s="49">
        <v>2000</v>
      </c>
      <c r="E138" s="28">
        <f>D138-(D138*10/100)</f>
        <v>1800</v>
      </c>
      <c r="F138" s="28">
        <f>D138-(D138*20/100)</f>
        <v>1600</v>
      </c>
      <c r="G138" s="28">
        <f>D138-(D138*30/100)</f>
        <v>1400</v>
      </c>
      <c r="H138" s="28">
        <f>D138-(D138*10/100)</f>
        <v>1800</v>
      </c>
      <c r="I138" s="28">
        <f>H138-(H138*10/100)</f>
        <v>1620</v>
      </c>
      <c r="J138" s="28">
        <f>H138-(H138*20/100)</f>
        <v>1440</v>
      </c>
      <c r="K138" s="28">
        <f>H138-(H138*30/100)</f>
        <v>1260</v>
      </c>
      <c r="L138" s="28">
        <f>D138-(D138*20/100)</f>
        <v>1600</v>
      </c>
      <c r="M138" s="28">
        <f>L138-(L138*10/100)</f>
        <v>1440</v>
      </c>
      <c r="N138" s="28">
        <f>L138-(L138*20/100)</f>
        <v>1280</v>
      </c>
      <c r="O138" s="28">
        <f>L138-(L138*30/100)</f>
        <v>1120</v>
      </c>
      <c r="P138" s="148" t="s">
        <v>10</v>
      </c>
      <c r="Q138" s="146" t="s">
        <v>61</v>
      </c>
      <c r="R138" s="117" t="s">
        <v>658</v>
      </c>
    </row>
    <row r="139" spans="1:18" ht="25.5" customHeight="1" thickBot="1" x14ac:dyDescent="0.3">
      <c r="A139" s="141"/>
      <c r="B139" s="145"/>
      <c r="C139" s="29" t="s">
        <v>416</v>
      </c>
      <c r="D139" s="51">
        <f t="shared" ref="D139:O139" si="39">D138*50/100</f>
        <v>1000</v>
      </c>
      <c r="E139" s="28">
        <f t="shared" si="39"/>
        <v>900</v>
      </c>
      <c r="F139" s="28">
        <f t="shared" si="39"/>
        <v>800</v>
      </c>
      <c r="G139" s="28">
        <f t="shared" si="39"/>
        <v>700</v>
      </c>
      <c r="H139" s="28">
        <f t="shared" si="39"/>
        <v>900</v>
      </c>
      <c r="I139" s="28">
        <f t="shared" si="39"/>
        <v>810</v>
      </c>
      <c r="J139" s="28">
        <f t="shared" si="39"/>
        <v>720</v>
      </c>
      <c r="K139" s="28">
        <f t="shared" si="39"/>
        <v>630</v>
      </c>
      <c r="L139" s="28">
        <f t="shared" si="39"/>
        <v>800</v>
      </c>
      <c r="M139" s="28">
        <f t="shared" si="39"/>
        <v>720</v>
      </c>
      <c r="N139" s="28">
        <f t="shared" si="39"/>
        <v>640</v>
      </c>
      <c r="O139" s="28">
        <f t="shared" si="39"/>
        <v>560</v>
      </c>
      <c r="P139" s="149"/>
      <c r="Q139" s="147"/>
      <c r="R139" s="117"/>
    </row>
    <row r="140" spans="1:18" ht="47.25" customHeight="1" thickBot="1" x14ac:dyDescent="0.3">
      <c r="A140" s="58" t="s">
        <v>289</v>
      </c>
      <c r="B140" s="45" t="s">
        <v>64</v>
      </c>
      <c r="C140" s="24" t="s">
        <v>414</v>
      </c>
      <c r="D140" s="151">
        <v>15000</v>
      </c>
      <c r="E140" s="151"/>
      <c r="F140" s="151"/>
      <c r="G140" s="152"/>
      <c r="H140" s="153">
        <f>D140-(D140*20/100)</f>
        <v>12000</v>
      </c>
      <c r="I140" s="151"/>
      <c r="J140" s="151"/>
      <c r="K140" s="152"/>
      <c r="L140" s="153">
        <f>D140-(D140*40/100)</f>
        <v>9000</v>
      </c>
      <c r="M140" s="151"/>
      <c r="N140" s="151"/>
      <c r="O140" s="152"/>
      <c r="P140" s="20" t="s">
        <v>9</v>
      </c>
      <c r="Q140" s="82" t="s">
        <v>69</v>
      </c>
      <c r="R140" s="81" t="s">
        <v>659</v>
      </c>
    </row>
    <row r="141" spans="1:18" ht="47.25" customHeight="1" thickBot="1" x14ac:dyDescent="0.3">
      <c r="A141" s="58" t="s">
        <v>290</v>
      </c>
      <c r="B141" s="59" t="s">
        <v>45</v>
      </c>
      <c r="C141" s="24" t="s">
        <v>414</v>
      </c>
      <c r="D141" s="151">
        <v>30000</v>
      </c>
      <c r="E141" s="151"/>
      <c r="F141" s="151"/>
      <c r="G141" s="152"/>
      <c r="H141" s="153">
        <f>D141-(D141*20/100)</f>
        <v>24000</v>
      </c>
      <c r="I141" s="151"/>
      <c r="J141" s="151"/>
      <c r="K141" s="152"/>
      <c r="L141" s="153">
        <f>D141-(D141*40/100)</f>
        <v>18000</v>
      </c>
      <c r="M141" s="151"/>
      <c r="N141" s="151"/>
      <c r="O141" s="152"/>
      <c r="P141" s="20" t="s">
        <v>9</v>
      </c>
      <c r="Q141" s="82" t="s">
        <v>69</v>
      </c>
      <c r="R141" s="81" t="s">
        <v>649</v>
      </c>
    </row>
    <row r="142" spans="1:18" ht="47.25" customHeight="1" thickBot="1" x14ac:dyDescent="0.3">
      <c r="A142" s="58" t="s">
        <v>291</v>
      </c>
      <c r="B142" s="59" t="s">
        <v>581</v>
      </c>
      <c r="C142" s="24" t="s">
        <v>414</v>
      </c>
      <c r="D142" s="151">
        <v>20000</v>
      </c>
      <c r="E142" s="151"/>
      <c r="F142" s="151"/>
      <c r="G142" s="152"/>
      <c r="H142" s="153">
        <f>D142-(D142*20/100)</f>
        <v>16000</v>
      </c>
      <c r="I142" s="151"/>
      <c r="J142" s="151"/>
      <c r="K142" s="152"/>
      <c r="L142" s="153">
        <f>D142-(D142*40/100)</f>
        <v>12000</v>
      </c>
      <c r="M142" s="151"/>
      <c r="N142" s="151"/>
      <c r="O142" s="152"/>
      <c r="P142" s="20" t="s">
        <v>9</v>
      </c>
      <c r="Q142" s="82" t="s">
        <v>69</v>
      </c>
      <c r="R142" s="81" t="s">
        <v>649</v>
      </c>
    </row>
    <row r="143" spans="1:18" ht="47.25" customHeight="1" thickBot="1" x14ac:dyDescent="0.3">
      <c r="A143" s="58" t="s">
        <v>292</v>
      </c>
      <c r="B143" s="45" t="s">
        <v>611</v>
      </c>
      <c r="C143" s="24" t="s">
        <v>414</v>
      </c>
      <c r="D143" s="151">
        <v>100000</v>
      </c>
      <c r="E143" s="151"/>
      <c r="F143" s="151"/>
      <c r="G143" s="152"/>
      <c r="H143" s="153">
        <f>D143-(D143*20/100)</f>
        <v>80000</v>
      </c>
      <c r="I143" s="151"/>
      <c r="J143" s="151"/>
      <c r="K143" s="152"/>
      <c r="L143" s="153">
        <f>D143-(D143*40/100)</f>
        <v>60000</v>
      </c>
      <c r="M143" s="151"/>
      <c r="N143" s="151"/>
      <c r="O143" s="152"/>
      <c r="P143" s="20" t="s">
        <v>9</v>
      </c>
      <c r="Q143" s="82" t="s">
        <v>69</v>
      </c>
      <c r="R143" s="81" t="s">
        <v>721</v>
      </c>
    </row>
    <row r="144" spans="1:18" ht="47.25" customHeight="1" thickBot="1" x14ac:dyDescent="0.3">
      <c r="A144" s="58" t="s">
        <v>293</v>
      </c>
      <c r="B144" s="45" t="s">
        <v>503</v>
      </c>
      <c r="C144" s="24" t="s">
        <v>414</v>
      </c>
      <c r="D144" s="151">
        <v>10000</v>
      </c>
      <c r="E144" s="151"/>
      <c r="F144" s="151"/>
      <c r="G144" s="152"/>
      <c r="H144" s="153">
        <f>D144-(D144*20/100)</f>
        <v>8000</v>
      </c>
      <c r="I144" s="151"/>
      <c r="J144" s="151"/>
      <c r="K144" s="152"/>
      <c r="L144" s="153">
        <f>D144-(D144*40/100)</f>
        <v>6000</v>
      </c>
      <c r="M144" s="151"/>
      <c r="N144" s="151"/>
      <c r="O144" s="152"/>
      <c r="P144" s="20" t="s">
        <v>9</v>
      </c>
      <c r="Q144" s="82" t="s">
        <v>55</v>
      </c>
      <c r="R144" s="81" t="s">
        <v>681</v>
      </c>
    </row>
    <row r="145" spans="1:18" ht="18" customHeight="1" x14ac:dyDescent="0.25">
      <c r="A145" s="140" t="s">
        <v>294</v>
      </c>
      <c r="B145" s="144" t="s">
        <v>42</v>
      </c>
      <c r="C145" s="27" t="s">
        <v>415</v>
      </c>
      <c r="D145" s="49">
        <v>5000</v>
      </c>
      <c r="E145" s="28">
        <f>D145-(D145*10/100)</f>
        <v>4500</v>
      </c>
      <c r="F145" s="28">
        <f>D145-(D145*20/100)</f>
        <v>4000</v>
      </c>
      <c r="G145" s="28">
        <f>D145-(D145*30/100)</f>
        <v>3500</v>
      </c>
      <c r="H145" s="28">
        <f>D145-(D145*10/100)</f>
        <v>4500</v>
      </c>
      <c r="I145" s="28">
        <f>H145-(H145*10/100)</f>
        <v>4050</v>
      </c>
      <c r="J145" s="28">
        <f>H145-(H145*20/100)</f>
        <v>3600</v>
      </c>
      <c r="K145" s="28">
        <f>H145-(H145*30/100)</f>
        <v>3150</v>
      </c>
      <c r="L145" s="28">
        <f>D145-(D145*20/100)</f>
        <v>4000</v>
      </c>
      <c r="M145" s="28">
        <f>L145-(L145*10/100)</f>
        <v>3600</v>
      </c>
      <c r="N145" s="28">
        <f>L145-(L145*20/100)</f>
        <v>3200</v>
      </c>
      <c r="O145" s="28">
        <f>L145-(L145*30/100)</f>
        <v>2800</v>
      </c>
      <c r="P145" s="148" t="s">
        <v>10</v>
      </c>
      <c r="Q145" s="146" t="s">
        <v>59</v>
      </c>
      <c r="R145" s="117" t="s">
        <v>643</v>
      </c>
    </row>
    <row r="146" spans="1:18" ht="18.75" customHeight="1" thickBot="1" x14ac:dyDescent="0.3">
      <c r="A146" s="141"/>
      <c r="B146" s="145"/>
      <c r="C146" s="29" t="s">
        <v>416</v>
      </c>
      <c r="D146" s="51">
        <f t="shared" ref="D146:O146" si="40">D145*50/100</f>
        <v>2500</v>
      </c>
      <c r="E146" s="28">
        <f t="shared" si="40"/>
        <v>2250</v>
      </c>
      <c r="F146" s="28">
        <f t="shared" si="40"/>
        <v>2000</v>
      </c>
      <c r="G146" s="28">
        <f t="shared" si="40"/>
        <v>1750</v>
      </c>
      <c r="H146" s="28">
        <f t="shared" si="40"/>
        <v>2250</v>
      </c>
      <c r="I146" s="28">
        <f t="shared" si="40"/>
        <v>2025</v>
      </c>
      <c r="J146" s="28">
        <f t="shared" si="40"/>
        <v>1800</v>
      </c>
      <c r="K146" s="28">
        <f t="shared" si="40"/>
        <v>1575</v>
      </c>
      <c r="L146" s="28">
        <f t="shared" si="40"/>
        <v>2000</v>
      </c>
      <c r="M146" s="28">
        <f t="shared" si="40"/>
        <v>1800</v>
      </c>
      <c r="N146" s="28">
        <f t="shared" si="40"/>
        <v>1600</v>
      </c>
      <c r="O146" s="28">
        <f t="shared" si="40"/>
        <v>1400</v>
      </c>
      <c r="P146" s="149"/>
      <c r="Q146" s="147"/>
      <c r="R146" s="117"/>
    </row>
    <row r="147" spans="1:18" ht="18" customHeight="1" x14ac:dyDescent="0.25">
      <c r="A147" s="140" t="s">
        <v>199</v>
      </c>
      <c r="B147" s="144" t="s">
        <v>20</v>
      </c>
      <c r="C147" s="27" t="s">
        <v>415</v>
      </c>
      <c r="D147" s="49">
        <v>2000</v>
      </c>
      <c r="E147" s="28">
        <f>D147-(D147*10/100)</f>
        <v>1800</v>
      </c>
      <c r="F147" s="28">
        <f>D147-(D147*20/100)</f>
        <v>1600</v>
      </c>
      <c r="G147" s="28">
        <f>D147-(D147*30/100)</f>
        <v>1400</v>
      </c>
      <c r="H147" s="28">
        <f>D147-(D147*10/100)</f>
        <v>1800</v>
      </c>
      <c r="I147" s="28">
        <f>H147-(H147*10/100)</f>
        <v>1620</v>
      </c>
      <c r="J147" s="28">
        <f>H147-(H147*20/100)</f>
        <v>1440</v>
      </c>
      <c r="K147" s="28">
        <f>H147-(H147*30/100)</f>
        <v>1260</v>
      </c>
      <c r="L147" s="28">
        <f>D147-(D147*20/100)</f>
        <v>1600</v>
      </c>
      <c r="M147" s="28">
        <f>L147-(L147*10/100)</f>
        <v>1440</v>
      </c>
      <c r="N147" s="28">
        <f>L147-(L147*20/100)</f>
        <v>1280</v>
      </c>
      <c r="O147" s="28">
        <f>L147-(L147*30/100)</f>
        <v>1120</v>
      </c>
      <c r="P147" s="148" t="s">
        <v>10</v>
      </c>
      <c r="Q147" s="146" t="s">
        <v>55</v>
      </c>
      <c r="R147" s="117" t="s">
        <v>644</v>
      </c>
    </row>
    <row r="148" spans="1:18" ht="18.75" customHeight="1" thickBot="1" x14ac:dyDescent="0.3">
      <c r="A148" s="141"/>
      <c r="B148" s="145"/>
      <c r="C148" s="29" t="s">
        <v>416</v>
      </c>
      <c r="D148" s="51">
        <f t="shared" ref="D148:O148" si="41">D147*50/100</f>
        <v>1000</v>
      </c>
      <c r="E148" s="28">
        <f t="shared" si="41"/>
        <v>900</v>
      </c>
      <c r="F148" s="28">
        <f t="shared" si="41"/>
        <v>800</v>
      </c>
      <c r="G148" s="28">
        <f t="shared" si="41"/>
        <v>700</v>
      </c>
      <c r="H148" s="28">
        <f t="shared" si="41"/>
        <v>900</v>
      </c>
      <c r="I148" s="28">
        <f t="shared" si="41"/>
        <v>810</v>
      </c>
      <c r="J148" s="28">
        <f t="shared" si="41"/>
        <v>720</v>
      </c>
      <c r="K148" s="28">
        <f t="shared" si="41"/>
        <v>630</v>
      </c>
      <c r="L148" s="28">
        <f t="shared" si="41"/>
        <v>800</v>
      </c>
      <c r="M148" s="28">
        <f t="shared" si="41"/>
        <v>720</v>
      </c>
      <c r="N148" s="28">
        <f t="shared" si="41"/>
        <v>640</v>
      </c>
      <c r="O148" s="28">
        <f t="shared" si="41"/>
        <v>560</v>
      </c>
      <c r="P148" s="149"/>
      <c r="Q148" s="147"/>
      <c r="R148" s="117"/>
    </row>
    <row r="149" spans="1:18" ht="47.25" customHeight="1" thickBot="1" x14ac:dyDescent="0.3">
      <c r="A149" s="104" t="s">
        <v>295</v>
      </c>
      <c r="B149" s="45" t="s">
        <v>752</v>
      </c>
      <c r="C149" s="24" t="s">
        <v>414</v>
      </c>
      <c r="D149" s="151">
        <v>20000</v>
      </c>
      <c r="E149" s="151"/>
      <c r="F149" s="151"/>
      <c r="G149" s="152"/>
      <c r="H149" s="153">
        <f>D149-(D149*20/100)</f>
        <v>16000</v>
      </c>
      <c r="I149" s="151"/>
      <c r="J149" s="151"/>
      <c r="K149" s="152"/>
      <c r="L149" s="153">
        <f>D149-(D149*40/100)</f>
        <v>12000</v>
      </c>
      <c r="M149" s="151"/>
      <c r="N149" s="151"/>
      <c r="O149" s="152"/>
      <c r="P149" s="20" t="s">
        <v>9</v>
      </c>
      <c r="Q149" s="82" t="s">
        <v>54</v>
      </c>
      <c r="R149" s="74" t="s">
        <v>671</v>
      </c>
    </row>
    <row r="150" spans="1:18" ht="18" customHeight="1" x14ac:dyDescent="0.25">
      <c r="A150" s="140" t="s">
        <v>296</v>
      </c>
      <c r="B150" s="144" t="s">
        <v>759</v>
      </c>
      <c r="C150" s="27" t="s">
        <v>415</v>
      </c>
      <c r="D150" s="49">
        <v>5000</v>
      </c>
      <c r="E150" s="101">
        <f>D150-(D150*10/100)</f>
        <v>4500</v>
      </c>
      <c r="F150" s="101">
        <f>D150-(D150*20/100)</f>
        <v>4000</v>
      </c>
      <c r="G150" s="101">
        <f>D150-(D150*30/100)</f>
        <v>3500</v>
      </c>
      <c r="H150" s="101">
        <f>D150-(D150*10/100)</f>
        <v>4500</v>
      </c>
      <c r="I150" s="101">
        <f>H150-(H150*10/100)</f>
        <v>4050</v>
      </c>
      <c r="J150" s="101">
        <f>H150-(H150*20/100)</f>
        <v>3600</v>
      </c>
      <c r="K150" s="101">
        <f>H150-(H150*30/100)</f>
        <v>3150</v>
      </c>
      <c r="L150" s="101">
        <f>D150-(D150*20/100)</f>
        <v>4000</v>
      </c>
      <c r="M150" s="101">
        <f>L150-(L150*10/100)</f>
        <v>3600</v>
      </c>
      <c r="N150" s="101">
        <f>L150-(L150*20/100)</f>
        <v>3200</v>
      </c>
      <c r="O150" s="101">
        <f>L150-(L150*30/100)</f>
        <v>2800</v>
      </c>
      <c r="P150" s="148" t="s">
        <v>10</v>
      </c>
      <c r="Q150" s="146" t="s">
        <v>54</v>
      </c>
      <c r="R150" s="117" t="s">
        <v>671</v>
      </c>
    </row>
    <row r="151" spans="1:18" ht="18.75" customHeight="1" thickBot="1" x14ac:dyDescent="0.3">
      <c r="A151" s="141"/>
      <c r="B151" s="145"/>
      <c r="C151" s="29" t="s">
        <v>416</v>
      </c>
      <c r="D151" s="51">
        <f t="shared" ref="D151:O151" si="42">D150*50/100</f>
        <v>2500</v>
      </c>
      <c r="E151" s="101">
        <f t="shared" si="42"/>
        <v>2250</v>
      </c>
      <c r="F151" s="101">
        <f t="shared" si="42"/>
        <v>2000</v>
      </c>
      <c r="G151" s="101">
        <f t="shared" si="42"/>
        <v>1750</v>
      </c>
      <c r="H151" s="101">
        <f t="shared" si="42"/>
        <v>2250</v>
      </c>
      <c r="I151" s="101">
        <f t="shared" si="42"/>
        <v>2025</v>
      </c>
      <c r="J151" s="101">
        <f t="shared" si="42"/>
        <v>1800</v>
      </c>
      <c r="K151" s="101">
        <f t="shared" si="42"/>
        <v>1575</v>
      </c>
      <c r="L151" s="101">
        <f t="shared" si="42"/>
        <v>2000</v>
      </c>
      <c r="M151" s="101">
        <f t="shared" si="42"/>
        <v>1800</v>
      </c>
      <c r="N151" s="101">
        <f t="shared" si="42"/>
        <v>1600</v>
      </c>
      <c r="O151" s="101">
        <f t="shared" si="42"/>
        <v>1400</v>
      </c>
      <c r="P151" s="149"/>
      <c r="Q151" s="147"/>
      <c r="R151" s="117"/>
    </row>
    <row r="152" spans="1:18" ht="18" customHeight="1" x14ac:dyDescent="0.25">
      <c r="A152" s="140" t="s">
        <v>297</v>
      </c>
      <c r="B152" s="144" t="s">
        <v>613</v>
      </c>
      <c r="C152" s="27" t="s">
        <v>415</v>
      </c>
      <c r="D152" s="49">
        <v>1000</v>
      </c>
      <c r="E152" s="28">
        <f>D152-(D152*10/100)</f>
        <v>900</v>
      </c>
      <c r="F152" s="28">
        <f>D152-(D152*20/100)</f>
        <v>800</v>
      </c>
      <c r="G152" s="28">
        <f>D152-(D152*30/100)</f>
        <v>700</v>
      </c>
      <c r="H152" s="28">
        <f>D152-(D152*10/100)</f>
        <v>900</v>
      </c>
      <c r="I152" s="28">
        <f>H152-(H152*10/100)</f>
        <v>810</v>
      </c>
      <c r="J152" s="28">
        <f>H152-(H152*20/100)</f>
        <v>720</v>
      </c>
      <c r="K152" s="28">
        <f>H152-(H152*30/100)</f>
        <v>630</v>
      </c>
      <c r="L152" s="28">
        <f>D152-(D152*20/100)</f>
        <v>800</v>
      </c>
      <c r="M152" s="28">
        <f>L152-(L152*10/100)</f>
        <v>720</v>
      </c>
      <c r="N152" s="28">
        <f>L152-(L152*20/100)</f>
        <v>640</v>
      </c>
      <c r="O152" s="28">
        <f>L152-(L152*30/100)</f>
        <v>560</v>
      </c>
      <c r="P152" s="148" t="s">
        <v>10</v>
      </c>
      <c r="Q152" s="156" t="s">
        <v>54</v>
      </c>
      <c r="R152" s="117" t="s">
        <v>671</v>
      </c>
    </row>
    <row r="153" spans="1:18" ht="18.75" customHeight="1" thickBot="1" x14ac:dyDescent="0.3">
      <c r="A153" s="141"/>
      <c r="B153" s="145"/>
      <c r="C153" s="29" t="s">
        <v>416</v>
      </c>
      <c r="D153" s="51">
        <f t="shared" ref="D153:O153" si="43">D152*50/100</f>
        <v>500</v>
      </c>
      <c r="E153" s="28">
        <f t="shared" si="43"/>
        <v>450</v>
      </c>
      <c r="F153" s="28">
        <f t="shared" si="43"/>
        <v>400</v>
      </c>
      <c r="G153" s="28">
        <f t="shared" si="43"/>
        <v>350</v>
      </c>
      <c r="H153" s="28">
        <f t="shared" si="43"/>
        <v>450</v>
      </c>
      <c r="I153" s="28">
        <f t="shared" si="43"/>
        <v>405</v>
      </c>
      <c r="J153" s="28">
        <f t="shared" si="43"/>
        <v>360</v>
      </c>
      <c r="K153" s="28">
        <f t="shared" si="43"/>
        <v>315</v>
      </c>
      <c r="L153" s="28">
        <f t="shared" si="43"/>
        <v>400</v>
      </c>
      <c r="M153" s="28">
        <f t="shared" si="43"/>
        <v>360</v>
      </c>
      <c r="N153" s="28">
        <f t="shared" si="43"/>
        <v>320</v>
      </c>
      <c r="O153" s="28">
        <f t="shared" si="43"/>
        <v>280</v>
      </c>
      <c r="P153" s="149"/>
      <c r="Q153" s="157"/>
      <c r="R153" s="117"/>
    </row>
    <row r="154" spans="1:18" s="33" customFormat="1" ht="47.25" customHeight="1" thickBot="1" x14ac:dyDescent="0.3">
      <c r="A154" s="104" t="s">
        <v>298</v>
      </c>
      <c r="B154" s="54" t="s">
        <v>71</v>
      </c>
      <c r="C154" s="37" t="s">
        <v>414</v>
      </c>
      <c r="D154" s="151">
        <v>5000</v>
      </c>
      <c r="E154" s="151"/>
      <c r="F154" s="151"/>
      <c r="G154" s="152"/>
      <c r="H154" s="153">
        <f>D154-(D154*20/100)</f>
        <v>4000</v>
      </c>
      <c r="I154" s="151"/>
      <c r="J154" s="151"/>
      <c r="K154" s="152"/>
      <c r="L154" s="153">
        <f>D154-(D154*40/100)</f>
        <v>3000</v>
      </c>
      <c r="M154" s="151"/>
      <c r="N154" s="151"/>
      <c r="O154" s="152"/>
      <c r="P154" s="31" t="s">
        <v>9</v>
      </c>
      <c r="Q154" s="84" t="s">
        <v>55</v>
      </c>
      <c r="R154" s="74" t="s">
        <v>672</v>
      </c>
    </row>
    <row r="155" spans="1:18" ht="18" customHeight="1" x14ac:dyDescent="0.25">
      <c r="A155" s="140" t="s">
        <v>299</v>
      </c>
      <c r="B155" s="144" t="s">
        <v>11</v>
      </c>
      <c r="C155" s="27" t="s">
        <v>415</v>
      </c>
      <c r="D155" s="49">
        <v>4000</v>
      </c>
      <c r="E155" s="28">
        <f>D155-(D155*10/100)</f>
        <v>3600</v>
      </c>
      <c r="F155" s="28">
        <f>D155-(D155*20/100)</f>
        <v>3200</v>
      </c>
      <c r="G155" s="28">
        <f>D155-(D155*30/100)</f>
        <v>2800</v>
      </c>
      <c r="H155" s="28">
        <f>D155-(D155*10/100)</f>
        <v>3600</v>
      </c>
      <c r="I155" s="28">
        <f>H155-(H155*10/100)</f>
        <v>3240</v>
      </c>
      <c r="J155" s="28">
        <f>H155-(H155*20/100)</f>
        <v>2880</v>
      </c>
      <c r="K155" s="28">
        <f>H155-(H155*30/100)</f>
        <v>2520</v>
      </c>
      <c r="L155" s="28">
        <f>D155-(D155*20/100)</f>
        <v>3200</v>
      </c>
      <c r="M155" s="28">
        <f>L155-(L155*10/100)</f>
        <v>2880</v>
      </c>
      <c r="N155" s="28">
        <f>L155-(L155*20/100)</f>
        <v>2560</v>
      </c>
      <c r="O155" s="28">
        <f>L155-(L155*30/100)</f>
        <v>2240</v>
      </c>
      <c r="P155" s="148" t="s">
        <v>10</v>
      </c>
      <c r="Q155" s="146" t="s">
        <v>55</v>
      </c>
      <c r="R155" s="117" t="s">
        <v>645</v>
      </c>
    </row>
    <row r="156" spans="1:18" ht="18.75" customHeight="1" thickBot="1" x14ac:dyDescent="0.3">
      <c r="A156" s="141"/>
      <c r="B156" s="145"/>
      <c r="C156" s="29" t="s">
        <v>416</v>
      </c>
      <c r="D156" s="51">
        <f>D155*50/100</f>
        <v>2000</v>
      </c>
      <c r="E156" s="28">
        <f t="shared" ref="E156:O156" si="44">E155*50/100</f>
        <v>1800</v>
      </c>
      <c r="F156" s="28">
        <f t="shared" si="44"/>
        <v>1600</v>
      </c>
      <c r="G156" s="28">
        <f t="shared" si="44"/>
        <v>1400</v>
      </c>
      <c r="H156" s="28">
        <f t="shared" si="44"/>
        <v>1800</v>
      </c>
      <c r="I156" s="28">
        <f t="shared" si="44"/>
        <v>1620</v>
      </c>
      <c r="J156" s="28">
        <f t="shared" si="44"/>
        <v>1440</v>
      </c>
      <c r="K156" s="28">
        <f t="shared" si="44"/>
        <v>1260</v>
      </c>
      <c r="L156" s="28">
        <f t="shared" si="44"/>
        <v>1600</v>
      </c>
      <c r="M156" s="28">
        <f t="shared" si="44"/>
        <v>1440</v>
      </c>
      <c r="N156" s="28">
        <f t="shared" si="44"/>
        <v>1280</v>
      </c>
      <c r="O156" s="28">
        <f t="shared" si="44"/>
        <v>1120</v>
      </c>
      <c r="P156" s="149"/>
      <c r="Q156" s="147"/>
      <c r="R156" s="117"/>
    </row>
    <row r="157" spans="1:18" ht="18" customHeight="1" x14ac:dyDescent="0.25">
      <c r="A157" s="140" t="s">
        <v>300</v>
      </c>
      <c r="B157" s="144" t="s">
        <v>504</v>
      </c>
      <c r="C157" s="27" t="s">
        <v>415</v>
      </c>
      <c r="D157" s="49">
        <v>2000</v>
      </c>
      <c r="E157" s="28">
        <f>D157-(D157*10/100)</f>
        <v>1800</v>
      </c>
      <c r="F157" s="28">
        <f>D157-(D157*20/100)</f>
        <v>1600</v>
      </c>
      <c r="G157" s="28">
        <f>D157-(D157*30/100)</f>
        <v>1400</v>
      </c>
      <c r="H157" s="28">
        <f>D157-(D157*10/100)</f>
        <v>1800</v>
      </c>
      <c r="I157" s="28">
        <f>H157-(H157*10/100)</f>
        <v>1620</v>
      </c>
      <c r="J157" s="28">
        <f>H157-(H157*20/100)</f>
        <v>1440</v>
      </c>
      <c r="K157" s="28">
        <f>H157-(H157*30/100)</f>
        <v>1260</v>
      </c>
      <c r="L157" s="28">
        <f>D157-(D157*20/100)</f>
        <v>1600</v>
      </c>
      <c r="M157" s="28">
        <f>L157-(L157*10/100)</f>
        <v>1440</v>
      </c>
      <c r="N157" s="28">
        <f>L157-(L157*20/100)</f>
        <v>1280</v>
      </c>
      <c r="O157" s="28">
        <f>L157-(L157*30/100)</f>
        <v>1120</v>
      </c>
      <c r="P157" s="148" t="s">
        <v>10</v>
      </c>
      <c r="Q157" s="146" t="s">
        <v>55</v>
      </c>
      <c r="R157" s="117" t="s">
        <v>683</v>
      </c>
    </row>
    <row r="158" spans="1:18" ht="18.75" customHeight="1" x14ac:dyDescent="0.25">
      <c r="A158" s="141"/>
      <c r="B158" s="145"/>
      <c r="C158" s="50" t="s">
        <v>416</v>
      </c>
      <c r="D158" s="51">
        <f t="shared" ref="D158:O158" si="45">D157*50/100</f>
        <v>1000</v>
      </c>
      <c r="E158" s="28">
        <f t="shared" si="45"/>
        <v>900</v>
      </c>
      <c r="F158" s="28">
        <f t="shared" si="45"/>
        <v>800</v>
      </c>
      <c r="G158" s="28">
        <f t="shared" si="45"/>
        <v>700</v>
      </c>
      <c r="H158" s="28">
        <f t="shared" si="45"/>
        <v>900</v>
      </c>
      <c r="I158" s="28">
        <f t="shared" si="45"/>
        <v>810</v>
      </c>
      <c r="J158" s="28">
        <f t="shared" si="45"/>
        <v>720</v>
      </c>
      <c r="K158" s="28">
        <f t="shared" si="45"/>
        <v>630</v>
      </c>
      <c r="L158" s="28">
        <f t="shared" si="45"/>
        <v>800</v>
      </c>
      <c r="M158" s="28">
        <f t="shared" si="45"/>
        <v>720</v>
      </c>
      <c r="N158" s="28">
        <f t="shared" si="45"/>
        <v>640</v>
      </c>
      <c r="O158" s="28">
        <f t="shared" si="45"/>
        <v>560</v>
      </c>
      <c r="P158" s="149"/>
      <c r="Q158" s="147"/>
      <c r="R158" s="117"/>
    </row>
    <row r="159" spans="1:18" ht="47.25" customHeight="1" thickBot="1" x14ac:dyDescent="0.3">
      <c r="A159" s="58" t="s">
        <v>760</v>
      </c>
      <c r="B159" s="45" t="s">
        <v>48</v>
      </c>
      <c r="C159" s="29" t="s">
        <v>414</v>
      </c>
      <c r="D159" s="151">
        <v>15000</v>
      </c>
      <c r="E159" s="151"/>
      <c r="F159" s="151"/>
      <c r="G159" s="152"/>
      <c r="H159" s="153">
        <f>D159-(D159*20/100)</f>
        <v>12000</v>
      </c>
      <c r="I159" s="151"/>
      <c r="J159" s="151"/>
      <c r="K159" s="152"/>
      <c r="L159" s="153">
        <f>D159-(D159*40/100)</f>
        <v>9000</v>
      </c>
      <c r="M159" s="151"/>
      <c r="N159" s="151"/>
      <c r="O159" s="152"/>
      <c r="P159" s="20" t="s">
        <v>9</v>
      </c>
      <c r="Q159" s="82" t="s">
        <v>69</v>
      </c>
      <c r="R159" s="81" t="s">
        <v>646</v>
      </c>
    </row>
    <row r="160" spans="1:18" x14ac:dyDescent="0.25">
      <c r="C160" s="2"/>
    </row>
    <row r="161" spans="3:3" x14ac:dyDescent="0.25">
      <c r="C161" s="2"/>
    </row>
    <row r="162" spans="3:3" x14ac:dyDescent="0.25">
      <c r="C162" s="2"/>
    </row>
    <row r="163" spans="3:3" x14ac:dyDescent="0.25">
      <c r="C163" s="2"/>
    </row>
    <row r="164" spans="3:3" x14ac:dyDescent="0.25">
      <c r="C164" s="2"/>
    </row>
    <row r="165" spans="3:3" x14ac:dyDescent="0.25">
      <c r="C165" s="2"/>
    </row>
    <row r="166" spans="3:3" x14ac:dyDescent="0.25">
      <c r="C166" s="2"/>
    </row>
    <row r="167" spans="3:3" x14ac:dyDescent="0.25">
      <c r="C167" s="2"/>
    </row>
    <row r="168" spans="3:3" x14ac:dyDescent="0.25">
      <c r="C168" s="2"/>
    </row>
    <row r="169" spans="3:3" x14ac:dyDescent="0.25">
      <c r="C169" s="2"/>
    </row>
    <row r="170" spans="3:3" x14ac:dyDescent="0.25">
      <c r="C170" s="2"/>
    </row>
    <row r="171" spans="3:3" x14ac:dyDescent="0.25">
      <c r="C171" s="2"/>
    </row>
    <row r="172" spans="3:3" x14ac:dyDescent="0.25">
      <c r="C172" s="2"/>
    </row>
    <row r="173" spans="3:3" x14ac:dyDescent="0.25">
      <c r="C173" s="2"/>
    </row>
    <row r="174" spans="3:3" x14ac:dyDescent="0.25">
      <c r="C174" s="2"/>
    </row>
    <row r="175" spans="3:3" x14ac:dyDescent="0.25">
      <c r="C175" s="2"/>
    </row>
    <row r="176" spans="3:3" x14ac:dyDescent="0.25">
      <c r="C176" s="2"/>
    </row>
    <row r="177" spans="3:3" x14ac:dyDescent="0.25">
      <c r="C177" s="2"/>
    </row>
    <row r="178" spans="3:3" x14ac:dyDescent="0.25">
      <c r="C178" s="2"/>
    </row>
    <row r="179" spans="3:3" x14ac:dyDescent="0.25">
      <c r="C179" s="2"/>
    </row>
    <row r="180" spans="3:3" x14ac:dyDescent="0.25">
      <c r="C180" s="2"/>
    </row>
    <row r="181" spans="3:3" x14ac:dyDescent="0.25">
      <c r="C181" s="2"/>
    </row>
    <row r="182" spans="3:3" x14ac:dyDescent="0.25">
      <c r="C182" s="2"/>
    </row>
    <row r="183" spans="3:3" x14ac:dyDescent="0.25">
      <c r="C183" s="2"/>
    </row>
    <row r="184" spans="3:3" x14ac:dyDescent="0.25">
      <c r="C184" s="2"/>
    </row>
    <row r="185" spans="3:3" x14ac:dyDescent="0.25">
      <c r="C185" s="2"/>
    </row>
    <row r="186" spans="3:3" x14ac:dyDescent="0.25">
      <c r="C186" s="2"/>
    </row>
    <row r="187" spans="3:3" x14ac:dyDescent="0.25">
      <c r="C187" s="2"/>
    </row>
    <row r="188" spans="3:3" x14ac:dyDescent="0.25">
      <c r="C188" s="2"/>
    </row>
    <row r="189" spans="3:3" x14ac:dyDescent="0.25">
      <c r="C189" s="2"/>
    </row>
    <row r="190" spans="3:3" x14ac:dyDescent="0.25">
      <c r="C190" s="2"/>
    </row>
    <row r="191" spans="3:3" x14ac:dyDescent="0.25">
      <c r="C191" s="2"/>
    </row>
    <row r="192" spans="3:3" x14ac:dyDescent="0.25">
      <c r="C192" s="2"/>
    </row>
    <row r="193" spans="3:3" x14ac:dyDescent="0.25">
      <c r="C193" s="2"/>
    </row>
    <row r="194" spans="3:3" x14ac:dyDescent="0.25">
      <c r="C194" s="2"/>
    </row>
    <row r="195" spans="3:3" x14ac:dyDescent="0.25">
      <c r="C195" s="2"/>
    </row>
    <row r="196" spans="3:3" x14ac:dyDescent="0.25">
      <c r="C196" s="2"/>
    </row>
    <row r="197" spans="3:3" x14ac:dyDescent="0.25">
      <c r="C197" s="2"/>
    </row>
    <row r="198" spans="3:3" x14ac:dyDescent="0.25">
      <c r="C198" s="2"/>
    </row>
    <row r="199" spans="3:3" x14ac:dyDescent="0.25">
      <c r="C199" s="2"/>
    </row>
    <row r="200" spans="3:3" x14ac:dyDescent="0.25">
      <c r="C200" s="2"/>
    </row>
    <row r="201" spans="3:3" x14ac:dyDescent="0.25">
      <c r="C201" s="2"/>
    </row>
    <row r="202" spans="3:3" x14ac:dyDescent="0.25">
      <c r="C202" s="2"/>
    </row>
    <row r="203" spans="3:3" x14ac:dyDescent="0.25">
      <c r="C203" s="2"/>
    </row>
    <row r="204" spans="3:3" x14ac:dyDescent="0.25">
      <c r="C204" s="2"/>
    </row>
    <row r="205" spans="3:3" x14ac:dyDescent="0.25">
      <c r="C205" s="2"/>
    </row>
    <row r="206" spans="3:3" x14ac:dyDescent="0.25">
      <c r="C206" s="2"/>
    </row>
    <row r="207" spans="3:3" x14ac:dyDescent="0.25">
      <c r="C207" s="2"/>
    </row>
    <row r="208" spans="3:3" x14ac:dyDescent="0.25">
      <c r="C208" s="2"/>
    </row>
    <row r="209" spans="3:3" x14ac:dyDescent="0.25">
      <c r="C209" s="2"/>
    </row>
    <row r="210" spans="3:3" x14ac:dyDescent="0.25">
      <c r="C210" s="2"/>
    </row>
    <row r="211" spans="3:3" x14ac:dyDescent="0.25">
      <c r="C211" s="2"/>
    </row>
    <row r="212" spans="3:3" x14ac:dyDescent="0.25">
      <c r="C212" s="2"/>
    </row>
    <row r="213" spans="3:3" x14ac:dyDescent="0.25">
      <c r="C213" s="2"/>
    </row>
    <row r="214" spans="3:3" x14ac:dyDescent="0.25">
      <c r="C214" s="2"/>
    </row>
    <row r="215" spans="3:3" x14ac:dyDescent="0.25">
      <c r="C215" s="2"/>
    </row>
    <row r="216" spans="3:3" x14ac:dyDescent="0.25">
      <c r="C216" s="2"/>
    </row>
    <row r="217" spans="3:3" x14ac:dyDescent="0.25">
      <c r="C217" s="2"/>
    </row>
    <row r="218" spans="3:3" x14ac:dyDescent="0.25">
      <c r="C218" s="2"/>
    </row>
    <row r="219" spans="3:3" x14ac:dyDescent="0.25">
      <c r="C219" s="2"/>
    </row>
    <row r="220" spans="3:3" x14ac:dyDescent="0.25">
      <c r="C220" s="2"/>
    </row>
    <row r="221" spans="3:3" x14ac:dyDescent="0.25">
      <c r="C221" s="2"/>
    </row>
    <row r="222" spans="3:3" x14ac:dyDescent="0.25">
      <c r="C222" s="2"/>
    </row>
    <row r="223" spans="3:3" x14ac:dyDescent="0.25">
      <c r="C223" s="2"/>
    </row>
    <row r="224" spans="3:3" x14ac:dyDescent="0.25">
      <c r="C224" s="2"/>
    </row>
    <row r="225" spans="3:3" x14ac:dyDescent="0.25">
      <c r="C225" s="2"/>
    </row>
    <row r="226" spans="3:3" x14ac:dyDescent="0.25">
      <c r="C226" s="2"/>
    </row>
    <row r="227" spans="3:3" x14ac:dyDescent="0.25">
      <c r="C227" s="2"/>
    </row>
    <row r="228" spans="3:3" x14ac:dyDescent="0.25">
      <c r="C228" s="2"/>
    </row>
    <row r="229" spans="3:3" x14ac:dyDescent="0.25">
      <c r="C229" s="2"/>
    </row>
    <row r="230" spans="3:3" x14ac:dyDescent="0.25">
      <c r="C230" s="2"/>
    </row>
    <row r="231" spans="3:3" x14ac:dyDescent="0.25">
      <c r="C231" s="2"/>
    </row>
    <row r="232" spans="3:3" x14ac:dyDescent="0.25">
      <c r="C232" s="2"/>
    </row>
    <row r="233" spans="3:3" x14ac:dyDescent="0.25">
      <c r="C233" s="2"/>
    </row>
    <row r="234" spans="3:3" x14ac:dyDescent="0.25">
      <c r="C234" s="2"/>
    </row>
    <row r="235" spans="3:3" x14ac:dyDescent="0.25">
      <c r="C235" s="2"/>
    </row>
    <row r="236" spans="3:3" x14ac:dyDescent="0.25">
      <c r="C236" s="2"/>
    </row>
    <row r="237" spans="3:3" x14ac:dyDescent="0.25">
      <c r="C237" s="2"/>
    </row>
    <row r="238" spans="3:3" x14ac:dyDescent="0.25">
      <c r="C238" s="2"/>
    </row>
    <row r="239" spans="3:3" x14ac:dyDescent="0.25">
      <c r="C239" s="2"/>
    </row>
    <row r="240" spans="3:3" x14ac:dyDescent="0.25">
      <c r="C240" s="2"/>
    </row>
    <row r="241" spans="3:3" x14ac:dyDescent="0.25">
      <c r="C241" s="2"/>
    </row>
    <row r="242" spans="3:3" x14ac:dyDescent="0.25">
      <c r="C242" s="2"/>
    </row>
    <row r="243" spans="3:3" x14ac:dyDescent="0.25">
      <c r="C243" s="2"/>
    </row>
    <row r="244" spans="3:3" x14ac:dyDescent="0.25">
      <c r="C244" s="2"/>
    </row>
    <row r="245" spans="3:3" x14ac:dyDescent="0.25">
      <c r="C245" s="2"/>
    </row>
    <row r="246" spans="3:3" x14ac:dyDescent="0.25">
      <c r="C246" s="2"/>
    </row>
    <row r="247" spans="3:3" x14ac:dyDescent="0.25">
      <c r="C247" s="2"/>
    </row>
    <row r="248" spans="3:3" x14ac:dyDescent="0.25">
      <c r="C248" s="2"/>
    </row>
    <row r="249" spans="3:3" x14ac:dyDescent="0.25">
      <c r="C249" s="2"/>
    </row>
    <row r="250" spans="3:3" x14ac:dyDescent="0.25">
      <c r="C250" s="2"/>
    </row>
    <row r="251" spans="3:3" x14ac:dyDescent="0.25">
      <c r="C251" s="2"/>
    </row>
    <row r="252" spans="3:3" x14ac:dyDescent="0.25">
      <c r="C252" s="2"/>
    </row>
    <row r="253" spans="3:3" x14ac:dyDescent="0.25">
      <c r="C253" s="2"/>
    </row>
    <row r="254" spans="3:3" x14ac:dyDescent="0.25">
      <c r="C254" s="2"/>
    </row>
    <row r="255" spans="3:3" x14ac:dyDescent="0.25">
      <c r="C255" s="2"/>
    </row>
    <row r="256" spans="3:3" x14ac:dyDescent="0.25">
      <c r="C256" s="2"/>
    </row>
    <row r="257" spans="3:3" x14ac:dyDescent="0.25">
      <c r="C257" s="2"/>
    </row>
    <row r="258" spans="3:3" x14ac:dyDescent="0.25">
      <c r="C258" s="2"/>
    </row>
    <row r="259" spans="3:3" x14ac:dyDescent="0.25">
      <c r="C259" s="2"/>
    </row>
    <row r="260" spans="3:3" x14ac:dyDescent="0.25">
      <c r="C260" s="2"/>
    </row>
    <row r="261" spans="3:3" x14ac:dyDescent="0.25">
      <c r="C261" s="2"/>
    </row>
    <row r="262" spans="3:3" x14ac:dyDescent="0.25">
      <c r="C262" s="2"/>
    </row>
    <row r="263" spans="3:3" x14ac:dyDescent="0.25">
      <c r="C263" s="2"/>
    </row>
    <row r="264" spans="3:3" x14ac:dyDescent="0.25">
      <c r="C264" s="2"/>
    </row>
    <row r="265" spans="3:3" x14ac:dyDescent="0.25">
      <c r="C265" s="2"/>
    </row>
    <row r="266" spans="3:3" x14ac:dyDescent="0.25">
      <c r="C266" s="2"/>
    </row>
    <row r="267" spans="3:3" x14ac:dyDescent="0.25">
      <c r="C267" s="2"/>
    </row>
    <row r="268" spans="3:3" x14ac:dyDescent="0.25">
      <c r="C268" s="2"/>
    </row>
    <row r="269" spans="3:3" x14ac:dyDescent="0.25">
      <c r="C269" s="2"/>
    </row>
    <row r="270" spans="3:3" x14ac:dyDescent="0.25">
      <c r="C270" s="2"/>
    </row>
    <row r="271" spans="3:3" x14ac:dyDescent="0.25">
      <c r="C271" s="2"/>
    </row>
    <row r="272" spans="3:3" x14ac:dyDescent="0.25">
      <c r="C272" s="2"/>
    </row>
    <row r="273" spans="3:3" x14ac:dyDescent="0.25">
      <c r="C273" s="2"/>
    </row>
    <row r="274" spans="3:3" x14ac:dyDescent="0.25">
      <c r="C274" s="2"/>
    </row>
    <row r="275" spans="3:3" x14ac:dyDescent="0.25">
      <c r="C275" s="2"/>
    </row>
    <row r="276" spans="3:3" x14ac:dyDescent="0.25">
      <c r="C276" s="2"/>
    </row>
    <row r="277" spans="3:3" x14ac:dyDescent="0.25">
      <c r="C277" s="2"/>
    </row>
    <row r="278" spans="3:3" x14ac:dyDescent="0.25">
      <c r="C278" s="2"/>
    </row>
    <row r="279" spans="3:3" x14ac:dyDescent="0.25">
      <c r="C279" s="2"/>
    </row>
    <row r="280" spans="3:3" x14ac:dyDescent="0.25">
      <c r="C280" s="2"/>
    </row>
    <row r="281" spans="3:3" x14ac:dyDescent="0.25">
      <c r="C281" s="2"/>
    </row>
    <row r="282" spans="3:3" x14ac:dyDescent="0.25">
      <c r="C282" s="2"/>
    </row>
    <row r="283" spans="3:3" x14ac:dyDescent="0.25">
      <c r="C283" s="2"/>
    </row>
    <row r="284" spans="3:3" x14ac:dyDescent="0.25">
      <c r="C284" s="2"/>
    </row>
    <row r="285" spans="3:3" x14ac:dyDescent="0.25">
      <c r="C285" s="2"/>
    </row>
    <row r="286" spans="3:3" x14ac:dyDescent="0.25">
      <c r="C286" s="2"/>
    </row>
    <row r="287" spans="3:3" x14ac:dyDescent="0.25">
      <c r="C287" s="2"/>
    </row>
    <row r="288" spans="3:3" x14ac:dyDescent="0.25">
      <c r="C288" s="2"/>
    </row>
    <row r="289" spans="3:3" x14ac:dyDescent="0.25">
      <c r="C289" s="2"/>
    </row>
    <row r="290" spans="3:3" x14ac:dyDescent="0.25">
      <c r="C290" s="2"/>
    </row>
    <row r="291" spans="3:3" x14ac:dyDescent="0.25">
      <c r="C291" s="2"/>
    </row>
    <row r="292" spans="3:3" x14ac:dyDescent="0.25">
      <c r="C292" s="2"/>
    </row>
    <row r="293" spans="3:3" x14ac:dyDescent="0.25">
      <c r="C293" s="2"/>
    </row>
    <row r="294" spans="3:3" x14ac:dyDescent="0.25">
      <c r="C294" s="2"/>
    </row>
    <row r="295" spans="3:3" x14ac:dyDescent="0.25">
      <c r="C295" s="2"/>
    </row>
    <row r="296" spans="3:3" x14ac:dyDescent="0.25">
      <c r="C296" s="2"/>
    </row>
    <row r="297" spans="3:3" x14ac:dyDescent="0.25">
      <c r="C297" s="2"/>
    </row>
    <row r="298" spans="3:3" x14ac:dyDescent="0.25">
      <c r="C298" s="2"/>
    </row>
    <row r="299" spans="3:3" x14ac:dyDescent="0.25">
      <c r="C299" s="2"/>
    </row>
    <row r="300" spans="3:3" x14ac:dyDescent="0.25">
      <c r="C300" s="2"/>
    </row>
    <row r="301" spans="3:3" x14ac:dyDescent="0.25">
      <c r="C301" s="2"/>
    </row>
    <row r="302" spans="3:3" x14ac:dyDescent="0.25">
      <c r="C302" s="2"/>
    </row>
    <row r="303" spans="3:3" x14ac:dyDescent="0.25">
      <c r="C303" s="2"/>
    </row>
    <row r="304" spans="3:3" x14ac:dyDescent="0.25">
      <c r="C304" s="2"/>
    </row>
    <row r="305" spans="3:3" x14ac:dyDescent="0.25">
      <c r="C305" s="2"/>
    </row>
    <row r="306" spans="3:3" x14ac:dyDescent="0.25">
      <c r="C306" s="2"/>
    </row>
    <row r="307" spans="3:3" x14ac:dyDescent="0.25">
      <c r="C307" s="2"/>
    </row>
    <row r="308" spans="3:3" x14ac:dyDescent="0.25">
      <c r="C308" s="2"/>
    </row>
    <row r="309" spans="3:3" x14ac:dyDescent="0.25">
      <c r="C309" s="2"/>
    </row>
    <row r="310" spans="3:3" x14ac:dyDescent="0.25">
      <c r="C310" s="2"/>
    </row>
    <row r="311" spans="3:3" x14ac:dyDescent="0.25">
      <c r="C311" s="2"/>
    </row>
    <row r="312" spans="3:3" x14ac:dyDescent="0.25">
      <c r="C312" s="2"/>
    </row>
    <row r="313" spans="3:3" x14ac:dyDescent="0.25">
      <c r="C313" s="2"/>
    </row>
    <row r="314" spans="3:3" x14ac:dyDescent="0.25">
      <c r="C314" s="2"/>
    </row>
    <row r="315" spans="3:3" x14ac:dyDescent="0.25">
      <c r="C315" s="2"/>
    </row>
    <row r="316" spans="3:3" x14ac:dyDescent="0.25">
      <c r="C316" s="2"/>
    </row>
    <row r="317" spans="3:3" x14ac:dyDescent="0.25">
      <c r="C317" s="2"/>
    </row>
    <row r="318" spans="3:3" x14ac:dyDescent="0.25">
      <c r="C318" s="2"/>
    </row>
    <row r="319" spans="3:3" x14ac:dyDescent="0.25">
      <c r="C319" s="2"/>
    </row>
    <row r="320" spans="3:3" x14ac:dyDescent="0.25">
      <c r="C320" s="2"/>
    </row>
    <row r="321" spans="3:3" x14ac:dyDescent="0.25">
      <c r="C321" s="2"/>
    </row>
    <row r="322" spans="3:3" x14ac:dyDescent="0.25">
      <c r="C322" s="2"/>
    </row>
    <row r="323" spans="3:3" x14ac:dyDescent="0.25">
      <c r="C323" s="2"/>
    </row>
    <row r="324" spans="3:3" x14ac:dyDescent="0.25">
      <c r="C324" s="2"/>
    </row>
    <row r="325" spans="3:3" x14ac:dyDescent="0.25">
      <c r="C325" s="2"/>
    </row>
    <row r="326" spans="3:3" x14ac:dyDescent="0.25">
      <c r="C326" s="2"/>
    </row>
    <row r="327" spans="3:3" x14ac:dyDescent="0.25">
      <c r="C327" s="2"/>
    </row>
    <row r="328" spans="3:3" x14ac:dyDescent="0.25">
      <c r="C328" s="2"/>
    </row>
    <row r="329" spans="3:3" x14ac:dyDescent="0.25">
      <c r="C329" s="2"/>
    </row>
    <row r="330" spans="3:3" x14ac:dyDescent="0.25">
      <c r="C330" s="2"/>
    </row>
    <row r="331" spans="3:3" x14ac:dyDescent="0.25">
      <c r="C331" s="2"/>
    </row>
    <row r="332" spans="3:3" x14ac:dyDescent="0.25">
      <c r="C332" s="2"/>
    </row>
    <row r="333" spans="3:3" x14ac:dyDescent="0.25">
      <c r="C333" s="2"/>
    </row>
    <row r="334" spans="3:3" x14ac:dyDescent="0.25">
      <c r="C334" s="2"/>
    </row>
    <row r="335" spans="3:3" x14ac:dyDescent="0.25">
      <c r="C335" s="2"/>
    </row>
    <row r="336" spans="3:3" x14ac:dyDescent="0.25">
      <c r="C336" s="2"/>
    </row>
    <row r="337" spans="3:3" x14ac:dyDescent="0.25">
      <c r="C337" s="2"/>
    </row>
    <row r="338" spans="3:3" x14ac:dyDescent="0.25">
      <c r="C338" s="2"/>
    </row>
    <row r="339" spans="3:3" x14ac:dyDescent="0.25">
      <c r="C339" s="2"/>
    </row>
    <row r="340" spans="3:3" x14ac:dyDescent="0.25">
      <c r="C340" s="2"/>
    </row>
    <row r="341" spans="3:3" x14ac:dyDescent="0.25">
      <c r="C341" s="2"/>
    </row>
    <row r="342" spans="3:3" x14ac:dyDescent="0.25">
      <c r="C342" s="2"/>
    </row>
    <row r="343" spans="3:3" x14ac:dyDescent="0.25">
      <c r="C343" s="2"/>
    </row>
    <row r="344" spans="3:3" x14ac:dyDescent="0.25">
      <c r="C344" s="2"/>
    </row>
    <row r="345" spans="3:3" x14ac:dyDescent="0.25">
      <c r="C345" s="2"/>
    </row>
    <row r="346" spans="3:3" x14ac:dyDescent="0.25">
      <c r="C346" s="2"/>
    </row>
    <row r="347" spans="3:3" x14ac:dyDescent="0.25">
      <c r="C347" s="2"/>
    </row>
    <row r="348" spans="3:3" x14ac:dyDescent="0.25">
      <c r="C348" s="2"/>
    </row>
    <row r="349" spans="3:3" x14ac:dyDescent="0.25">
      <c r="C349" s="2"/>
    </row>
    <row r="350" spans="3:3" x14ac:dyDescent="0.25">
      <c r="C350" s="2"/>
    </row>
    <row r="351" spans="3:3" x14ac:dyDescent="0.25">
      <c r="C351" s="2"/>
    </row>
    <row r="352" spans="3:3" x14ac:dyDescent="0.25">
      <c r="C352" s="2"/>
    </row>
    <row r="353" spans="3:3" x14ac:dyDescent="0.25">
      <c r="C353" s="2"/>
    </row>
    <row r="354" spans="3:3" x14ac:dyDescent="0.25">
      <c r="C354" s="2"/>
    </row>
    <row r="355" spans="3:3" x14ac:dyDescent="0.25">
      <c r="C355" s="2"/>
    </row>
    <row r="356" spans="3:3" x14ac:dyDescent="0.25">
      <c r="C356" s="2"/>
    </row>
    <row r="357" spans="3:3" x14ac:dyDescent="0.25">
      <c r="C357" s="2"/>
    </row>
    <row r="358" spans="3:3" x14ac:dyDescent="0.25">
      <c r="C358" s="2"/>
    </row>
    <row r="359" spans="3:3" x14ac:dyDescent="0.25">
      <c r="C359" s="2"/>
    </row>
    <row r="360" spans="3:3" x14ac:dyDescent="0.25">
      <c r="C360" s="2"/>
    </row>
    <row r="361" spans="3:3" x14ac:dyDescent="0.25">
      <c r="C361" s="2"/>
    </row>
    <row r="362" spans="3:3" x14ac:dyDescent="0.25">
      <c r="C362" s="2"/>
    </row>
    <row r="363" spans="3:3" x14ac:dyDescent="0.25">
      <c r="C363" s="2"/>
    </row>
    <row r="364" spans="3:3" x14ac:dyDescent="0.25">
      <c r="C364" s="2"/>
    </row>
    <row r="365" spans="3:3" x14ac:dyDescent="0.25">
      <c r="C365" s="2"/>
    </row>
    <row r="366" spans="3:3" x14ac:dyDescent="0.25">
      <c r="C366" s="2"/>
    </row>
    <row r="367" spans="3:3" x14ac:dyDescent="0.25">
      <c r="C367" s="2"/>
    </row>
    <row r="368" spans="3:3" x14ac:dyDescent="0.25">
      <c r="C368" s="2"/>
    </row>
    <row r="369" spans="3:3" x14ac:dyDescent="0.25">
      <c r="C369" s="2"/>
    </row>
    <row r="370" spans="3:3" x14ac:dyDescent="0.25">
      <c r="C370" s="2"/>
    </row>
    <row r="371" spans="3:3" x14ac:dyDescent="0.25">
      <c r="C371" s="2"/>
    </row>
    <row r="372" spans="3:3" x14ac:dyDescent="0.25">
      <c r="C372" s="2"/>
    </row>
    <row r="373" spans="3:3" x14ac:dyDescent="0.25">
      <c r="C373" s="2"/>
    </row>
    <row r="374" spans="3:3" x14ac:dyDescent="0.25">
      <c r="C374" s="2"/>
    </row>
    <row r="375" spans="3:3" x14ac:dyDescent="0.25">
      <c r="C375" s="2"/>
    </row>
    <row r="376" spans="3:3" x14ac:dyDescent="0.25">
      <c r="C376" s="2"/>
    </row>
    <row r="377" spans="3:3" x14ac:dyDescent="0.25">
      <c r="C377" s="2"/>
    </row>
    <row r="378" spans="3:3" x14ac:dyDescent="0.25">
      <c r="C378" s="2"/>
    </row>
    <row r="379" spans="3:3" x14ac:dyDescent="0.25">
      <c r="C379" s="2"/>
    </row>
    <row r="380" spans="3:3" x14ac:dyDescent="0.25">
      <c r="C380" s="2"/>
    </row>
    <row r="381" spans="3:3" x14ac:dyDescent="0.25">
      <c r="C381" s="2"/>
    </row>
    <row r="382" spans="3:3" x14ac:dyDescent="0.25">
      <c r="C382" s="2"/>
    </row>
    <row r="383" spans="3:3" x14ac:dyDescent="0.25">
      <c r="C383" s="2"/>
    </row>
    <row r="384" spans="3:3" x14ac:dyDescent="0.25">
      <c r="C384" s="2"/>
    </row>
    <row r="385" spans="3:3" x14ac:dyDescent="0.25">
      <c r="C385" s="2"/>
    </row>
    <row r="386" spans="3:3" x14ac:dyDescent="0.25">
      <c r="C386" s="2"/>
    </row>
    <row r="387" spans="3:3" x14ac:dyDescent="0.25">
      <c r="C387" s="2"/>
    </row>
    <row r="388" spans="3:3" x14ac:dyDescent="0.25">
      <c r="C388" s="2"/>
    </row>
    <row r="389" spans="3:3" x14ac:dyDescent="0.25">
      <c r="C389" s="2"/>
    </row>
    <row r="390" spans="3:3" x14ac:dyDescent="0.25">
      <c r="C390" s="2"/>
    </row>
    <row r="391" spans="3:3" x14ac:dyDescent="0.25">
      <c r="C391" s="2"/>
    </row>
    <row r="392" spans="3:3" x14ac:dyDescent="0.25">
      <c r="C392" s="2"/>
    </row>
    <row r="393" spans="3:3" x14ac:dyDescent="0.25">
      <c r="C393" s="2"/>
    </row>
    <row r="394" spans="3:3" x14ac:dyDescent="0.25">
      <c r="C394" s="2"/>
    </row>
    <row r="395" spans="3:3" x14ac:dyDescent="0.25">
      <c r="C395" s="2"/>
    </row>
    <row r="396" spans="3:3" x14ac:dyDescent="0.25">
      <c r="C396" s="2"/>
    </row>
    <row r="397" spans="3:3" x14ac:dyDescent="0.25">
      <c r="C397" s="2"/>
    </row>
    <row r="398" spans="3:3" x14ac:dyDescent="0.25">
      <c r="C398" s="2"/>
    </row>
    <row r="399" spans="3:3" x14ac:dyDescent="0.25">
      <c r="C399" s="2"/>
    </row>
    <row r="400" spans="3:3" x14ac:dyDescent="0.25">
      <c r="C400" s="2"/>
    </row>
    <row r="401" spans="3:3" x14ac:dyDescent="0.25">
      <c r="C401" s="2"/>
    </row>
    <row r="402" spans="3:3" x14ac:dyDescent="0.25">
      <c r="C402" s="2"/>
    </row>
    <row r="403" spans="3:3" x14ac:dyDescent="0.25">
      <c r="C403" s="2"/>
    </row>
    <row r="404" spans="3:3" x14ac:dyDescent="0.25">
      <c r="C404" s="2"/>
    </row>
    <row r="405" spans="3:3" x14ac:dyDescent="0.25">
      <c r="C405" s="2"/>
    </row>
    <row r="406" spans="3:3" x14ac:dyDescent="0.25">
      <c r="C406" s="2"/>
    </row>
    <row r="407" spans="3:3" x14ac:dyDescent="0.25">
      <c r="C407" s="2"/>
    </row>
    <row r="408" spans="3:3" x14ac:dyDescent="0.25">
      <c r="C408" s="2"/>
    </row>
    <row r="409" spans="3:3" x14ac:dyDescent="0.25">
      <c r="C409" s="2"/>
    </row>
    <row r="410" spans="3:3" x14ac:dyDescent="0.25">
      <c r="C410" s="2"/>
    </row>
    <row r="411" spans="3:3" x14ac:dyDescent="0.25">
      <c r="C411" s="2"/>
    </row>
    <row r="412" spans="3:3" x14ac:dyDescent="0.25">
      <c r="C412" s="2"/>
    </row>
    <row r="413" spans="3:3" x14ac:dyDescent="0.25">
      <c r="C413" s="2"/>
    </row>
    <row r="414" spans="3:3" x14ac:dyDescent="0.25">
      <c r="C414" s="2"/>
    </row>
    <row r="415" spans="3:3" x14ac:dyDescent="0.25">
      <c r="C415" s="2"/>
    </row>
    <row r="416" spans="3:3" x14ac:dyDescent="0.25">
      <c r="C416" s="2"/>
    </row>
    <row r="417" spans="3:3" x14ac:dyDescent="0.25">
      <c r="C417" s="2"/>
    </row>
    <row r="418" spans="3:3" x14ac:dyDescent="0.25">
      <c r="C418" s="2"/>
    </row>
    <row r="419" spans="3:3" x14ac:dyDescent="0.25">
      <c r="C419" s="2"/>
    </row>
    <row r="420" spans="3:3" x14ac:dyDescent="0.25">
      <c r="C420" s="2"/>
    </row>
    <row r="421" spans="3:3" x14ac:dyDescent="0.25">
      <c r="C421" s="2"/>
    </row>
    <row r="422" spans="3:3" x14ac:dyDescent="0.25">
      <c r="C422" s="2"/>
    </row>
    <row r="423" spans="3:3" x14ac:dyDescent="0.25">
      <c r="C423" s="2"/>
    </row>
    <row r="424" spans="3:3" x14ac:dyDescent="0.25">
      <c r="C424" s="2"/>
    </row>
    <row r="425" spans="3:3" x14ac:dyDescent="0.25">
      <c r="C425" s="2"/>
    </row>
    <row r="426" spans="3:3" x14ac:dyDescent="0.25">
      <c r="C426" s="2"/>
    </row>
    <row r="427" spans="3:3" x14ac:dyDescent="0.25">
      <c r="C427" s="2"/>
    </row>
    <row r="428" spans="3:3" x14ac:dyDescent="0.25">
      <c r="C428" s="2"/>
    </row>
    <row r="429" spans="3:3" x14ac:dyDescent="0.25">
      <c r="C429" s="2"/>
    </row>
    <row r="430" spans="3:3" x14ac:dyDescent="0.25">
      <c r="C430" s="2"/>
    </row>
    <row r="431" spans="3:3" x14ac:dyDescent="0.25">
      <c r="C431" s="2"/>
    </row>
    <row r="432" spans="3:3" x14ac:dyDescent="0.25">
      <c r="C432" s="2"/>
    </row>
    <row r="433" spans="3:3" x14ac:dyDescent="0.25">
      <c r="C433" s="2"/>
    </row>
    <row r="434" spans="3:3" x14ac:dyDescent="0.25">
      <c r="C434" s="2"/>
    </row>
    <row r="435" spans="3:3" x14ac:dyDescent="0.25">
      <c r="C435" s="2"/>
    </row>
    <row r="436" spans="3:3" x14ac:dyDescent="0.25">
      <c r="C436" s="2"/>
    </row>
    <row r="437" spans="3:3" x14ac:dyDescent="0.25">
      <c r="C437" s="2"/>
    </row>
    <row r="438" spans="3:3" x14ac:dyDescent="0.25">
      <c r="C438" s="2"/>
    </row>
    <row r="439" spans="3:3" x14ac:dyDescent="0.25">
      <c r="C439" s="2"/>
    </row>
    <row r="440" spans="3:3" x14ac:dyDescent="0.25">
      <c r="C440" s="2"/>
    </row>
    <row r="441" spans="3:3" x14ac:dyDescent="0.25">
      <c r="C441" s="2"/>
    </row>
    <row r="442" spans="3:3" x14ac:dyDescent="0.25">
      <c r="C442" s="2"/>
    </row>
    <row r="443" spans="3:3" x14ac:dyDescent="0.25">
      <c r="C443" s="2"/>
    </row>
    <row r="444" spans="3:3" x14ac:dyDescent="0.25">
      <c r="C444" s="2"/>
    </row>
    <row r="445" spans="3:3" x14ac:dyDescent="0.25">
      <c r="C445" s="2"/>
    </row>
    <row r="446" spans="3:3" x14ac:dyDescent="0.25">
      <c r="C446" s="2"/>
    </row>
    <row r="447" spans="3:3" x14ac:dyDescent="0.25">
      <c r="C447" s="2"/>
    </row>
    <row r="448" spans="3:3" x14ac:dyDescent="0.25">
      <c r="C448" s="2"/>
    </row>
    <row r="449" spans="3:3" x14ac:dyDescent="0.25">
      <c r="C449" s="2"/>
    </row>
    <row r="450" spans="3:3" x14ac:dyDescent="0.25">
      <c r="C450" s="2"/>
    </row>
    <row r="451" spans="3:3" x14ac:dyDescent="0.25">
      <c r="C451" s="2"/>
    </row>
    <row r="452" spans="3:3" x14ac:dyDescent="0.25">
      <c r="C452" s="2"/>
    </row>
    <row r="453" spans="3:3" x14ac:dyDescent="0.25">
      <c r="C453" s="2"/>
    </row>
    <row r="454" spans="3:3" x14ac:dyDescent="0.25">
      <c r="C454" s="2"/>
    </row>
    <row r="455" spans="3:3" x14ac:dyDescent="0.25">
      <c r="C455" s="2"/>
    </row>
    <row r="456" spans="3:3" x14ac:dyDescent="0.25">
      <c r="C456" s="2"/>
    </row>
    <row r="457" spans="3:3" x14ac:dyDescent="0.25">
      <c r="C457" s="2"/>
    </row>
    <row r="458" spans="3:3" x14ac:dyDescent="0.25">
      <c r="C458" s="2"/>
    </row>
    <row r="459" spans="3:3" x14ac:dyDescent="0.25">
      <c r="C459" s="2"/>
    </row>
    <row r="460" spans="3:3" x14ac:dyDescent="0.25">
      <c r="C460" s="2"/>
    </row>
    <row r="461" spans="3:3" x14ac:dyDescent="0.25">
      <c r="C461" s="2"/>
    </row>
    <row r="462" spans="3:3" x14ac:dyDescent="0.25">
      <c r="C462" s="2"/>
    </row>
    <row r="463" spans="3:3" x14ac:dyDescent="0.25">
      <c r="C463" s="2"/>
    </row>
    <row r="464" spans="3:3" x14ac:dyDescent="0.25">
      <c r="C464" s="2"/>
    </row>
    <row r="465" spans="3:3" x14ac:dyDescent="0.25">
      <c r="C465" s="2"/>
    </row>
    <row r="466" spans="3:3" x14ac:dyDescent="0.25">
      <c r="C466" s="2"/>
    </row>
    <row r="467" spans="3:3" x14ac:dyDescent="0.25">
      <c r="C467" s="2"/>
    </row>
    <row r="468" spans="3:3" x14ac:dyDescent="0.25">
      <c r="C468" s="2"/>
    </row>
    <row r="469" spans="3:3" x14ac:dyDescent="0.25">
      <c r="C469" s="2"/>
    </row>
    <row r="470" spans="3:3" x14ac:dyDescent="0.25">
      <c r="C470" s="2"/>
    </row>
    <row r="471" spans="3:3" x14ac:dyDescent="0.25">
      <c r="C471" s="2"/>
    </row>
    <row r="472" spans="3:3" x14ac:dyDescent="0.25">
      <c r="C472" s="2"/>
    </row>
    <row r="473" spans="3:3" x14ac:dyDescent="0.25">
      <c r="C473" s="2"/>
    </row>
    <row r="474" spans="3:3" x14ac:dyDescent="0.25">
      <c r="C474" s="2"/>
    </row>
    <row r="475" spans="3:3" x14ac:dyDescent="0.25">
      <c r="C475" s="2"/>
    </row>
    <row r="476" spans="3:3" x14ac:dyDescent="0.25">
      <c r="C476" s="2"/>
    </row>
    <row r="477" spans="3:3" x14ac:dyDescent="0.25">
      <c r="C477" s="2"/>
    </row>
    <row r="478" spans="3:3" x14ac:dyDescent="0.25">
      <c r="C478" s="2"/>
    </row>
    <row r="479" spans="3:3" x14ac:dyDescent="0.25">
      <c r="C479" s="2"/>
    </row>
    <row r="480" spans="3:3" x14ac:dyDescent="0.25">
      <c r="C480" s="2"/>
    </row>
    <row r="481" spans="3:3" x14ac:dyDescent="0.25">
      <c r="C481" s="2"/>
    </row>
    <row r="482" spans="3:3" x14ac:dyDescent="0.25">
      <c r="C482" s="2"/>
    </row>
    <row r="483" spans="3:3" x14ac:dyDescent="0.25">
      <c r="C483" s="2"/>
    </row>
    <row r="484" spans="3:3" x14ac:dyDescent="0.25">
      <c r="C484" s="2"/>
    </row>
    <row r="485" spans="3:3" x14ac:dyDescent="0.25">
      <c r="C485" s="2"/>
    </row>
    <row r="486" spans="3:3" x14ac:dyDescent="0.25">
      <c r="C486" s="2"/>
    </row>
    <row r="487" spans="3:3" x14ac:dyDescent="0.25">
      <c r="C487" s="2"/>
    </row>
    <row r="488" spans="3:3" x14ac:dyDescent="0.25">
      <c r="C488" s="2"/>
    </row>
    <row r="489" spans="3:3" x14ac:dyDescent="0.25">
      <c r="C489" s="2"/>
    </row>
    <row r="490" spans="3:3" x14ac:dyDescent="0.25">
      <c r="C490" s="2"/>
    </row>
    <row r="491" spans="3:3" x14ac:dyDescent="0.25">
      <c r="C491" s="2"/>
    </row>
    <row r="492" spans="3:3" x14ac:dyDescent="0.25">
      <c r="C492" s="2"/>
    </row>
    <row r="493" spans="3:3" x14ac:dyDescent="0.25">
      <c r="C493" s="2"/>
    </row>
    <row r="494" spans="3:3" x14ac:dyDescent="0.25">
      <c r="C494" s="2"/>
    </row>
    <row r="495" spans="3:3" x14ac:dyDescent="0.25">
      <c r="C495" s="2"/>
    </row>
    <row r="496" spans="3:3" x14ac:dyDescent="0.25">
      <c r="C496" s="2"/>
    </row>
    <row r="497" spans="3:3" x14ac:dyDescent="0.25">
      <c r="C497" s="2"/>
    </row>
    <row r="498" spans="3:3" x14ac:dyDescent="0.25">
      <c r="C498" s="2"/>
    </row>
    <row r="499" spans="3:3" x14ac:dyDescent="0.25">
      <c r="C499" s="2"/>
    </row>
    <row r="500" spans="3:3" x14ac:dyDescent="0.25">
      <c r="C500" s="2"/>
    </row>
    <row r="501" spans="3:3" x14ac:dyDescent="0.25">
      <c r="C501" s="2"/>
    </row>
    <row r="502" spans="3:3" x14ac:dyDescent="0.25">
      <c r="C502" s="2"/>
    </row>
    <row r="503" spans="3:3" x14ac:dyDescent="0.25">
      <c r="C503" s="2"/>
    </row>
    <row r="504" spans="3:3" x14ac:dyDescent="0.25">
      <c r="C504" s="2"/>
    </row>
    <row r="505" spans="3:3" x14ac:dyDescent="0.25">
      <c r="C505" s="2"/>
    </row>
    <row r="506" spans="3:3" x14ac:dyDescent="0.25">
      <c r="C506" s="2"/>
    </row>
    <row r="507" spans="3:3" x14ac:dyDescent="0.25">
      <c r="C507" s="2"/>
    </row>
    <row r="508" spans="3:3" x14ac:dyDescent="0.25">
      <c r="C508" s="2"/>
    </row>
    <row r="509" spans="3:3" x14ac:dyDescent="0.25">
      <c r="C509" s="2"/>
    </row>
    <row r="510" spans="3:3" x14ac:dyDescent="0.25">
      <c r="C510" s="2"/>
    </row>
    <row r="511" spans="3:3" x14ac:dyDescent="0.25">
      <c r="C511" s="2"/>
    </row>
    <row r="512" spans="3:3" x14ac:dyDescent="0.25">
      <c r="C512" s="2"/>
    </row>
    <row r="513" spans="3:3" x14ac:dyDescent="0.25">
      <c r="C513" s="2"/>
    </row>
    <row r="514" spans="3:3" x14ac:dyDescent="0.25">
      <c r="C514" s="2"/>
    </row>
    <row r="515" spans="3:3" x14ac:dyDescent="0.25">
      <c r="C515" s="2"/>
    </row>
    <row r="516" spans="3:3" x14ac:dyDescent="0.25">
      <c r="C516" s="2"/>
    </row>
    <row r="517" spans="3:3" x14ac:dyDescent="0.25">
      <c r="C517" s="2"/>
    </row>
    <row r="518" spans="3:3" x14ac:dyDescent="0.25">
      <c r="C518" s="2"/>
    </row>
    <row r="519" spans="3:3" x14ac:dyDescent="0.25">
      <c r="C519" s="2"/>
    </row>
    <row r="520" spans="3:3" x14ac:dyDescent="0.25">
      <c r="C520" s="2"/>
    </row>
    <row r="521" spans="3:3" x14ac:dyDescent="0.25">
      <c r="C521" s="2"/>
    </row>
    <row r="522" spans="3:3" x14ac:dyDescent="0.25">
      <c r="C522" s="2"/>
    </row>
    <row r="523" spans="3:3" x14ac:dyDescent="0.25">
      <c r="C523" s="2"/>
    </row>
    <row r="524" spans="3:3" x14ac:dyDescent="0.25">
      <c r="C524" s="2"/>
    </row>
    <row r="525" spans="3:3" x14ac:dyDescent="0.25">
      <c r="C525" s="2"/>
    </row>
    <row r="526" spans="3:3" x14ac:dyDescent="0.25">
      <c r="C526" s="2"/>
    </row>
    <row r="527" spans="3:3" x14ac:dyDescent="0.25">
      <c r="C527" s="2"/>
    </row>
    <row r="528" spans="3:3" x14ac:dyDescent="0.25">
      <c r="C528" s="2"/>
    </row>
    <row r="529" spans="3:3" x14ac:dyDescent="0.25">
      <c r="C529" s="2"/>
    </row>
    <row r="530" spans="3:3" x14ac:dyDescent="0.25">
      <c r="C530" s="2"/>
    </row>
    <row r="531" spans="3:3" x14ac:dyDescent="0.25">
      <c r="C531" s="2"/>
    </row>
    <row r="532" spans="3:3" x14ac:dyDescent="0.25">
      <c r="C532" s="2"/>
    </row>
    <row r="533" spans="3:3" x14ac:dyDescent="0.25">
      <c r="C533" s="2"/>
    </row>
    <row r="534" spans="3:3" x14ac:dyDescent="0.25">
      <c r="C534" s="2"/>
    </row>
    <row r="535" spans="3:3" x14ac:dyDescent="0.25">
      <c r="C535" s="2"/>
    </row>
    <row r="536" spans="3:3" x14ac:dyDescent="0.25">
      <c r="C536" s="2"/>
    </row>
    <row r="537" spans="3:3" x14ac:dyDescent="0.25">
      <c r="C537" s="2"/>
    </row>
    <row r="538" spans="3:3" x14ac:dyDescent="0.25">
      <c r="C538" s="2"/>
    </row>
    <row r="539" spans="3:3" x14ac:dyDescent="0.25">
      <c r="C539" s="2"/>
    </row>
    <row r="540" spans="3:3" x14ac:dyDescent="0.25">
      <c r="C540" s="2"/>
    </row>
    <row r="541" spans="3:3" x14ac:dyDescent="0.25">
      <c r="C541" s="2"/>
    </row>
    <row r="542" spans="3:3" x14ac:dyDescent="0.25">
      <c r="C542" s="2"/>
    </row>
    <row r="543" spans="3:3" x14ac:dyDescent="0.25">
      <c r="C543" s="2"/>
    </row>
    <row r="544" spans="3:3" x14ac:dyDescent="0.25">
      <c r="C544" s="2"/>
    </row>
    <row r="545" spans="3:3" x14ac:dyDescent="0.25">
      <c r="C545" s="2"/>
    </row>
    <row r="546" spans="3:3" x14ac:dyDescent="0.25">
      <c r="C546" s="2"/>
    </row>
    <row r="547" spans="3:3" x14ac:dyDescent="0.25">
      <c r="C547" s="2"/>
    </row>
    <row r="548" spans="3:3" x14ac:dyDescent="0.25">
      <c r="C548" s="2"/>
    </row>
    <row r="549" spans="3:3" x14ac:dyDescent="0.25">
      <c r="C549" s="2"/>
    </row>
    <row r="550" spans="3:3" x14ac:dyDescent="0.25">
      <c r="C550" s="2"/>
    </row>
    <row r="551" spans="3:3" x14ac:dyDescent="0.25">
      <c r="C551" s="2"/>
    </row>
    <row r="552" spans="3:3" x14ac:dyDescent="0.25">
      <c r="C552" s="2"/>
    </row>
    <row r="553" spans="3:3" x14ac:dyDescent="0.25">
      <c r="C553" s="2"/>
    </row>
    <row r="554" spans="3:3" x14ac:dyDescent="0.25">
      <c r="C554" s="2"/>
    </row>
    <row r="555" spans="3:3" x14ac:dyDescent="0.25">
      <c r="C555" s="2"/>
    </row>
    <row r="556" spans="3:3" x14ac:dyDescent="0.25">
      <c r="C556" s="2"/>
    </row>
    <row r="557" spans="3:3" x14ac:dyDescent="0.25">
      <c r="C557" s="2"/>
    </row>
    <row r="558" spans="3:3" x14ac:dyDescent="0.25">
      <c r="C558" s="2"/>
    </row>
    <row r="559" spans="3:3" x14ac:dyDescent="0.25">
      <c r="C559" s="2"/>
    </row>
    <row r="560" spans="3:3" x14ac:dyDescent="0.25">
      <c r="C560" s="2"/>
    </row>
    <row r="561" spans="3:3" x14ac:dyDescent="0.25">
      <c r="C561" s="2"/>
    </row>
    <row r="562" spans="3:3" x14ac:dyDescent="0.25">
      <c r="C562" s="2"/>
    </row>
    <row r="563" spans="3:3" x14ac:dyDescent="0.25">
      <c r="C563" s="2"/>
    </row>
    <row r="564" spans="3:3" x14ac:dyDescent="0.25">
      <c r="C564" s="2"/>
    </row>
    <row r="565" spans="3:3" x14ac:dyDescent="0.25">
      <c r="C565" s="2"/>
    </row>
    <row r="566" spans="3:3" x14ac:dyDescent="0.25">
      <c r="C566" s="2"/>
    </row>
    <row r="567" spans="3:3" x14ac:dyDescent="0.25">
      <c r="C567" s="2"/>
    </row>
    <row r="568" spans="3:3" x14ac:dyDescent="0.25">
      <c r="C568" s="2"/>
    </row>
    <row r="569" spans="3:3" x14ac:dyDescent="0.25">
      <c r="C569" s="2"/>
    </row>
    <row r="570" spans="3:3" x14ac:dyDescent="0.25">
      <c r="C570" s="2"/>
    </row>
    <row r="571" spans="3:3" x14ac:dyDescent="0.25">
      <c r="C571" s="2"/>
    </row>
    <row r="572" spans="3:3" x14ac:dyDescent="0.25">
      <c r="C572" s="2"/>
    </row>
    <row r="573" spans="3:3" x14ac:dyDescent="0.25">
      <c r="C573" s="2"/>
    </row>
    <row r="574" spans="3:3" x14ac:dyDescent="0.25">
      <c r="C574" s="2"/>
    </row>
    <row r="575" spans="3:3" x14ac:dyDescent="0.25">
      <c r="C575" s="2"/>
    </row>
    <row r="576" spans="3:3" x14ac:dyDescent="0.25">
      <c r="C576" s="2"/>
    </row>
    <row r="577" spans="3:3" x14ac:dyDescent="0.25">
      <c r="C577" s="2"/>
    </row>
    <row r="578" spans="3:3" x14ac:dyDescent="0.25">
      <c r="C578" s="2"/>
    </row>
    <row r="579" spans="3:3" x14ac:dyDescent="0.25">
      <c r="C579" s="2"/>
    </row>
    <row r="580" spans="3:3" x14ac:dyDescent="0.25">
      <c r="C580" s="2"/>
    </row>
    <row r="581" spans="3:3" x14ac:dyDescent="0.25">
      <c r="C581" s="2"/>
    </row>
    <row r="582" spans="3:3" x14ac:dyDescent="0.25">
      <c r="C582" s="2"/>
    </row>
    <row r="583" spans="3:3" x14ac:dyDescent="0.25">
      <c r="C583" s="2"/>
    </row>
    <row r="584" spans="3:3" x14ac:dyDescent="0.25">
      <c r="C584" s="2"/>
    </row>
    <row r="585" spans="3:3" x14ac:dyDescent="0.25">
      <c r="C585" s="2"/>
    </row>
    <row r="586" spans="3:3" x14ac:dyDescent="0.25">
      <c r="C586" s="2"/>
    </row>
    <row r="587" spans="3:3" x14ac:dyDescent="0.25">
      <c r="C587" s="2"/>
    </row>
    <row r="588" spans="3:3" x14ac:dyDescent="0.25">
      <c r="C588" s="2"/>
    </row>
    <row r="589" spans="3:3" x14ac:dyDescent="0.25">
      <c r="C589" s="2"/>
    </row>
    <row r="590" spans="3:3" x14ac:dyDescent="0.25">
      <c r="C590" s="2"/>
    </row>
    <row r="591" spans="3:3" x14ac:dyDescent="0.25">
      <c r="C591" s="2"/>
    </row>
    <row r="592" spans="3:3" x14ac:dyDescent="0.25">
      <c r="C592" s="2"/>
    </row>
    <row r="593" spans="3:3" x14ac:dyDescent="0.25">
      <c r="C593" s="2"/>
    </row>
    <row r="594" spans="3:3" x14ac:dyDescent="0.25">
      <c r="C594" s="2"/>
    </row>
    <row r="595" spans="3:3" x14ac:dyDescent="0.25">
      <c r="C595" s="2"/>
    </row>
    <row r="596" spans="3:3" x14ac:dyDescent="0.25">
      <c r="C596" s="2"/>
    </row>
    <row r="597" spans="3:3" x14ac:dyDescent="0.25">
      <c r="C597" s="2"/>
    </row>
    <row r="598" spans="3:3" x14ac:dyDescent="0.25">
      <c r="C598" s="2"/>
    </row>
    <row r="599" spans="3:3" x14ac:dyDescent="0.25">
      <c r="C599" s="2"/>
    </row>
    <row r="600" spans="3:3" x14ac:dyDescent="0.25">
      <c r="C600" s="2"/>
    </row>
    <row r="601" spans="3:3" x14ac:dyDescent="0.25">
      <c r="C601" s="2"/>
    </row>
    <row r="602" spans="3:3" x14ac:dyDescent="0.25">
      <c r="C602" s="2"/>
    </row>
    <row r="603" spans="3:3" x14ac:dyDescent="0.25">
      <c r="C603" s="2"/>
    </row>
    <row r="604" spans="3:3" x14ac:dyDescent="0.25">
      <c r="C604" s="2"/>
    </row>
    <row r="605" spans="3:3" x14ac:dyDescent="0.25">
      <c r="C605" s="2"/>
    </row>
    <row r="606" spans="3:3" x14ac:dyDescent="0.25">
      <c r="C606" s="2"/>
    </row>
    <row r="607" spans="3:3" x14ac:dyDescent="0.25">
      <c r="C607" s="2"/>
    </row>
    <row r="608" spans="3:3" x14ac:dyDescent="0.25">
      <c r="C608" s="2"/>
    </row>
    <row r="609" spans="3:3" x14ac:dyDescent="0.25">
      <c r="C609" s="2"/>
    </row>
    <row r="610" spans="3:3" x14ac:dyDescent="0.25">
      <c r="C610" s="2"/>
    </row>
    <row r="611" spans="3:3" x14ac:dyDescent="0.25">
      <c r="C611" s="2"/>
    </row>
    <row r="612" spans="3:3" x14ac:dyDescent="0.25">
      <c r="C612" s="2"/>
    </row>
    <row r="613" spans="3:3" x14ac:dyDescent="0.25">
      <c r="C613" s="2"/>
    </row>
    <row r="614" spans="3:3" x14ac:dyDescent="0.25">
      <c r="C614" s="2"/>
    </row>
    <row r="615" spans="3:3" x14ac:dyDescent="0.25">
      <c r="C615" s="2"/>
    </row>
    <row r="616" spans="3:3" x14ac:dyDescent="0.25">
      <c r="C616" s="2"/>
    </row>
    <row r="617" spans="3:3" x14ac:dyDescent="0.25">
      <c r="C617" s="2"/>
    </row>
    <row r="618" spans="3:3" x14ac:dyDescent="0.25">
      <c r="C618" s="2"/>
    </row>
    <row r="619" spans="3:3" x14ac:dyDescent="0.25">
      <c r="C619" s="2"/>
    </row>
    <row r="620" spans="3:3" x14ac:dyDescent="0.25">
      <c r="C620" s="2"/>
    </row>
    <row r="621" spans="3:3" x14ac:dyDescent="0.25">
      <c r="C621" s="2"/>
    </row>
    <row r="622" spans="3:3" x14ac:dyDescent="0.25">
      <c r="C622" s="2"/>
    </row>
    <row r="623" spans="3:3" x14ac:dyDescent="0.25">
      <c r="C623" s="2"/>
    </row>
    <row r="624" spans="3:3" x14ac:dyDescent="0.25">
      <c r="C624" s="2"/>
    </row>
    <row r="625" spans="3:3" x14ac:dyDescent="0.25">
      <c r="C625" s="2"/>
    </row>
    <row r="626" spans="3:3" x14ac:dyDescent="0.25">
      <c r="C626" s="2"/>
    </row>
    <row r="627" spans="3:3" x14ac:dyDescent="0.25">
      <c r="C627" s="2"/>
    </row>
    <row r="628" spans="3:3" x14ac:dyDescent="0.25">
      <c r="C628" s="2"/>
    </row>
    <row r="629" spans="3:3" x14ac:dyDescent="0.25">
      <c r="C629" s="2"/>
    </row>
    <row r="630" spans="3:3" x14ac:dyDescent="0.25">
      <c r="C630" s="2"/>
    </row>
    <row r="631" spans="3:3" x14ac:dyDescent="0.25">
      <c r="C631" s="2"/>
    </row>
    <row r="632" spans="3:3" x14ac:dyDescent="0.25">
      <c r="C632" s="2"/>
    </row>
    <row r="633" spans="3:3" x14ac:dyDescent="0.25">
      <c r="C633" s="2"/>
    </row>
    <row r="634" spans="3:3" x14ac:dyDescent="0.25">
      <c r="C634" s="2"/>
    </row>
    <row r="635" spans="3:3" x14ac:dyDescent="0.25">
      <c r="C635" s="2"/>
    </row>
    <row r="636" spans="3:3" x14ac:dyDescent="0.25">
      <c r="C636" s="2"/>
    </row>
    <row r="637" spans="3:3" x14ac:dyDescent="0.25">
      <c r="C637" s="2"/>
    </row>
    <row r="638" spans="3:3" x14ac:dyDescent="0.25">
      <c r="C638" s="2"/>
    </row>
    <row r="639" spans="3:3" x14ac:dyDescent="0.25">
      <c r="C639" s="2"/>
    </row>
    <row r="640" spans="3:3" x14ac:dyDescent="0.25">
      <c r="C640" s="2"/>
    </row>
    <row r="641" spans="3:3" x14ac:dyDescent="0.25">
      <c r="C641" s="2"/>
    </row>
    <row r="642" spans="3:3" x14ac:dyDescent="0.25">
      <c r="C642" s="2"/>
    </row>
    <row r="643" spans="3:3" x14ac:dyDescent="0.25">
      <c r="C643" s="2"/>
    </row>
    <row r="644" spans="3:3" x14ac:dyDescent="0.25">
      <c r="C644" s="2"/>
    </row>
    <row r="645" spans="3:3" x14ac:dyDescent="0.25">
      <c r="C645" s="2"/>
    </row>
    <row r="646" spans="3:3" x14ac:dyDescent="0.25">
      <c r="C646" s="2"/>
    </row>
    <row r="647" spans="3:3" x14ac:dyDescent="0.25">
      <c r="C647" s="2"/>
    </row>
    <row r="648" spans="3:3" x14ac:dyDescent="0.25">
      <c r="C648" s="2"/>
    </row>
    <row r="649" spans="3:3" x14ac:dyDescent="0.25">
      <c r="C649" s="2"/>
    </row>
    <row r="650" spans="3:3" x14ac:dyDescent="0.25">
      <c r="C650" s="2"/>
    </row>
    <row r="651" spans="3:3" x14ac:dyDescent="0.25">
      <c r="C651" s="2"/>
    </row>
    <row r="652" spans="3:3" x14ac:dyDescent="0.25">
      <c r="C652" s="2"/>
    </row>
    <row r="653" spans="3:3" x14ac:dyDescent="0.25">
      <c r="C653" s="2"/>
    </row>
    <row r="654" spans="3:3" x14ac:dyDescent="0.25">
      <c r="C654" s="2"/>
    </row>
    <row r="655" spans="3:3" x14ac:dyDescent="0.25">
      <c r="C655" s="2"/>
    </row>
    <row r="656" spans="3:3" x14ac:dyDescent="0.25">
      <c r="C656" s="2"/>
    </row>
    <row r="657" spans="3:3" x14ac:dyDescent="0.25">
      <c r="C657" s="2"/>
    </row>
    <row r="658" spans="3:3" x14ac:dyDescent="0.25">
      <c r="C658" s="2"/>
    </row>
    <row r="659" spans="3:3" x14ac:dyDescent="0.25">
      <c r="C659" s="2"/>
    </row>
    <row r="660" spans="3:3" x14ac:dyDescent="0.25">
      <c r="C660" s="2"/>
    </row>
    <row r="661" spans="3:3" x14ac:dyDescent="0.25">
      <c r="C661" s="2"/>
    </row>
    <row r="662" spans="3:3" x14ac:dyDescent="0.25">
      <c r="C662" s="2"/>
    </row>
    <row r="663" spans="3:3" x14ac:dyDescent="0.25">
      <c r="C663" s="2"/>
    </row>
    <row r="664" spans="3:3" x14ac:dyDescent="0.25">
      <c r="C664" s="2"/>
    </row>
    <row r="665" spans="3:3" x14ac:dyDescent="0.25">
      <c r="C665" s="2"/>
    </row>
    <row r="666" spans="3:3" x14ac:dyDescent="0.25">
      <c r="C666" s="2"/>
    </row>
    <row r="667" spans="3:3" x14ac:dyDescent="0.25">
      <c r="C667" s="2"/>
    </row>
    <row r="668" spans="3:3" x14ac:dyDescent="0.25">
      <c r="C668" s="2"/>
    </row>
    <row r="669" spans="3:3" x14ac:dyDescent="0.25">
      <c r="C669" s="2"/>
    </row>
    <row r="670" spans="3:3" x14ac:dyDescent="0.25">
      <c r="C670" s="2"/>
    </row>
    <row r="671" spans="3:3" x14ac:dyDescent="0.25">
      <c r="C671" s="2"/>
    </row>
    <row r="672" spans="3:3" x14ac:dyDescent="0.25">
      <c r="C672" s="2"/>
    </row>
    <row r="673" spans="3:3" x14ac:dyDescent="0.25">
      <c r="C673" s="2"/>
    </row>
    <row r="674" spans="3:3" x14ac:dyDescent="0.25">
      <c r="C674" s="2"/>
    </row>
    <row r="675" spans="3:3" x14ac:dyDescent="0.25">
      <c r="C675" s="2"/>
    </row>
    <row r="676" spans="3:3" x14ac:dyDescent="0.25">
      <c r="C676" s="2"/>
    </row>
    <row r="677" spans="3:3" x14ac:dyDescent="0.25">
      <c r="C677" s="2"/>
    </row>
    <row r="678" spans="3:3" x14ac:dyDescent="0.25">
      <c r="C678" s="2"/>
    </row>
    <row r="679" spans="3:3" x14ac:dyDescent="0.25">
      <c r="C679" s="2"/>
    </row>
    <row r="680" spans="3:3" x14ac:dyDescent="0.25">
      <c r="C680" s="2"/>
    </row>
    <row r="681" spans="3:3" x14ac:dyDescent="0.25">
      <c r="C681" s="2"/>
    </row>
    <row r="682" spans="3:3" x14ac:dyDescent="0.25">
      <c r="C682" s="2"/>
    </row>
    <row r="683" spans="3:3" x14ac:dyDescent="0.25">
      <c r="C683" s="2"/>
    </row>
    <row r="684" spans="3:3" x14ac:dyDescent="0.25">
      <c r="C684" s="2"/>
    </row>
    <row r="685" spans="3:3" x14ac:dyDescent="0.25">
      <c r="C685" s="2"/>
    </row>
    <row r="686" spans="3:3" x14ac:dyDescent="0.25">
      <c r="C686" s="2"/>
    </row>
    <row r="687" spans="3:3" x14ac:dyDescent="0.25">
      <c r="C687" s="2"/>
    </row>
    <row r="688" spans="3:3" x14ac:dyDescent="0.25">
      <c r="C688" s="2"/>
    </row>
    <row r="689" spans="3:3" x14ac:dyDescent="0.25">
      <c r="C689" s="2"/>
    </row>
    <row r="690" spans="3:3" x14ac:dyDescent="0.25">
      <c r="C690" s="2"/>
    </row>
    <row r="691" spans="3:3" x14ac:dyDescent="0.25">
      <c r="C691" s="2"/>
    </row>
    <row r="692" spans="3:3" x14ac:dyDescent="0.25">
      <c r="C692" s="2"/>
    </row>
    <row r="693" spans="3:3" x14ac:dyDescent="0.25">
      <c r="C693" s="2"/>
    </row>
    <row r="694" spans="3:3" x14ac:dyDescent="0.25">
      <c r="C694" s="2"/>
    </row>
    <row r="695" spans="3:3" x14ac:dyDescent="0.25">
      <c r="C695" s="2"/>
    </row>
    <row r="696" spans="3:3" x14ac:dyDescent="0.25">
      <c r="C696" s="2"/>
    </row>
    <row r="697" spans="3:3" x14ac:dyDescent="0.25">
      <c r="C697" s="2"/>
    </row>
    <row r="698" spans="3:3" x14ac:dyDescent="0.25">
      <c r="C698" s="2"/>
    </row>
    <row r="699" spans="3:3" x14ac:dyDescent="0.25">
      <c r="C699" s="2"/>
    </row>
    <row r="700" spans="3:3" x14ac:dyDescent="0.25">
      <c r="C700" s="2"/>
    </row>
    <row r="701" spans="3:3" x14ac:dyDescent="0.25">
      <c r="C701" s="2"/>
    </row>
    <row r="702" spans="3:3" x14ac:dyDescent="0.25">
      <c r="C702" s="2"/>
    </row>
    <row r="703" spans="3:3" x14ac:dyDescent="0.25">
      <c r="C703" s="2"/>
    </row>
    <row r="704" spans="3:3" x14ac:dyDescent="0.25">
      <c r="C704" s="2"/>
    </row>
    <row r="705" spans="3:3" x14ac:dyDescent="0.25">
      <c r="C705" s="2"/>
    </row>
    <row r="706" spans="3:3" x14ac:dyDescent="0.25">
      <c r="C706" s="2"/>
    </row>
    <row r="707" spans="3:3" x14ac:dyDescent="0.25">
      <c r="C707" s="2"/>
    </row>
    <row r="708" spans="3:3" x14ac:dyDescent="0.25">
      <c r="C708" s="2"/>
    </row>
    <row r="709" spans="3:3" x14ac:dyDescent="0.25">
      <c r="C709" s="2"/>
    </row>
    <row r="710" spans="3:3" x14ac:dyDescent="0.25">
      <c r="C710" s="2"/>
    </row>
    <row r="711" spans="3:3" x14ac:dyDescent="0.25">
      <c r="C711" s="2"/>
    </row>
    <row r="712" spans="3:3" x14ac:dyDescent="0.25">
      <c r="C712" s="2"/>
    </row>
    <row r="713" spans="3:3" x14ac:dyDescent="0.25">
      <c r="C713" s="2"/>
    </row>
    <row r="714" spans="3:3" x14ac:dyDescent="0.25">
      <c r="C714" s="2"/>
    </row>
    <row r="715" spans="3:3" x14ac:dyDescent="0.25">
      <c r="C715" s="2"/>
    </row>
    <row r="716" spans="3:3" x14ac:dyDescent="0.25">
      <c r="C716" s="2"/>
    </row>
    <row r="717" spans="3:3" x14ac:dyDescent="0.25">
      <c r="C717" s="2"/>
    </row>
    <row r="718" spans="3:3" x14ac:dyDescent="0.25">
      <c r="C718" s="2"/>
    </row>
    <row r="719" spans="3:3" x14ac:dyDescent="0.25">
      <c r="C719" s="2"/>
    </row>
    <row r="720" spans="3:3" x14ac:dyDescent="0.25">
      <c r="C720" s="2"/>
    </row>
    <row r="721" spans="3:3" x14ac:dyDescent="0.25">
      <c r="C721" s="2"/>
    </row>
    <row r="722" spans="3:3" x14ac:dyDescent="0.25">
      <c r="C722" s="2"/>
    </row>
    <row r="723" spans="3:3" x14ac:dyDescent="0.25">
      <c r="C723" s="2"/>
    </row>
    <row r="724" spans="3:3" x14ac:dyDescent="0.25">
      <c r="C724" s="2"/>
    </row>
    <row r="725" spans="3:3" x14ac:dyDescent="0.25">
      <c r="C725" s="2"/>
    </row>
    <row r="726" spans="3:3" x14ac:dyDescent="0.25">
      <c r="C726" s="2"/>
    </row>
    <row r="727" spans="3:3" x14ac:dyDescent="0.25">
      <c r="C727" s="2"/>
    </row>
    <row r="728" spans="3:3" x14ac:dyDescent="0.25">
      <c r="C728" s="2"/>
    </row>
    <row r="729" spans="3:3" x14ac:dyDescent="0.25">
      <c r="C729" s="2"/>
    </row>
    <row r="730" spans="3:3" x14ac:dyDescent="0.25">
      <c r="C730" s="2"/>
    </row>
    <row r="731" spans="3:3" x14ac:dyDescent="0.25">
      <c r="C731" s="2"/>
    </row>
    <row r="732" spans="3:3" x14ac:dyDescent="0.25">
      <c r="C732" s="2"/>
    </row>
    <row r="733" spans="3:3" x14ac:dyDescent="0.25">
      <c r="C733" s="2"/>
    </row>
    <row r="734" spans="3:3" x14ac:dyDescent="0.25">
      <c r="C734" s="2"/>
    </row>
    <row r="735" spans="3:3" x14ac:dyDescent="0.25">
      <c r="C735" s="2"/>
    </row>
    <row r="736" spans="3:3" x14ac:dyDescent="0.25">
      <c r="C736" s="2"/>
    </row>
    <row r="737" spans="3:3" x14ac:dyDescent="0.25">
      <c r="C737" s="2"/>
    </row>
    <row r="738" spans="3:3" x14ac:dyDescent="0.25">
      <c r="C738" s="2"/>
    </row>
    <row r="739" spans="3:3" x14ac:dyDescent="0.25">
      <c r="C739" s="2"/>
    </row>
    <row r="740" spans="3:3" x14ac:dyDescent="0.25">
      <c r="C740" s="2"/>
    </row>
    <row r="741" spans="3:3" x14ac:dyDescent="0.25">
      <c r="C741" s="2"/>
    </row>
    <row r="742" spans="3:3" x14ac:dyDescent="0.25">
      <c r="C742" s="2"/>
    </row>
    <row r="743" spans="3:3" x14ac:dyDescent="0.25">
      <c r="C743" s="2"/>
    </row>
    <row r="744" spans="3:3" x14ac:dyDescent="0.25">
      <c r="C744" s="2"/>
    </row>
    <row r="745" spans="3:3" x14ac:dyDescent="0.25">
      <c r="C745" s="2"/>
    </row>
    <row r="746" spans="3:3" x14ac:dyDescent="0.25">
      <c r="C746" s="2"/>
    </row>
    <row r="747" spans="3:3" x14ac:dyDescent="0.25">
      <c r="C747" s="2"/>
    </row>
    <row r="748" spans="3:3" x14ac:dyDescent="0.25">
      <c r="C748" s="2"/>
    </row>
    <row r="749" spans="3:3" x14ac:dyDescent="0.25">
      <c r="C749" s="2"/>
    </row>
    <row r="750" spans="3:3" x14ac:dyDescent="0.25">
      <c r="C750" s="2"/>
    </row>
    <row r="751" spans="3:3" x14ac:dyDescent="0.25">
      <c r="C751" s="2"/>
    </row>
    <row r="752" spans="3:3" x14ac:dyDescent="0.25">
      <c r="C752" s="2"/>
    </row>
    <row r="753" spans="3:3" x14ac:dyDescent="0.25">
      <c r="C753" s="2"/>
    </row>
    <row r="754" spans="3:3" x14ac:dyDescent="0.25">
      <c r="C754" s="2"/>
    </row>
    <row r="755" spans="3:3" x14ac:dyDescent="0.25">
      <c r="C755" s="2"/>
    </row>
    <row r="756" spans="3:3" x14ac:dyDescent="0.25">
      <c r="C756" s="2"/>
    </row>
    <row r="757" spans="3:3" x14ac:dyDescent="0.25">
      <c r="C757" s="2"/>
    </row>
    <row r="758" spans="3:3" x14ac:dyDescent="0.25">
      <c r="C758" s="2"/>
    </row>
    <row r="759" spans="3:3" x14ac:dyDescent="0.25">
      <c r="C759" s="2"/>
    </row>
    <row r="760" spans="3:3" x14ac:dyDescent="0.25">
      <c r="C760" s="2"/>
    </row>
    <row r="761" spans="3:3" x14ac:dyDescent="0.25">
      <c r="C761" s="2"/>
    </row>
    <row r="762" spans="3:3" x14ac:dyDescent="0.25">
      <c r="C762" s="2"/>
    </row>
    <row r="763" spans="3:3" x14ac:dyDescent="0.25">
      <c r="C763" s="2"/>
    </row>
    <row r="764" spans="3:3" x14ac:dyDescent="0.25">
      <c r="C764" s="2"/>
    </row>
    <row r="765" spans="3:3" x14ac:dyDescent="0.25">
      <c r="C765" s="2"/>
    </row>
    <row r="766" spans="3:3" x14ac:dyDescent="0.25">
      <c r="C766" s="2"/>
    </row>
    <row r="767" spans="3:3" x14ac:dyDescent="0.25">
      <c r="C767" s="2"/>
    </row>
    <row r="768" spans="3:3" x14ac:dyDescent="0.25">
      <c r="C768" s="2"/>
    </row>
    <row r="769" spans="3:3" x14ac:dyDescent="0.25">
      <c r="C769" s="2"/>
    </row>
    <row r="770" spans="3:3" x14ac:dyDescent="0.25">
      <c r="C770" s="2"/>
    </row>
    <row r="771" spans="3:3" x14ac:dyDescent="0.25">
      <c r="C771" s="2"/>
    </row>
    <row r="772" spans="3:3" x14ac:dyDescent="0.25">
      <c r="C772" s="2"/>
    </row>
    <row r="773" spans="3:3" x14ac:dyDescent="0.25">
      <c r="C773" s="2"/>
    </row>
    <row r="774" spans="3:3" x14ac:dyDescent="0.25">
      <c r="C774" s="2"/>
    </row>
    <row r="775" spans="3:3" x14ac:dyDescent="0.25">
      <c r="C775" s="2"/>
    </row>
    <row r="776" spans="3:3" x14ac:dyDescent="0.25">
      <c r="C776" s="2"/>
    </row>
    <row r="777" spans="3:3" x14ac:dyDescent="0.25">
      <c r="C777" s="2"/>
    </row>
    <row r="778" spans="3:3" x14ac:dyDescent="0.25">
      <c r="C778" s="2"/>
    </row>
    <row r="779" spans="3:3" x14ac:dyDescent="0.25">
      <c r="C779" s="2"/>
    </row>
    <row r="780" spans="3:3" x14ac:dyDescent="0.25">
      <c r="C780" s="2"/>
    </row>
    <row r="781" spans="3:3" x14ac:dyDescent="0.25">
      <c r="C781" s="2"/>
    </row>
    <row r="782" spans="3:3" x14ac:dyDescent="0.25">
      <c r="C782" s="2"/>
    </row>
    <row r="783" spans="3:3" x14ac:dyDescent="0.25">
      <c r="C783" s="2"/>
    </row>
    <row r="784" spans="3:3" x14ac:dyDescent="0.25">
      <c r="C784" s="2"/>
    </row>
    <row r="785" spans="3:3" x14ac:dyDescent="0.25">
      <c r="C785" s="2"/>
    </row>
    <row r="786" spans="3:3" x14ac:dyDescent="0.25">
      <c r="C786" s="2"/>
    </row>
    <row r="787" spans="3:3" x14ac:dyDescent="0.25">
      <c r="C787" s="2"/>
    </row>
    <row r="788" spans="3:3" x14ac:dyDescent="0.25">
      <c r="C788" s="2"/>
    </row>
    <row r="789" spans="3:3" x14ac:dyDescent="0.25">
      <c r="C789" s="2"/>
    </row>
    <row r="790" spans="3:3" x14ac:dyDescent="0.25">
      <c r="C790" s="2"/>
    </row>
    <row r="791" spans="3:3" x14ac:dyDescent="0.25">
      <c r="C791" s="2"/>
    </row>
    <row r="792" spans="3:3" x14ac:dyDescent="0.25">
      <c r="C792" s="2"/>
    </row>
    <row r="793" spans="3:3" x14ac:dyDescent="0.25">
      <c r="C793" s="2"/>
    </row>
    <row r="794" spans="3:3" x14ac:dyDescent="0.25">
      <c r="C794" s="2"/>
    </row>
    <row r="795" spans="3:3" x14ac:dyDescent="0.25">
      <c r="C795" s="2"/>
    </row>
    <row r="796" spans="3:3" x14ac:dyDescent="0.25">
      <c r="C796" s="2"/>
    </row>
    <row r="797" spans="3:3" x14ac:dyDescent="0.25">
      <c r="C797" s="2"/>
    </row>
    <row r="798" spans="3:3" x14ac:dyDescent="0.25">
      <c r="C798" s="2"/>
    </row>
    <row r="799" spans="3:3" x14ac:dyDescent="0.25">
      <c r="C799" s="2"/>
    </row>
    <row r="800" spans="3:3" x14ac:dyDescent="0.25">
      <c r="C800" s="2"/>
    </row>
    <row r="801" spans="3:3" x14ac:dyDescent="0.25">
      <c r="C801" s="2"/>
    </row>
    <row r="802" spans="3:3" x14ac:dyDescent="0.25">
      <c r="C802" s="2"/>
    </row>
    <row r="803" spans="3:3" x14ac:dyDescent="0.25">
      <c r="C803" s="2"/>
    </row>
    <row r="804" spans="3:3" x14ac:dyDescent="0.25">
      <c r="C804" s="2"/>
    </row>
    <row r="805" spans="3:3" x14ac:dyDescent="0.25">
      <c r="C805" s="2"/>
    </row>
    <row r="806" spans="3:3" x14ac:dyDescent="0.25">
      <c r="C806" s="2"/>
    </row>
    <row r="807" spans="3:3" x14ac:dyDescent="0.25">
      <c r="C807" s="2"/>
    </row>
    <row r="808" spans="3:3" x14ac:dyDescent="0.25">
      <c r="C808" s="2"/>
    </row>
    <row r="809" spans="3:3" x14ac:dyDescent="0.25">
      <c r="C809" s="2"/>
    </row>
    <row r="810" spans="3:3" x14ac:dyDescent="0.25">
      <c r="C810" s="2"/>
    </row>
    <row r="811" spans="3:3" x14ac:dyDescent="0.25">
      <c r="C811" s="2"/>
    </row>
    <row r="812" spans="3:3" x14ac:dyDescent="0.25">
      <c r="C812" s="2"/>
    </row>
    <row r="813" spans="3:3" x14ac:dyDescent="0.25">
      <c r="C813" s="2"/>
    </row>
    <row r="814" spans="3:3" x14ac:dyDescent="0.25">
      <c r="C814" s="2"/>
    </row>
    <row r="815" spans="3:3" x14ac:dyDescent="0.25">
      <c r="C815" s="2"/>
    </row>
    <row r="816" spans="3:3" x14ac:dyDescent="0.25">
      <c r="C816" s="2"/>
    </row>
    <row r="817" spans="3:3" x14ac:dyDescent="0.25">
      <c r="C817" s="2"/>
    </row>
    <row r="818" spans="3:3" x14ac:dyDescent="0.25">
      <c r="C818" s="2"/>
    </row>
    <row r="819" spans="3:3" x14ac:dyDescent="0.25">
      <c r="C819" s="2"/>
    </row>
    <row r="820" spans="3:3" x14ac:dyDescent="0.25">
      <c r="C820" s="2"/>
    </row>
    <row r="821" spans="3:3" x14ac:dyDescent="0.25">
      <c r="C821" s="2"/>
    </row>
    <row r="822" spans="3:3" x14ac:dyDescent="0.25">
      <c r="C822" s="2"/>
    </row>
    <row r="823" spans="3:3" x14ac:dyDescent="0.25">
      <c r="C823" s="2"/>
    </row>
    <row r="824" spans="3:3" x14ac:dyDescent="0.25">
      <c r="C824" s="2"/>
    </row>
    <row r="825" spans="3:3" x14ac:dyDescent="0.25">
      <c r="C825" s="2"/>
    </row>
    <row r="826" spans="3:3" x14ac:dyDescent="0.25">
      <c r="C826" s="2"/>
    </row>
    <row r="827" spans="3:3" x14ac:dyDescent="0.25">
      <c r="C827" s="2"/>
    </row>
    <row r="828" spans="3:3" x14ac:dyDescent="0.25">
      <c r="C828" s="2"/>
    </row>
    <row r="829" spans="3:3" x14ac:dyDescent="0.25">
      <c r="C829" s="2"/>
    </row>
    <row r="830" spans="3:3" x14ac:dyDescent="0.25">
      <c r="C830" s="2"/>
    </row>
    <row r="831" spans="3:3" x14ac:dyDescent="0.25">
      <c r="C831" s="2"/>
    </row>
    <row r="832" spans="3:3" x14ac:dyDescent="0.25">
      <c r="C832" s="2"/>
    </row>
    <row r="833" spans="3:3" x14ac:dyDescent="0.25">
      <c r="C833" s="2"/>
    </row>
    <row r="834" spans="3:3" x14ac:dyDescent="0.25">
      <c r="C834" s="2"/>
    </row>
    <row r="835" spans="3:3" x14ac:dyDescent="0.25">
      <c r="C835" s="2"/>
    </row>
    <row r="836" spans="3:3" x14ac:dyDescent="0.25">
      <c r="C836" s="2"/>
    </row>
    <row r="837" spans="3:3" x14ac:dyDescent="0.25">
      <c r="C837" s="2"/>
    </row>
    <row r="838" spans="3:3" x14ac:dyDescent="0.25">
      <c r="C838" s="2"/>
    </row>
    <row r="839" spans="3:3" x14ac:dyDescent="0.25">
      <c r="C839" s="2"/>
    </row>
    <row r="840" spans="3:3" x14ac:dyDescent="0.25">
      <c r="C840" s="2"/>
    </row>
    <row r="841" spans="3:3" x14ac:dyDescent="0.25">
      <c r="C841" s="2"/>
    </row>
    <row r="842" spans="3:3" x14ac:dyDescent="0.25">
      <c r="C842" s="2"/>
    </row>
    <row r="843" spans="3:3" x14ac:dyDescent="0.25">
      <c r="C843" s="2"/>
    </row>
    <row r="844" spans="3:3" x14ac:dyDescent="0.25">
      <c r="C844" s="2"/>
    </row>
    <row r="845" spans="3:3" x14ac:dyDescent="0.25">
      <c r="C845" s="2"/>
    </row>
    <row r="846" spans="3:3" x14ac:dyDescent="0.25">
      <c r="C846" s="2"/>
    </row>
    <row r="847" spans="3:3" x14ac:dyDescent="0.25">
      <c r="C847" s="2"/>
    </row>
    <row r="848" spans="3:3" x14ac:dyDescent="0.25">
      <c r="C848" s="2"/>
    </row>
    <row r="849" spans="3:3" x14ac:dyDescent="0.25">
      <c r="C849" s="2"/>
    </row>
    <row r="850" spans="3:3" x14ac:dyDescent="0.25">
      <c r="C850" s="2"/>
    </row>
    <row r="851" spans="3:3" x14ac:dyDescent="0.25">
      <c r="C851" s="2"/>
    </row>
    <row r="852" spans="3:3" x14ac:dyDescent="0.25">
      <c r="C852" s="2"/>
    </row>
    <row r="853" spans="3:3" x14ac:dyDescent="0.25">
      <c r="C853" s="2"/>
    </row>
    <row r="854" spans="3:3" x14ac:dyDescent="0.25">
      <c r="C854" s="2"/>
    </row>
    <row r="855" spans="3:3" x14ac:dyDescent="0.25">
      <c r="C855" s="2"/>
    </row>
    <row r="856" spans="3:3" x14ac:dyDescent="0.25">
      <c r="C856" s="2"/>
    </row>
    <row r="857" spans="3:3" x14ac:dyDescent="0.25">
      <c r="C857" s="2"/>
    </row>
    <row r="858" spans="3:3" x14ac:dyDescent="0.25">
      <c r="C858" s="2"/>
    </row>
    <row r="859" spans="3:3" x14ac:dyDescent="0.25">
      <c r="C859" s="2"/>
    </row>
    <row r="860" spans="3:3" x14ac:dyDescent="0.25">
      <c r="C860" s="2"/>
    </row>
    <row r="861" spans="3:3" x14ac:dyDescent="0.25">
      <c r="C861" s="2"/>
    </row>
    <row r="862" spans="3:3" x14ac:dyDescent="0.25">
      <c r="C862" s="2"/>
    </row>
    <row r="863" spans="3:3" x14ac:dyDescent="0.25">
      <c r="C863" s="2"/>
    </row>
    <row r="864" spans="3:3" x14ac:dyDescent="0.25">
      <c r="C864" s="2"/>
    </row>
    <row r="865" spans="3:3" x14ac:dyDescent="0.25">
      <c r="C865" s="2"/>
    </row>
    <row r="866" spans="3:3" x14ac:dyDescent="0.25">
      <c r="C866" s="2"/>
    </row>
    <row r="867" spans="3:3" x14ac:dyDescent="0.25">
      <c r="C867" s="2"/>
    </row>
    <row r="868" spans="3:3" x14ac:dyDescent="0.25">
      <c r="C868" s="2"/>
    </row>
    <row r="869" spans="3:3" x14ac:dyDescent="0.25">
      <c r="C869" s="2"/>
    </row>
    <row r="870" spans="3:3" x14ac:dyDescent="0.25">
      <c r="C870" s="2"/>
    </row>
    <row r="871" spans="3:3" x14ac:dyDescent="0.25">
      <c r="C871" s="2"/>
    </row>
    <row r="872" spans="3:3" x14ac:dyDescent="0.25">
      <c r="C872" s="2"/>
    </row>
    <row r="873" spans="3:3" x14ac:dyDescent="0.25">
      <c r="C873" s="2"/>
    </row>
    <row r="874" spans="3:3" x14ac:dyDescent="0.25">
      <c r="C874" s="2"/>
    </row>
    <row r="875" spans="3:3" x14ac:dyDescent="0.25">
      <c r="C875" s="2"/>
    </row>
    <row r="876" spans="3:3" x14ac:dyDescent="0.25">
      <c r="C876" s="2"/>
    </row>
    <row r="877" spans="3:3" x14ac:dyDescent="0.25">
      <c r="C877" s="2"/>
    </row>
    <row r="878" spans="3:3" x14ac:dyDescent="0.25">
      <c r="C878" s="2"/>
    </row>
    <row r="879" spans="3:3" x14ac:dyDescent="0.25">
      <c r="C879" s="2"/>
    </row>
    <row r="880" spans="3:3" x14ac:dyDescent="0.25">
      <c r="C880" s="2"/>
    </row>
    <row r="881" spans="3:3" x14ac:dyDescent="0.25">
      <c r="C881" s="2"/>
    </row>
    <row r="882" spans="3:3" x14ac:dyDescent="0.25">
      <c r="C882" s="2"/>
    </row>
    <row r="883" spans="3:3" x14ac:dyDescent="0.25">
      <c r="C883" s="2"/>
    </row>
    <row r="884" spans="3:3" x14ac:dyDescent="0.25">
      <c r="C884" s="2"/>
    </row>
    <row r="885" spans="3:3" x14ac:dyDescent="0.25">
      <c r="C885" s="2"/>
    </row>
    <row r="886" spans="3:3" x14ac:dyDescent="0.25">
      <c r="C886" s="2"/>
    </row>
    <row r="887" spans="3:3" x14ac:dyDescent="0.25">
      <c r="C887" s="2"/>
    </row>
    <row r="888" spans="3:3" x14ac:dyDescent="0.25">
      <c r="C888" s="2"/>
    </row>
    <row r="889" spans="3:3" x14ac:dyDescent="0.25">
      <c r="C889" s="2"/>
    </row>
    <row r="890" spans="3:3" x14ac:dyDescent="0.25">
      <c r="C890" s="2"/>
    </row>
    <row r="891" spans="3:3" x14ac:dyDescent="0.25">
      <c r="C891" s="2"/>
    </row>
    <row r="892" spans="3:3" x14ac:dyDescent="0.25">
      <c r="C892" s="2"/>
    </row>
    <row r="893" spans="3:3" x14ac:dyDescent="0.25">
      <c r="C893" s="2"/>
    </row>
    <row r="894" spans="3:3" x14ac:dyDescent="0.25">
      <c r="C894" s="2"/>
    </row>
    <row r="895" spans="3:3" x14ac:dyDescent="0.25">
      <c r="C895" s="2"/>
    </row>
    <row r="896" spans="3:3" x14ac:dyDescent="0.25">
      <c r="C896" s="2"/>
    </row>
    <row r="897" spans="3:3" x14ac:dyDescent="0.25">
      <c r="C897" s="2"/>
    </row>
    <row r="898" spans="3:3" x14ac:dyDescent="0.25">
      <c r="C898" s="2"/>
    </row>
    <row r="899" spans="3:3" x14ac:dyDescent="0.25">
      <c r="C899" s="2"/>
    </row>
    <row r="900" spans="3:3" x14ac:dyDescent="0.25">
      <c r="C900" s="2"/>
    </row>
    <row r="901" spans="3:3" x14ac:dyDescent="0.25">
      <c r="C901" s="2"/>
    </row>
    <row r="902" spans="3:3" x14ac:dyDescent="0.25">
      <c r="C902" s="2"/>
    </row>
    <row r="903" spans="3:3" x14ac:dyDescent="0.25">
      <c r="C903" s="2"/>
    </row>
    <row r="904" spans="3:3" x14ac:dyDescent="0.25">
      <c r="C904" s="2"/>
    </row>
    <row r="905" spans="3:3" x14ac:dyDescent="0.25">
      <c r="C905" s="2"/>
    </row>
    <row r="906" spans="3:3" x14ac:dyDescent="0.25">
      <c r="C906" s="2"/>
    </row>
    <row r="907" spans="3:3" x14ac:dyDescent="0.25">
      <c r="C907" s="2"/>
    </row>
    <row r="908" spans="3:3" x14ac:dyDescent="0.25">
      <c r="C908" s="2"/>
    </row>
    <row r="909" spans="3:3" x14ac:dyDescent="0.25">
      <c r="C909" s="2"/>
    </row>
    <row r="910" spans="3:3" x14ac:dyDescent="0.25">
      <c r="C910" s="2"/>
    </row>
    <row r="911" spans="3:3" x14ac:dyDescent="0.25">
      <c r="C911" s="2"/>
    </row>
    <row r="912" spans="3:3" x14ac:dyDescent="0.25">
      <c r="C912" s="2"/>
    </row>
    <row r="913" spans="3:3" x14ac:dyDescent="0.25">
      <c r="C913" s="2"/>
    </row>
    <row r="914" spans="3:3" x14ac:dyDescent="0.25">
      <c r="C914" s="2"/>
    </row>
    <row r="915" spans="3:3" x14ac:dyDescent="0.25">
      <c r="C915" s="2"/>
    </row>
    <row r="916" spans="3:3" x14ac:dyDescent="0.25">
      <c r="C916" s="2"/>
    </row>
    <row r="917" spans="3:3" x14ac:dyDescent="0.25">
      <c r="C917" s="2"/>
    </row>
    <row r="918" spans="3:3" x14ac:dyDescent="0.25">
      <c r="C918" s="2"/>
    </row>
    <row r="919" spans="3:3" x14ac:dyDescent="0.25">
      <c r="C919" s="2"/>
    </row>
    <row r="920" spans="3:3" x14ac:dyDescent="0.25">
      <c r="C920" s="2"/>
    </row>
    <row r="921" spans="3:3" x14ac:dyDescent="0.25">
      <c r="C921" s="2"/>
    </row>
    <row r="922" spans="3:3" x14ac:dyDescent="0.25">
      <c r="C922" s="2"/>
    </row>
    <row r="923" spans="3:3" x14ac:dyDescent="0.25">
      <c r="C923" s="2"/>
    </row>
    <row r="924" spans="3:3" x14ac:dyDescent="0.25">
      <c r="C924" s="2"/>
    </row>
    <row r="925" spans="3:3" x14ac:dyDescent="0.25">
      <c r="C925" s="2"/>
    </row>
    <row r="926" spans="3:3" x14ac:dyDescent="0.25">
      <c r="C926" s="2"/>
    </row>
    <row r="927" spans="3:3" x14ac:dyDescent="0.25">
      <c r="C927" s="2"/>
    </row>
    <row r="928" spans="3:3" x14ac:dyDescent="0.25">
      <c r="C928" s="2"/>
    </row>
    <row r="929" spans="3:3" x14ac:dyDescent="0.25">
      <c r="C929" s="2"/>
    </row>
    <row r="930" spans="3:3" x14ac:dyDescent="0.25">
      <c r="C930" s="2"/>
    </row>
    <row r="931" spans="3:3" x14ac:dyDescent="0.25">
      <c r="C931" s="2"/>
    </row>
    <row r="932" spans="3:3" x14ac:dyDescent="0.25">
      <c r="C932" s="2"/>
    </row>
    <row r="933" spans="3:3" x14ac:dyDescent="0.25">
      <c r="C933" s="2"/>
    </row>
    <row r="934" spans="3:3" x14ac:dyDescent="0.25">
      <c r="C934" s="2"/>
    </row>
    <row r="935" spans="3:3" x14ac:dyDescent="0.25">
      <c r="C935" s="2"/>
    </row>
    <row r="936" spans="3:3" x14ac:dyDescent="0.25">
      <c r="C936" s="2"/>
    </row>
    <row r="937" spans="3:3" x14ac:dyDescent="0.25">
      <c r="C937" s="2"/>
    </row>
    <row r="938" spans="3:3" x14ac:dyDescent="0.25">
      <c r="C938" s="2"/>
    </row>
    <row r="939" spans="3:3" x14ac:dyDescent="0.25">
      <c r="C939" s="2"/>
    </row>
    <row r="940" spans="3:3" x14ac:dyDescent="0.25">
      <c r="C940" s="2"/>
    </row>
    <row r="941" spans="3:3" x14ac:dyDescent="0.25">
      <c r="C941" s="2"/>
    </row>
    <row r="942" spans="3:3" x14ac:dyDescent="0.25">
      <c r="C942" s="2"/>
    </row>
    <row r="943" spans="3:3" x14ac:dyDescent="0.25">
      <c r="C943" s="2"/>
    </row>
    <row r="944" spans="3:3" x14ac:dyDescent="0.25">
      <c r="C944" s="2"/>
    </row>
    <row r="945" spans="3:3" x14ac:dyDescent="0.25">
      <c r="C945" s="2"/>
    </row>
    <row r="946" spans="3:3" x14ac:dyDescent="0.25">
      <c r="C946" s="2"/>
    </row>
    <row r="947" spans="3:3" x14ac:dyDescent="0.25">
      <c r="C947" s="2"/>
    </row>
    <row r="948" spans="3:3" x14ac:dyDescent="0.25">
      <c r="C948" s="2"/>
    </row>
    <row r="949" spans="3:3" x14ac:dyDescent="0.25">
      <c r="C949" s="2"/>
    </row>
    <row r="950" spans="3:3" x14ac:dyDescent="0.25">
      <c r="C950" s="2"/>
    </row>
    <row r="951" spans="3:3" x14ac:dyDescent="0.25">
      <c r="C951" s="2"/>
    </row>
    <row r="952" spans="3:3" x14ac:dyDescent="0.25">
      <c r="C952" s="2"/>
    </row>
    <row r="953" spans="3:3" x14ac:dyDescent="0.25">
      <c r="C953" s="2"/>
    </row>
    <row r="954" spans="3:3" x14ac:dyDescent="0.25">
      <c r="C954" s="2"/>
    </row>
    <row r="955" spans="3:3" x14ac:dyDescent="0.25">
      <c r="C955" s="2"/>
    </row>
    <row r="956" spans="3:3" x14ac:dyDescent="0.25">
      <c r="C956" s="2"/>
    </row>
    <row r="957" spans="3:3" x14ac:dyDescent="0.25">
      <c r="C957" s="2"/>
    </row>
    <row r="958" spans="3:3" x14ac:dyDescent="0.25">
      <c r="C958" s="2"/>
    </row>
    <row r="959" spans="3:3" x14ac:dyDescent="0.25">
      <c r="C959" s="2"/>
    </row>
    <row r="960" spans="3:3" x14ac:dyDescent="0.25">
      <c r="C960" s="2"/>
    </row>
    <row r="961" spans="3:3" x14ac:dyDescent="0.25">
      <c r="C961" s="2"/>
    </row>
    <row r="962" spans="3:3" x14ac:dyDescent="0.25">
      <c r="C962" s="2"/>
    </row>
    <row r="963" spans="3:3" x14ac:dyDescent="0.25">
      <c r="C963" s="2"/>
    </row>
    <row r="964" spans="3:3" x14ac:dyDescent="0.25">
      <c r="C964" s="2"/>
    </row>
    <row r="965" spans="3:3" x14ac:dyDescent="0.25">
      <c r="C965" s="2"/>
    </row>
    <row r="966" spans="3:3" x14ac:dyDescent="0.25">
      <c r="C966" s="2"/>
    </row>
    <row r="967" spans="3:3" x14ac:dyDescent="0.25">
      <c r="C967" s="2"/>
    </row>
    <row r="968" spans="3:3" x14ac:dyDescent="0.25">
      <c r="C968" s="2"/>
    </row>
    <row r="969" spans="3:3" x14ac:dyDescent="0.25">
      <c r="C969" s="2"/>
    </row>
    <row r="970" spans="3:3" x14ac:dyDescent="0.25">
      <c r="C970" s="2"/>
    </row>
    <row r="971" spans="3:3" x14ac:dyDescent="0.25">
      <c r="C971" s="2"/>
    </row>
    <row r="972" spans="3:3" x14ac:dyDescent="0.25">
      <c r="C972" s="2"/>
    </row>
    <row r="973" spans="3:3" x14ac:dyDescent="0.25">
      <c r="C973" s="2"/>
    </row>
    <row r="974" spans="3:3" x14ac:dyDescent="0.25">
      <c r="C974" s="2"/>
    </row>
    <row r="975" spans="3:3" x14ac:dyDescent="0.25">
      <c r="C975" s="2"/>
    </row>
    <row r="976" spans="3:3" x14ac:dyDescent="0.25">
      <c r="C976" s="2"/>
    </row>
    <row r="977" spans="3:3" x14ac:dyDescent="0.25">
      <c r="C977" s="2"/>
    </row>
    <row r="978" spans="3:3" x14ac:dyDescent="0.25">
      <c r="C978" s="2"/>
    </row>
    <row r="979" spans="3:3" x14ac:dyDescent="0.25">
      <c r="C979" s="2"/>
    </row>
    <row r="980" spans="3:3" x14ac:dyDescent="0.25">
      <c r="C980" s="2"/>
    </row>
    <row r="981" spans="3:3" x14ac:dyDescent="0.25">
      <c r="C981" s="2"/>
    </row>
    <row r="982" spans="3:3" x14ac:dyDescent="0.25">
      <c r="C982" s="2"/>
    </row>
    <row r="983" spans="3:3" x14ac:dyDescent="0.25">
      <c r="C983" s="2"/>
    </row>
    <row r="984" spans="3:3" x14ac:dyDescent="0.25">
      <c r="C984" s="2"/>
    </row>
    <row r="985" spans="3:3" x14ac:dyDescent="0.25">
      <c r="C985" s="2"/>
    </row>
    <row r="986" spans="3:3" x14ac:dyDescent="0.25">
      <c r="C986" s="2"/>
    </row>
    <row r="987" spans="3:3" x14ac:dyDescent="0.25">
      <c r="C987" s="2"/>
    </row>
    <row r="988" spans="3:3" x14ac:dyDescent="0.25">
      <c r="C988" s="2"/>
    </row>
    <row r="989" spans="3:3" x14ac:dyDescent="0.25">
      <c r="C989" s="2"/>
    </row>
    <row r="990" spans="3:3" x14ac:dyDescent="0.25">
      <c r="C990" s="2"/>
    </row>
    <row r="991" spans="3:3" x14ac:dyDescent="0.25">
      <c r="C991" s="2"/>
    </row>
    <row r="992" spans="3:3" x14ac:dyDescent="0.25">
      <c r="C992" s="2"/>
    </row>
    <row r="993" spans="3:3" x14ac:dyDescent="0.25">
      <c r="C993" s="2"/>
    </row>
    <row r="994" spans="3:3" x14ac:dyDescent="0.25">
      <c r="C994" s="2"/>
    </row>
    <row r="995" spans="3:3" x14ac:dyDescent="0.25">
      <c r="C995" s="2"/>
    </row>
    <row r="996" spans="3:3" x14ac:dyDescent="0.25">
      <c r="C996" s="2"/>
    </row>
    <row r="997" spans="3:3" x14ac:dyDescent="0.25">
      <c r="C997" s="2"/>
    </row>
    <row r="998" spans="3:3" x14ac:dyDescent="0.25">
      <c r="C998" s="2"/>
    </row>
    <row r="999" spans="3:3" x14ac:dyDescent="0.25">
      <c r="C999" s="2"/>
    </row>
    <row r="1000" spans="3:3" x14ac:dyDescent="0.25">
      <c r="C1000" s="2"/>
    </row>
    <row r="1001" spans="3:3" x14ac:dyDescent="0.25">
      <c r="C1001" s="2"/>
    </row>
    <row r="1002" spans="3:3" x14ac:dyDescent="0.25">
      <c r="C1002" s="2"/>
    </row>
    <row r="1003" spans="3:3" x14ac:dyDescent="0.25">
      <c r="C1003" s="2"/>
    </row>
    <row r="1004" spans="3:3" x14ac:dyDescent="0.25">
      <c r="C1004" s="2"/>
    </row>
    <row r="1005" spans="3:3" x14ac:dyDescent="0.25">
      <c r="C1005" s="2"/>
    </row>
    <row r="1006" spans="3:3" x14ac:dyDescent="0.25">
      <c r="C1006" s="2"/>
    </row>
    <row r="1007" spans="3:3" x14ac:dyDescent="0.25">
      <c r="C1007" s="2"/>
    </row>
    <row r="1008" spans="3:3" x14ac:dyDescent="0.25">
      <c r="C1008" s="2"/>
    </row>
    <row r="1009" spans="3:3" x14ac:dyDescent="0.25">
      <c r="C1009" s="2"/>
    </row>
    <row r="1010" spans="3:3" x14ac:dyDescent="0.25">
      <c r="C1010" s="2"/>
    </row>
    <row r="1011" spans="3:3" x14ac:dyDescent="0.25">
      <c r="C1011" s="2"/>
    </row>
    <row r="1012" spans="3:3" x14ac:dyDescent="0.25">
      <c r="C1012" s="2"/>
    </row>
    <row r="1013" spans="3:3" x14ac:dyDescent="0.25">
      <c r="C1013" s="2"/>
    </row>
    <row r="1014" spans="3:3" x14ac:dyDescent="0.25">
      <c r="C1014" s="2"/>
    </row>
    <row r="1015" spans="3:3" x14ac:dyDescent="0.25">
      <c r="C1015" s="2"/>
    </row>
    <row r="1016" spans="3:3" x14ac:dyDescent="0.25">
      <c r="C1016" s="2"/>
    </row>
    <row r="1017" spans="3:3" x14ac:dyDescent="0.25">
      <c r="C1017" s="2"/>
    </row>
    <row r="1018" spans="3:3" x14ac:dyDescent="0.25">
      <c r="C1018" s="2"/>
    </row>
    <row r="1019" spans="3:3" x14ac:dyDescent="0.25">
      <c r="C1019" s="2"/>
    </row>
    <row r="1020" spans="3:3" x14ac:dyDescent="0.25">
      <c r="C1020" s="2"/>
    </row>
    <row r="1021" spans="3:3" x14ac:dyDescent="0.25">
      <c r="C1021" s="2"/>
    </row>
    <row r="1022" spans="3:3" x14ac:dyDescent="0.25">
      <c r="C1022" s="2"/>
    </row>
    <row r="1023" spans="3:3" x14ac:dyDescent="0.25">
      <c r="C1023" s="2"/>
    </row>
    <row r="1024" spans="3:3" x14ac:dyDescent="0.25">
      <c r="C1024" s="2"/>
    </row>
    <row r="1025" spans="3:3" x14ac:dyDescent="0.25">
      <c r="C1025" s="2"/>
    </row>
    <row r="1026" spans="3:3" x14ac:dyDescent="0.25">
      <c r="C1026" s="2"/>
    </row>
    <row r="1027" spans="3:3" x14ac:dyDescent="0.25">
      <c r="C1027" s="2"/>
    </row>
    <row r="1028" spans="3:3" x14ac:dyDescent="0.25">
      <c r="C1028" s="2"/>
    </row>
    <row r="1029" spans="3:3" x14ac:dyDescent="0.25">
      <c r="C1029" s="2"/>
    </row>
    <row r="1030" spans="3:3" x14ac:dyDescent="0.25">
      <c r="C1030" s="2"/>
    </row>
    <row r="1031" spans="3:3" x14ac:dyDescent="0.25">
      <c r="C1031" s="2"/>
    </row>
    <row r="1032" spans="3:3" x14ac:dyDescent="0.25">
      <c r="C1032" s="2"/>
    </row>
    <row r="1033" spans="3:3" x14ac:dyDescent="0.25">
      <c r="C1033" s="2"/>
    </row>
    <row r="1034" spans="3:3" x14ac:dyDescent="0.25">
      <c r="C1034" s="2"/>
    </row>
    <row r="1035" spans="3:3" x14ac:dyDescent="0.25">
      <c r="C1035" s="2"/>
    </row>
    <row r="1036" spans="3:3" x14ac:dyDescent="0.25">
      <c r="C1036" s="2"/>
    </row>
    <row r="1037" spans="3:3" x14ac:dyDescent="0.25">
      <c r="C1037" s="2"/>
    </row>
    <row r="1038" spans="3:3" x14ac:dyDescent="0.25">
      <c r="C1038" s="2"/>
    </row>
    <row r="1039" spans="3:3" x14ac:dyDescent="0.25">
      <c r="C1039" s="2"/>
    </row>
    <row r="1040" spans="3:3" x14ac:dyDescent="0.25">
      <c r="C1040" s="2"/>
    </row>
    <row r="1041" spans="3:3" x14ac:dyDescent="0.25">
      <c r="C1041" s="2"/>
    </row>
    <row r="1042" spans="3:3" x14ac:dyDescent="0.25">
      <c r="C1042" s="2"/>
    </row>
    <row r="1043" spans="3:3" x14ac:dyDescent="0.25">
      <c r="C1043" s="2"/>
    </row>
    <row r="1044" spans="3:3" x14ac:dyDescent="0.25">
      <c r="C1044" s="2"/>
    </row>
    <row r="1045" spans="3:3" x14ac:dyDescent="0.25">
      <c r="C1045" s="2"/>
    </row>
    <row r="1046" spans="3:3" x14ac:dyDescent="0.25">
      <c r="C1046" s="2"/>
    </row>
    <row r="1047" spans="3:3" x14ac:dyDescent="0.25">
      <c r="C1047" s="2"/>
    </row>
    <row r="1048" spans="3:3" x14ac:dyDescent="0.25">
      <c r="C1048" s="2"/>
    </row>
    <row r="1049" spans="3:3" x14ac:dyDescent="0.25">
      <c r="C1049" s="2"/>
    </row>
    <row r="1050" spans="3:3" x14ac:dyDescent="0.25">
      <c r="C1050" s="2"/>
    </row>
    <row r="1051" spans="3:3" x14ac:dyDescent="0.25">
      <c r="C1051" s="2"/>
    </row>
    <row r="1052" spans="3:3" x14ac:dyDescent="0.25">
      <c r="C1052" s="2"/>
    </row>
    <row r="1053" spans="3:3" x14ac:dyDescent="0.25">
      <c r="C1053" s="2"/>
    </row>
    <row r="1054" spans="3:3" x14ac:dyDescent="0.25">
      <c r="C1054" s="2"/>
    </row>
    <row r="1055" spans="3:3" x14ac:dyDescent="0.25">
      <c r="C1055" s="2"/>
    </row>
    <row r="1056" spans="3:3" x14ac:dyDescent="0.25">
      <c r="C1056" s="2"/>
    </row>
    <row r="1057" spans="3:3" x14ac:dyDescent="0.25">
      <c r="C1057" s="2"/>
    </row>
    <row r="1058" spans="3:3" x14ac:dyDescent="0.25">
      <c r="C1058" s="2"/>
    </row>
    <row r="1059" spans="3:3" x14ac:dyDescent="0.25">
      <c r="C1059" s="2"/>
    </row>
    <row r="1060" spans="3:3" x14ac:dyDescent="0.25">
      <c r="C1060" s="2"/>
    </row>
    <row r="1061" spans="3:3" x14ac:dyDescent="0.25">
      <c r="C1061" s="2"/>
    </row>
    <row r="1062" spans="3:3" x14ac:dyDescent="0.25">
      <c r="C1062" s="2"/>
    </row>
    <row r="1063" spans="3:3" x14ac:dyDescent="0.25">
      <c r="C1063" s="2"/>
    </row>
    <row r="1064" spans="3:3" x14ac:dyDescent="0.25">
      <c r="C1064" s="2"/>
    </row>
    <row r="1065" spans="3:3" x14ac:dyDescent="0.25">
      <c r="C1065" s="2"/>
    </row>
    <row r="1066" spans="3:3" x14ac:dyDescent="0.25">
      <c r="C1066" s="2"/>
    </row>
    <row r="1067" spans="3:3" x14ac:dyDescent="0.25">
      <c r="C1067" s="2"/>
    </row>
    <row r="1068" spans="3:3" x14ac:dyDescent="0.25">
      <c r="C1068" s="2"/>
    </row>
    <row r="1069" spans="3:3" x14ac:dyDescent="0.25">
      <c r="C1069" s="2"/>
    </row>
    <row r="1070" spans="3:3" x14ac:dyDescent="0.25">
      <c r="C1070" s="2"/>
    </row>
    <row r="1071" spans="3:3" x14ac:dyDescent="0.25">
      <c r="C1071" s="2"/>
    </row>
    <row r="1072" spans="3:3" x14ac:dyDescent="0.25">
      <c r="C1072" s="2"/>
    </row>
    <row r="1073" spans="3:3" x14ac:dyDescent="0.25">
      <c r="C1073" s="2"/>
    </row>
    <row r="1074" spans="3:3" x14ac:dyDescent="0.25">
      <c r="C1074" s="2"/>
    </row>
    <row r="1075" spans="3:3" x14ac:dyDescent="0.25">
      <c r="C1075" s="2"/>
    </row>
    <row r="1076" spans="3:3" x14ac:dyDescent="0.25">
      <c r="C1076" s="2"/>
    </row>
    <row r="1077" spans="3:3" x14ac:dyDescent="0.25">
      <c r="C1077" s="2"/>
    </row>
    <row r="1078" spans="3:3" x14ac:dyDescent="0.25">
      <c r="C1078" s="2"/>
    </row>
    <row r="1079" spans="3:3" x14ac:dyDescent="0.25">
      <c r="C1079" s="2"/>
    </row>
    <row r="1080" spans="3:3" x14ac:dyDescent="0.25">
      <c r="C1080" s="2"/>
    </row>
    <row r="1081" spans="3:3" x14ac:dyDescent="0.25">
      <c r="C1081" s="2"/>
    </row>
    <row r="1082" spans="3:3" x14ac:dyDescent="0.25">
      <c r="C1082" s="2"/>
    </row>
    <row r="1083" spans="3:3" x14ac:dyDescent="0.25">
      <c r="C1083" s="2"/>
    </row>
    <row r="1084" spans="3:3" x14ac:dyDescent="0.25">
      <c r="C1084" s="2"/>
    </row>
    <row r="1085" spans="3:3" x14ac:dyDescent="0.25">
      <c r="C1085" s="2"/>
    </row>
    <row r="1086" spans="3:3" x14ac:dyDescent="0.25">
      <c r="C1086" s="2"/>
    </row>
    <row r="1087" spans="3:3" x14ac:dyDescent="0.25">
      <c r="C1087" s="2"/>
    </row>
    <row r="1088" spans="3:3" x14ac:dyDescent="0.25">
      <c r="C1088" s="2"/>
    </row>
    <row r="1089" spans="3:3" x14ac:dyDescent="0.25">
      <c r="C1089" s="2"/>
    </row>
    <row r="1090" spans="3:3" x14ac:dyDescent="0.25">
      <c r="C1090" s="2"/>
    </row>
    <row r="1091" spans="3:3" x14ac:dyDescent="0.25">
      <c r="C1091" s="2"/>
    </row>
    <row r="1092" spans="3:3" x14ac:dyDescent="0.25">
      <c r="C1092" s="2"/>
    </row>
    <row r="1093" spans="3:3" x14ac:dyDescent="0.25">
      <c r="C1093" s="2"/>
    </row>
    <row r="1094" spans="3:3" x14ac:dyDescent="0.25">
      <c r="C1094" s="2"/>
    </row>
    <row r="1095" spans="3:3" x14ac:dyDescent="0.25">
      <c r="C1095" s="2"/>
    </row>
    <row r="1096" spans="3:3" x14ac:dyDescent="0.25">
      <c r="C1096" s="2"/>
    </row>
    <row r="1097" spans="3:3" x14ac:dyDescent="0.25">
      <c r="C1097" s="2"/>
    </row>
    <row r="1098" spans="3:3" x14ac:dyDescent="0.25">
      <c r="C1098" s="2"/>
    </row>
    <row r="1099" spans="3:3" x14ac:dyDescent="0.25">
      <c r="C1099" s="2"/>
    </row>
    <row r="1100" spans="3:3" x14ac:dyDescent="0.25">
      <c r="C1100" s="2"/>
    </row>
    <row r="1101" spans="3:3" x14ac:dyDescent="0.25">
      <c r="C1101" s="2"/>
    </row>
    <row r="1102" spans="3:3" x14ac:dyDescent="0.25">
      <c r="C1102" s="2"/>
    </row>
    <row r="1103" spans="3:3" x14ac:dyDescent="0.25">
      <c r="C1103" s="2"/>
    </row>
    <row r="1104" spans="3:3" x14ac:dyDescent="0.25">
      <c r="C1104" s="2"/>
    </row>
    <row r="1105" spans="3:3" x14ac:dyDescent="0.25">
      <c r="C1105" s="2"/>
    </row>
    <row r="1106" spans="3:3" x14ac:dyDescent="0.25">
      <c r="C1106" s="2"/>
    </row>
    <row r="1107" spans="3:3" x14ac:dyDescent="0.25">
      <c r="C1107" s="2"/>
    </row>
    <row r="1108" spans="3:3" x14ac:dyDescent="0.25">
      <c r="C1108" s="2"/>
    </row>
    <row r="1109" spans="3:3" x14ac:dyDescent="0.25">
      <c r="C1109" s="2"/>
    </row>
    <row r="1110" spans="3:3" x14ac:dyDescent="0.25">
      <c r="C1110" s="2"/>
    </row>
    <row r="1111" spans="3:3" x14ac:dyDescent="0.25">
      <c r="C1111" s="2"/>
    </row>
    <row r="1112" spans="3:3" x14ac:dyDescent="0.25">
      <c r="C1112" s="2"/>
    </row>
    <row r="1113" spans="3:3" x14ac:dyDescent="0.25">
      <c r="C1113" s="2"/>
    </row>
    <row r="1114" spans="3:3" x14ac:dyDescent="0.25">
      <c r="C1114" s="2"/>
    </row>
    <row r="1115" spans="3:3" x14ac:dyDescent="0.25">
      <c r="C1115" s="2"/>
    </row>
    <row r="1116" spans="3:3" x14ac:dyDescent="0.25">
      <c r="C1116" s="2"/>
    </row>
    <row r="1117" spans="3:3" x14ac:dyDescent="0.25">
      <c r="C1117" s="2"/>
    </row>
    <row r="1118" spans="3:3" x14ac:dyDescent="0.25">
      <c r="C1118" s="2"/>
    </row>
    <row r="1119" spans="3:3" x14ac:dyDescent="0.25">
      <c r="C1119" s="2"/>
    </row>
    <row r="1120" spans="3:3" x14ac:dyDescent="0.25">
      <c r="C1120" s="2"/>
    </row>
    <row r="1121" spans="3:3" x14ac:dyDescent="0.25">
      <c r="C1121" s="2"/>
    </row>
    <row r="1122" spans="3:3" x14ac:dyDescent="0.25">
      <c r="C1122" s="2"/>
    </row>
    <row r="1123" spans="3:3" x14ac:dyDescent="0.25">
      <c r="C1123" s="2"/>
    </row>
    <row r="1124" spans="3:3" x14ac:dyDescent="0.25">
      <c r="C1124" s="2"/>
    </row>
    <row r="1125" spans="3:3" x14ac:dyDescent="0.25">
      <c r="C1125" s="2"/>
    </row>
    <row r="1126" spans="3:3" x14ac:dyDescent="0.25">
      <c r="C1126" s="2"/>
    </row>
    <row r="1127" spans="3:3" x14ac:dyDescent="0.25">
      <c r="C1127" s="2"/>
    </row>
    <row r="1128" spans="3:3" x14ac:dyDescent="0.25">
      <c r="C1128" s="2"/>
    </row>
    <row r="1129" spans="3:3" x14ac:dyDescent="0.25">
      <c r="C1129" s="2"/>
    </row>
    <row r="1130" spans="3:3" x14ac:dyDescent="0.25">
      <c r="C1130" s="2"/>
    </row>
    <row r="1131" spans="3:3" x14ac:dyDescent="0.25">
      <c r="C1131" s="2"/>
    </row>
    <row r="1132" spans="3:3" x14ac:dyDescent="0.25">
      <c r="C1132" s="2"/>
    </row>
    <row r="1133" spans="3:3" x14ac:dyDescent="0.25">
      <c r="C1133" s="2"/>
    </row>
    <row r="1134" spans="3:3" x14ac:dyDescent="0.25">
      <c r="C1134" s="2"/>
    </row>
    <row r="1135" spans="3:3" x14ac:dyDescent="0.25">
      <c r="C1135" s="2"/>
    </row>
    <row r="1136" spans="3:3" x14ac:dyDescent="0.25">
      <c r="C1136" s="2"/>
    </row>
    <row r="1137" spans="3:3" x14ac:dyDescent="0.25">
      <c r="C1137" s="2"/>
    </row>
    <row r="1138" spans="3:3" x14ac:dyDescent="0.25">
      <c r="C1138" s="2"/>
    </row>
    <row r="1139" spans="3:3" x14ac:dyDescent="0.25">
      <c r="C1139" s="2"/>
    </row>
    <row r="1140" spans="3:3" x14ac:dyDescent="0.25">
      <c r="C1140" s="2"/>
    </row>
    <row r="1141" spans="3:3" x14ac:dyDescent="0.25">
      <c r="C1141" s="2"/>
    </row>
    <row r="1142" spans="3:3" x14ac:dyDescent="0.25">
      <c r="C1142" s="2"/>
    </row>
    <row r="1143" spans="3:3" x14ac:dyDescent="0.25">
      <c r="C1143" s="2"/>
    </row>
    <row r="1144" spans="3:3" x14ac:dyDescent="0.25">
      <c r="C1144" s="2"/>
    </row>
    <row r="1145" spans="3:3" x14ac:dyDescent="0.25">
      <c r="C1145" s="2"/>
    </row>
    <row r="1146" spans="3:3" x14ac:dyDescent="0.25">
      <c r="C1146" s="2"/>
    </row>
    <row r="1147" spans="3:3" x14ac:dyDescent="0.25">
      <c r="C1147" s="2"/>
    </row>
    <row r="1148" spans="3:3" x14ac:dyDescent="0.25">
      <c r="C1148" s="2"/>
    </row>
    <row r="1149" spans="3:3" x14ac:dyDescent="0.25">
      <c r="C1149" s="2"/>
    </row>
    <row r="1150" spans="3:3" x14ac:dyDescent="0.25">
      <c r="C1150" s="2"/>
    </row>
    <row r="1151" spans="3:3" x14ac:dyDescent="0.25">
      <c r="C1151" s="2"/>
    </row>
    <row r="1152" spans="3:3" x14ac:dyDescent="0.25">
      <c r="C1152" s="2"/>
    </row>
    <row r="1153" spans="3:3" x14ac:dyDescent="0.25">
      <c r="C1153" s="2"/>
    </row>
    <row r="1154" spans="3:3" x14ac:dyDescent="0.25">
      <c r="C1154" s="2"/>
    </row>
    <row r="1155" spans="3:3" x14ac:dyDescent="0.25">
      <c r="C1155" s="2"/>
    </row>
    <row r="1156" spans="3:3" x14ac:dyDescent="0.25">
      <c r="C1156" s="2"/>
    </row>
    <row r="1157" spans="3:3" x14ac:dyDescent="0.25">
      <c r="C1157" s="2"/>
    </row>
    <row r="1158" spans="3:3" x14ac:dyDescent="0.25">
      <c r="C1158" s="2"/>
    </row>
    <row r="1159" spans="3:3" x14ac:dyDescent="0.25">
      <c r="C1159" s="2"/>
    </row>
    <row r="1160" spans="3:3" x14ac:dyDescent="0.25">
      <c r="C1160" s="2"/>
    </row>
    <row r="1161" spans="3:3" x14ac:dyDescent="0.25">
      <c r="C1161" s="2"/>
    </row>
    <row r="1162" spans="3:3" x14ac:dyDescent="0.25">
      <c r="C1162" s="2"/>
    </row>
    <row r="1163" spans="3:3" x14ac:dyDescent="0.25">
      <c r="C1163" s="2"/>
    </row>
    <row r="1164" spans="3:3" x14ac:dyDescent="0.25">
      <c r="C1164" s="2"/>
    </row>
    <row r="1165" spans="3:3" x14ac:dyDescent="0.25">
      <c r="C1165" s="2"/>
    </row>
    <row r="1166" spans="3:3" x14ac:dyDescent="0.25">
      <c r="C1166" s="2"/>
    </row>
    <row r="1167" spans="3:3" x14ac:dyDescent="0.25">
      <c r="C1167" s="2"/>
    </row>
    <row r="1168" spans="3:3" x14ac:dyDescent="0.25">
      <c r="C1168" s="2"/>
    </row>
    <row r="1169" spans="3:3" x14ac:dyDescent="0.25">
      <c r="C1169" s="2"/>
    </row>
    <row r="1170" spans="3:3" x14ac:dyDescent="0.25">
      <c r="C1170" s="2"/>
    </row>
    <row r="1171" spans="3:3" x14ac:dyDescent="0.25">
      <c r="C1171" s="2"/>
    </row>
    <row r="1172" spans="3:3" x14ac:dyDescent="0.25">
      <c r="C1172" s="2"/>
    </row>
    <row r="1173" spans="3:3" x14ac:dyDescent="0.25">
      <c r="C1173" s="2"/>
    </row>
    <row r="1174" spans="3:3" x14ac:dyDescent="0.25">
      <c r="C1174" s="2"/>
    </row>
    <row r="1175" spans="3:3" x14ac:dyDescent="0.25">
      <c r="C1175" s="2"/>
    </row>
    <row r="1176" spans="3:3" x14ac:dyDescent="0.25">
      <c r="C1176" s="2"/>
    </row>
    <row r="1177" spans="3:3" x14ac:dyDescent="0.25">
      <c r="C1177" s="2"/>
    </row>
    <row r="1178" spans="3:3" x14ac:dyDescent="0.25">
      <c r="C1178" s="2"/>
    </row>
    <row r="1179" spans="3:3" x14ac:dyDescent="0.25">
      <c r="C1179" s="2"/>
    </row>
    <row r="1180" spans="3:3" x14ac:dyDescent="0.25">
      <c r="C1180" s="2"/>
    </row>
    <row r="1181" spans="3:3" x14ac:dyDescent="0.25">
      <c r="C1181" s="2"/>
    </row>
    <row r="1182" spans="3:3" x14ac:dyDescent="0.25">
      <c r="C1182" s="2"/>
    </row>
    <row r="1183" spans="3:3" x14ac:dyDescent="0.25">
      <c r="C1183" s="2"/>
    </row>
    <row r="1184" spans="3:3" x14ac:dyDescent="0.25">
      <c r="C1184" s="2"/>
    </row>
    <row r="1185" spans="3:3" x14ac:dyDescent="0.25">
      <c r="C1185" s="2"/>
    </row>
    <row r="1186" spans="3:3" x14ac:dyDescent="0.25">
      <c r="C1186" s="2"/>
    </row>
    <row r="1187" spans="3:3" x14ac:dyDescent="0.25">
      <c r="C1187" s="2"/>
    </row>
    <row r="1188" spans="3:3" x14ac:dyDescent="0.25">
      <c r="C1188" s="2"/>
    </row>
    <row r="1189" spans="3:3" x14ac:dyDescent="0.25">
      <c r="C1189" s="2"/>
    </row>
    <row r="1190" spans="3:3" x14ac:dyDescent="0.25">
      <c r="C1190" s="2"/>
    </row>
    <row r="1191" spans="3:3" x14ac:dyDescent="0.25">
      <c r="C1191" s="2"/>
    </row>
    <row r="1192" spans="3:3" x14ac:dyDescent="0.25">
      <c r="C1192" s="2"/>
    </row>
    <row r="1193" spans="3:3" x14ac:dyDescent="0.25">
      <c r="C1193" s="2"/>
    </row>
    <row r="1194" spans="3:3" x14ac:dyDescent="0.25">
      <c r="C1194" s="2"/>
    </row>
    <row r="1195" spans="3:3" x14ac:dyDescent="0.25">
      <c r="C1195" s="2"/>
    </row>
    <row r="1196" spans="3:3" x14ac:dyDescent="0.25">
      <c r="C1196" s="2"/>
    </row>
    <row r="1197" spans="3:3" x14ac:dyDescent="0.25">
      <c r="C1197" s="2"/>
    </row>
    <row r="1198" spans="3:3" x14ac:dyDescent="0.25">
      <c r="C1198" s="2"/>
    </row>
    <row r="1199" spans="3:3" x14ac:dyDescent="0.25">
      <c r="C1199" s="2"/>
    </row>
    <row r="1200" spans="3:3" x14ac:dyDescent="0.25">
      <c r="C1200" s="2"/>
    </row>
    <row r="1201" spans="3:3" x14ac:dyDescent="0.25">
      <c r="C1201" s="2"/>
    </row>
    <row r="1202" spans="3:3" x14ac:dyDescent="0.25">
      <c r="C1202" s="2"/>
    </row>
    <row r="1203" spans="3:3" x14ac:dyDescent="0.25">
      <c r="C1203" s="2"/>
    </row>
    <row r="1204" spans="3:3" x14ac:dyDescent="0.25">
      <c r="C1204" s="2"/>
    </row>
    <row r="1205" spans="3:3" x14ac:dyDescent="0.25">
      <c r="C1205" s="2"/>
    </row>
    <row r="1206" spans="3:3" x14ac:dyDescent="0.25">
      <c r="C1206" s="2"/>
    </row>
    <row r="1207" spans="3:3" x14ac:dyDescent="0.25">
      <c r="C1207" s="2"/>
    </row>
    <row r="1208" spans="3:3" x14ac:dyDescent="0.25">
      <c r="C1208" s="2"/>
    </row>
    <row r="1209" spans="3:3" x14ac:dyDescent="0.25">
      <c r="C1209" s="2"/>
    </row>
    <row r="1210" spans="3:3" x14ac:dyDescent="0.25">
      <c r="C1210" s="2"/>
    </row>
    <row r="1211" spans="3:3" x14ac:dyDescent="0.25">
      <c r="C1211" s="2"/>
    </row>
    <row r="1212" spans="3:3" x14ac:dyDescent="0.25">
      <c r="C1212" s="2"/>
    </row>
    <row r="1213" spans="3:3" x14ac:dyDescent="0.25">
      <c r="C1213" s="2"/>
    </row>
    <row r="1214" spans="3:3" x14ac:dyDescent="0.25">
      <c r="C1214" s="2"/>
    </row>
    <row r="1215" spans="3:3" x14ac:dyDescent="0.25">
      <c r="C1215" s="2"/>
    </row>
    <row r="1216" spans="3:3" x14ac:dyDescent="0.25">
      <c r="C1216" s="2"/>
    </row>
    <row r="1217" spans="3:3" x14ac:dyDescent="0.25">
      <c r="C1217" s="2"/>
    </row>
    <row r="1218" spans="3:3" x14ac:dyDescent="0.25">
      <c r="C1218" s="2"/>
    </row>
    <row r="1219" spans="3:3" x14ac:dyDescent="0.25">
      <c r="C1219" s="2"/>
    </row>
    <row r="1220" spans="3:3" x14ac:dyDescent="0.25">
      <c r="C1220" s="2"/>
    </row>
    <row r="1221" spans="3:3" x14ac:dyDescent="0.25">
      <c r="C1221" s="2"/>
    </row>
    <row r="1222" spans="3:3" x14ac:dyDescent="0.25">
      <c r="C1222" s="2"/>
    </row>
    <row r="1223" spans="3:3" x14ac:dyDescent="0.25">
      <c r="C1223" s="2"/>
    </row>
    <row r="1224" spans="3:3" x14ac:dyDescent="0.25">
      <c r="C1224" s="2"/>
    </row>
    <row r="1225" spans="3:3" x14ac:dyDescent="0.25">
      <c r="C1225" s="2"/>
    </row>
    <row r="1226" spans="3:3" x14ac:dyDescent="0.25">
      <c r="C1226" s="2"/>
    </row>
    <row r="1227" spans="3:3" x14ac:dyDescent="0.25">
      <c r="C1227" s="2"/>
    </row>
    <row r="1228" spans="3:3" x14ac:dyDescent="0.25">
      <c r="C1228" s="2"/>
    </row>
    <row r="1229" spans="3:3" x14ac:dyDescent="0.25">
      <c r="C1229" s="2"/>
    </row>
    <row r="1230" spans="3:3" x14ac:dyDescent="0.25">
      <c r="C1230" s="2"/>
    </row>
    <row r="1231" spans="3:3" x14ac:dyDescent="0.25">
      <c r="C1231" s="2"/>
    </row>
    <row r="1232" spans="3:3" x14ac:dyDescent="0.25">
      <c r="C1232" s="2"/>
    </row>
    <row r="1233" spans="3:3" x14ac:dyDescent="0.25">
      <c r="C1233" s="2"/>
    </row>
    <row r="1234" spans="3:3" x14ac:dyDescent="0.25">
      <c r="C1234" s="2"/>
    </row>
    <row r="1235" spans="3:3" x14ac:dyDescent="0.25">
      <c r="C1235" s="2"/>
    </row>
    <row r="1236" spans="3:3" x14ac:dyDescent="0.25">
      <c r="C1236" s="2"/>
    </row>
    <row r="1237" spans="3:3" x14ac:dyDescent="0.25">
      <c r="C1237" s="2"/>
    </row>
    <row r="1238" spans="3:3" x14ac:dyDescent="0.25">
      <c r="C1238" s="2"/>
    </row>
    <row r="1239" spans="3:3" x14ac:dyDescent="0.25">
      <c r="C1239" s="2"/>
    </row>
    <row r="1240" spans="3:3" x14ac:dyDescent="0.25">
      <c r="C1240" s="2"/>
    </row>
    <row r="1241" spans="3:3" x14ac:dyDescent="0.25">
      <c r="C1241" s="2"/>
    </row>
    <row r="1242" spans="3:3" x14ac:dyDescent="0.25">
      <c r="C1242" s="2"/>
    </row>
    <row r="1243" spans="3:3" x14ac:dyDescent="0.25">
      <c r="C1243" s="2"/>
    </row>
    <row r="1244" spans="3:3" x14ac:dyDescent="0.25">
      <c r="C1244" s="2"/>
    </row>
    <row r="1245" spans="3:3" x14ac:dyDescent="0.25">
      <c r="C1245" s="2"/>
    </row>
    <row r="1246" spans="3:3" x14ac:dyDescent="0.25">
      <c r="C1246" s="2"/>
    </row>
    <row r="1247" spans="3:3" x14ac:dyDescent="0.25">
      <c r="C1247" s="2"/>
    </row>
    <row r="1248" spans="3:3" x14ac:dyDescent="0.25">
      <c r="C1248" s="2"/>
    </row>
    <row r="1249" spans="3:3" x14ac:dyDescent="0.25">
      <c r="C1249" s="2"/>
    </row>
    <row r="1250" spans="3:3" x14ac:dyDescent="0.25">
      <c r="C1250" s="2"/>
    </row>
    <row r="1251" spans="3:3" x14ac:dyDescent="0.25">
      <c r="C1251" s="2"/>
    </row>
    <row r="1252" spans="3:3" x14ac:dyDescent="0.25">
      <c r="C1252" s="2"/>
    </row>
    <row r="1253" spans="3:3" x14ac:dyDescent="0.25">
      <c r="C1253" s="2"/>
    </row>
    <row r="1254" spans="3:3" x14ac:dyDescent="0.25">
      <c r="C1254" s="2"/>
    </row>
    <row r="1255" spans="3:3" x14ac:dyDescent="0.25">
      <c r="C1255" s="2"/>
    </row>
    <row r="1256" spans="3:3" x14ac:dyDescent="0.25">
      <c r="C1256" s="2"/>
    </row>
    <row r="1257" spans="3:3" x14ac:dyDescent="0.25">
      <c r="C1257" s="2"/>
    </row>
    <row r="1258" spans="3:3" x14ac:dyDescent="0.25">
      <c r="C1258" s="2"/>
    </row>
    <row r="1259" spans="3:3" x14ac:dyDescent="0.25">
      <c r="C1259" s="2"/>
    </row>
    <row r="1260" spans="3:3" x14ac:dyDescent="0.25">
      <c r="C1260" s="2"/>
    </row>
    <row r="1261" spans="3:3" x14ac:dyDescent="0.25">
      <c r="C1261" s="2"/>
    </row>
    <row r="1262" spans="3:3" x14ac:dyDescent="0.25">
      <c r="C1262" s="2"/>
    </row>
    <row r="1263" spans="3:3" x14ac:dyDescent="0.25">
      <c r="C1263" s="2"/>
    </row>
    <row r="1264" spans="3:3" x14ac:dyDescent="0.25">
      <c r="C1264" s="2"/>
    </row>
    <row r="1265" spans="3:3" x14ac:dyDescent="0.25">
      <c r="C1265" s="2"/>
    </row>
    <row r="1266" spans="3:3" x14ac:dyDescent="0.25">
      <c r="C1266" s="2"/>
    </row>
    <row r="1267" spans="3:3" x14ac:dyDescent="0.25">
      <c r="C1267" s="2"/>
    </row>
    <row r="1268" spans="3:3" x14ac:dyDescent="0.25">
      <c r="C1268" s="2"/>
    </row>
    <row r="1269" spans="3:3" x14ac:dyDescent="0.25">
      <c r="C1269" s="2"/>
    </row>
    <row r="1270" spans="3:3" x14ac:dyDescent="0.25">
      <c r="C1270" s="2"/>
    </row>
    <row r="1271" spans="3:3" x14ac:dyDescent="0.25">
      <c r="C1271" s="2"/>
    </row>
    <row r="1272" spans="3:3" x14ac:dyDescent="0.25">
      <c r="C1272" s="2"/>
    </row>
    <row r="1273" spans="3:3" x14ac:dyDescent="0.25">
      <c r="C1273" s="2"/>
    </row>
    <row r="1274" spans="3:3" x14ac:dyDescent="0.25">
      <c r="C1274" s="2"/>
    </row>
    <row r="1275" spans="3:3" x14ac:dyDescent="0.25">
      <c r="C1275" s="2"/>
    </row>
    <row r="1276" spans="3:3" x14ac:dyDescent="0.25">
      <c r="C1276" s="2"/>
    </row>
    <row r="1277" spans="3:3" x14ac:dyDescent="0.25">
      <c r="C1277" s="2"/>
    </row>
    <row r="1278" spans="3:3" x14ac:dyDescent="0.25">
      <c r="C1278" s="2"/>
    </row>
    <row r="1279" spans="3:3" x14ac:dyDescent="0.25">
      <c r="C1279" s="2"/>
    </row>
    <row r="1280" spans="3:3" x14ac:dyDescent="0.25">
      <c r="C1280" s="2"/>
    </row>
    <row r="1281" spans="3:3" x14ac:dyDescent="0.25">
      <c r="C1281" s="2"/>
    </row>
    <row r="1282" spans="3:3" x14ac:dyDescent="0.25">
      <c r="C1282" s="2"/>
    </row>
    <row r="1283" spans="3:3" x14ac:dyDescent="0.25">
      <c r="C1283" s="2"/>
    </row>
    <row r="1284" spans="3:3" x14ac:dyDescent="0.25">
      <c r="C1284" s="2"/>
    </row>
    <row r="1285" spans="3:3" x14ac:dyDescent="0.25">
      <c r="C1285" s="2"/>
    </row>
    <row r="1286" spans="3:3" x14ac:dyDescent="0.25">
      <c r="C1286" s="2"/>
    </row>
    <row r="1287" spans="3:3" x14ac:dyDescent="0.25">
      <c r="C1287" s="2"/>
    </row>
    <row r="1288" spans="3:3" x14ac:dyDescent="0.25">
      <c r="C1288" s="2"/>
    </row>
    <row r="1289" spans="3:3" x14ac:dyDescent="0.25">
      <c r="C1289" s="2"/>
    </row>
    <row r="1290" spans="3:3" x14ac:dyDescent="0.25">
      <c r="C1290" s="2"/>
    </row>
    <row r="1291" spans="3:3" x14ac:dyDescent="0.25">
      <c r="C1291" s="2"/>
    </row>
    <row r="1292" spans="3:3" x14ac:dyDescent="0.25">
      <c r="C1292" s="2"/>
    </row>
    <row r="1293" spans="3:3" x14ac:dyDescent="0.25">
      <c r="C1293" s="2"/>
    </row>
    <row r="1294" spans="3:3" x14ac:dyDescent="0.25">
      <c r="C1294" s="2"/>
    </row>
    <row r="1295" spans="3:3" x14ac:dyDescent="0.25">
      <c r="C1295" s="2"/>
    </row>
    <row r="1296" spans="3:3" x14ac:dyDescent="0.25">
      <c r="C1296" s="2"/>
    </row>
    <row r="1297" spans="3:3" x14ac:dyDescent="0.25">
      <c r="C1297" s="2"/>
    </row>
    <row r="1298" spans="3:3" x14ac:dyDescent="0.25">
      <c r="C1298" s="2"/>
    </row>
    <row r="1299" spans="3:3" x14ac:dyDescent="0.25">
      <c r="C1299" s="2"/>
    </row>
    <row r="1300" spans="3:3" x14ac:dyDescent="0.25">
      <c r="C1300" s="2"/>
    </row>
    <row r="1301" spans="3:3" x14ac:dyDescent="0.25">
      <c r="C1301" s="2"/>
    </row>
    <row r="1302" spans="3:3" x14ac:dyDescent="0.25">
      <c r="C1302" s="2"/>
    </row>
    <row r="1303" spans="3:3" x14ac:dyDescent="0.25">
      <c r="C1303" s="2"/>
    </row>
    <row r="1304" spans="3:3" x14ac:dyDescent="0.25">
      <c r="C1304" s="2"/>
    </row>
    <row r="1305" spans="3:3" x14ac:dyDescent="0.25">
      <c r="C1305" s="2"/>
    </row>
    <row r="1306" spans="3:3" x14ac:dyDescent="0.25">
      <c r="C1306" s="2"/>
    </row>
    <row r="1307" spans="3:3" x14ac:dyDescent="0.25">
      <c r="C1307" s="2"/>
    </row>
    <row r="1308" spans="3:3" x14ac:dyDescent="0.25">
      <c r="C1308" s="2"/>
    </row>
    <row r="1309" spans="3:3" x14ac:dyDescent="0.25">
      <c r="C1309" s="2"/>
    </row>
    <row r="1310" spans="3:3" x14ac:dyDescent="0.25">
      <c r="C1310" s="2"/>
    </row>
    <row r="1311" spans="3:3" x14ac:dyDescent="0.25">
      <c r="C1311" s="2"/>
    </row>
    <row r="1312" spans="3:3" x14ac:dyDescent="0.25">
      <c r="C1312" s="2"/>
    </row>
    <row r="1313" spans="3:3" x14ac:dyDescent="0.25">
      <c r="C1313" s="2"/>
    </row>
    <row r="1314" spans="3:3" x14ac:dyDescent="0.25">
      <c r="C1314" s="2"/>
    </row>
    <row r="1315" spans="3:3" x14ac:dyDescent="0.25">
      <c r="C1315" s="2"/>
    </row>
    <row r="1316" spans="3:3" x14ac:dyDescent="0.25">
      <c r="C1316" s="2"/>
    </row>
    <row r="1317" spans="3:3" x14ac:dyDescent="0.25">
      <c r="C1317" s="2"/>
    </row>
    <row r="1318" spans="3:3" x14ac:dyDescent="0.25">
      <c r="C1318" s="2"/>
    </row>
    <row r="1319" spans="3:3" x14ac:dyDescent="0.25">
      <c r="C1319" s="2"/>
    </row>
    <row r="1320" spans="3:3" x14ac:dyDescent="0.25">
      <c r="C1320" s="2"/>
    </row>
    <row r="1321" spans="3:3" x14ac:dyDescent="0.25">
      <c r="C1321" s="2"/>
    </row>
    <row r="1322" spans="3:3" x14ac:dyDescent="0.25">
      <c r="C1322" s="2"/>
    </row>
    <row r="1323" spans="3:3" x14ac:dyDescent="0.25">
      <c r="C1323" s="2"/>
    </row>
    <row r="1324" spans="3:3" x14ac:dyDescent="0.25">
      <c r="C1324" s="2"/>
    </row>
    <row r="1325" spans="3:3" x14ac:dyDescent="0.25">
      <c r="C1325" s="2"/>
    </row>
    <row r="1326" spans="3:3" x14ac:dyDescent="0.25">
      <c r="C1326" s="2"/>
    </row>
    <row r="1327" spans="3:3" x14ac:dyDescent="0.25">
      <c r="C1327" s="2"/>
    </row>
    <row r="1328" spans="3:3" x14ac:dyDescent="0.25">
      <c r="C1328" s="2"/>
    </row>
    <row r="1329" spans="3:3" x14ac:dyDescent="0.25">
      <c r="C1329" s="2"/>
    </row>
    <row r="1330" spans="3:3" x14ac:dyDescent="0.25">
      <c r="C1330" s="2"/>
    </row>
    <row r="1331" spans="3:3" x14ac:dyDescent="0.25">
      <c r="C1331" s="2"/>
    </row>
    <row r="1332" spans="3:3" x14ac:dyDescent="0.25">
      <c r="C1332" s="2"/>
    </row>
    <row r="1333" spans="3:3" x14ac:dyDescent="0.25">
      <c r="C1333" s="2"/>
    </row>
    <row r="1334" spans="3:3" x14ac:dyDescent="0.25">
      <c r="C1334" s="2"/>
    </row>
    <row r="1335" spans="3:3" x14ac:dyDescent="0.25">
      <c r="C1335" s="2"/>
    </row>
    <row r="1336" spans="3:3" x14ac:dyDescent="0.25">
      <c r="C1336" s="2"/>
    </row>
    <row r="1337" spans="3:3" x14ac:dyDescent="0.25">
      <c r="C1337" s="2"/>
    </row>
    <row r="1338" spans="3:3" x14ac:dyDescent="0.25">
      <c r="C1338" s="2"/>
    </row>
    <row r="1339" spans="3:3" x14ac:dyDescent="0.25">
      <c r="C1339" s="2"/>
    </row>
    <row r="1340" spans="3:3" x14ac:dyDescent="0.25">
      <c r="C1340" s="2"/>
    </row>
    <row r="1341" spans="3:3" x14ac:dyDescent="0.25">
      <c r="C1341" s="2"/>
    </row>
    <row r="1342" spans="3:3" x14ac:dyDescent="0.25">
      <c r="C1342" s="2"/>
    </row>
    <row r="1343" spans="3:3" x14ac:dyDescent="0.25">
      <c r="C1343" s="2"/>
    </row>
    <row r="1344" spans="3:3" x14ac:dyDescent="0.25">
      <c r="C1344" s="2"/>
    </row>
    <row r="1345" spans="3:3" x14ac:dyDescent="0.25">
      <c r="C1345" s="2"/>
    </row>
    <row r="1346" spans="3:3" x14ac:dyDescent="0.25">
      <c r="C1346" s="2"/>
    </row>
    <row r="1347" spans="3:3" x14ac:dyDescent="0.25">
      <c r="C1347" s="2"/>
    </row>
    <row r="1348" spans="3:3" x14ac:dyDescent="0.25">
      <c r="C1348" s="2"/>
    </row>
    <row r="1349" spans="3:3" x14ac:dyDescent="0.25">
      <c r="C1349" s="2"/>
    </row>
    <row r="1350" spans="3:3" x14ac:dyDescent="0.25">
      <c r="C1350" s="2"/>
    </row>
    <row r="1351" spans="3:3" x14ac:dyDescent="0.25">
      <c r="C1351" s="2"/>
    </row>
    <row r="1352" spans="3:3" x14ac:dyDescent="0.25">
      <c r="C1352" s="2"/>
    </row>
    <row r="1353" spans="3:3" x14ac:dyDescent="0.25">
      <c r="C1353" s="2"/>
    </row>
    <row r="1354" spans="3:3" x14ac:dyDescent="0.25">
      <c r="C1354" s="2"/>
    </row>
    <row r="1355" spans="3:3" x14ac:dyDescent="0.25">
      <c r="C1355" s="2"/>
    </row>
    <row r="1356" spans="3:3" x14ac:dyDescent="0.25">
      <c r="C1356" s="2"/>
    </row>
    <row r="1357" spans="3:3" x14ac:dyDescent="0.25">
      <c r="C1357" s="2"/>
    </row>
    <row r="1358" spans="3:3" x14ac:dyDescent="0.25">
      <c r="C1358" s="2"/>
    </row>
    <row r="1359" spans="3:3" x14ac:dyDescent="0.25">
      <c r="C1359" s="2"/>
    </row>
    <row r="1360" spans="3:3" x14ac:dyDescent="0.25">
      <c r="C1360" s="2"/>
    </row>
    <row r="1361" spans="3:3" x14ac:dyDescent="0.25">
      <c r="C1361" s="2"/>
    </row>
    <row r="1362" spans="3:3" x14ac:dyDescent="0.25">
      <c r="C1362" s="2"/>
    </row>
    <row r="1363" spans="3:3" x14ac:dyDescent="0.25">
      <c r="C1363" s="2"/>
    </row>
    <row r="1364" spans="3:3" x14ac:dyDescent="0.25">
      <c r="C1364" s="2"/>
    </row>
    <row r="1365" spans="3:3" x14ac:dyDescent="0.25">
      <c r="C1365" s="2"/>
    </row>
    <row r="1366" spans="3:3" x14ac:dyDescent="0.25">
      <c r="C1366" s="2"/>
    </row>
    <row r="1367" spans="3:3" x14ac:dyDescent="0.25">
      <c r="C1367" s="2"/>
    </row>
    <row r="1368" spans="3:3" x14ac:dyDescent="0.25">
      <c r="C1368" s="2"/>
    </row>
    <row r="1369" spans="3:3" x14ac:dyDescent="0.25">
      <c r="C1369" s="2"/>
    </row>
    <row r="1370" spans="3:3" x14ac:dyDescent="0.25">
      <c r="C1370" s="2"/>
    </row>
    <row r="1371" spans="3:3" x14ac:dyDescent="0.25">
      <c r="C1371" s="2"/>
    </row>
    <row r="1372" spans="3:3" x14ac:dyDescent="0.25">
      <c r="C1372" s="2"/>
    </row>
    <row r="1373" spans="3:3" x14ac:dyDescent="0.25">
      <c r="C1373" s="2"/>
    </row>
    <row r="1374" spans="3:3" x14ac:dyDescent="0.25">
      <c r="C1374" s="2"/>
    </row>
    <row r="1375" spans="3:3" x14ac:dyDescent="0.25">
      <c r="C1375" s="2"/>
    </row>
    <row r="1376" spans="3:3" x14ac:dyDescent="0.25">
      <c r="C1376" s="2"/>
    </row>
    <row r="1377" spans="3:3" x14ac:dyDescent="0.25">
      <c r="C1377" s="2"/>
    </row>
    <row r="1378" spans="3:3" x14ac:dyDescent="0.25">
      <c r="C1378" s="2"/>
    </row>
    <row r="1379" spans="3:3" x14ac:dyDescent="0.25">
      <c r="C1379" s="2"/>
    </row>
    <row r="1380" spans="3:3" x14ac:dyDescent="0.25">
      <c r="C1380" s="2"/>
    </row>
    <row r="1381" spans="3:3" x14ac:dyDescent="0.25">
      <c r="C1381" s="2"/>
    </row>
    <row r="1382" spans="3:3" x14ac:dyDescent="0.25">
      <c r="C1382" s="2"/>
    </row>
    <row r="1383" spans="3:3" x14ac:dyDescent="0.25">
      <c r="C1383" s="2"/>
    </row>
    <row r="1384" spans="3:3" x14ac:dyDescent="0.25">
      <c r="C1384" s="2"/>
    </row>
    <row r="1385" spans="3:3" x14ac:dyDescent="0.25">
      <c r="C1385" s="2"/>
    </row>
    <row r="1386" spans="3:3" x14ac:dyDescent="0.25">
      <c r="C1386" s="2"/>
    </row>
    <row r="1387" spans="3:3" x14ac:dyDescent="0.25">
      <c r="C1387" s="2"/>
    </row>
    <row r="1388" spans="3:3" x14ac:dyDescent="0.25">
      <c r="C1388" s="2"/>
    </row>
    <row r="1389" spans="3:3" x14ac:dyDescent="0.25">
      <c r="C1389" s="2"/>
    </row>
    <row r="1390" spans="3:3" x14ac:dyDescent="0.25">
      <c r="C1390" s="2"/>
    </row>
    <row r="1391" spans="3:3" x14ac:dyDescent="0.25">
      <c r="C1391" s="2"/>
    </row>
    <row r="1392" spans="3:3" x14ac:dyDescent="0.25">
      <c r="C1392" s="2"/>
    </row>
    <row r="1393" spans="3:3" x14ac:dyDescent="0.25">
      <c r="C1393" s="2"/>
    </row>
    <row r="1394" spans="3:3" x14ac:dyDescent="0.25">
      <c r="C1394" s="2"/>
    </row>
    <row r="1395" spans="3:3" x14ac:dyDescent="0.25">
      <c r="C1395" s="2"/>
    </row>
    <row r="1396" spans="3:3" x14ac:dyDescent="0.25">
      <c r="C1396" s="2"/>
    </row>
    <row r="1397" spans="3:3" x14ac:dyDescent="0.25">
      <c r="C1397" s="2"/>
    </row>
    <row r="1398" spans="3:3" x14ac:dyDescent="0.25">
      <c r="C1398" s="2"/>
    </row>
    <row r="1399" spans="3:3" x14ac:dyDescent="0.25">
      <c r="C1399" s="2"/>
    </row>
    <row r="1400" spans="3:3" x14ac:dyDescent="0.25">
      <c r="C1400" s="2"/>
    </row>
    <row r="1401" spans="3:3" x14ac:dyDescent="0.25">
      <c r="C1401" s="2"/>
    </row>
    <row r="1402" spans="3:3" x14ac:dyDescent="0.25">
      <c r="C1402" s="2"/>
    </row>
    <row r="1403" spans="3:3" x14ac:dyDescent="0.25">
      <c r="C1403" s="2"/>
    </row>
    <row r="1404" spans="3:3" x14ac:dyDescent="0.25">
      <c r="C1404" s="2"/>
    </row>
    <row r="1405" spans="3:3" x14ac:dyDescent="0.25">
      <c r="C1405" s="2"/>
    </row>
    <row r="1406" spans="3:3" x14ac:dyDescent="0.25">
      <c r="C1406" s="2"/>
    </row>
    <row r="1407" spans="3:3" x14ac:dyDescent="0.25">
      <c r="C1407" s="2"/>
    </row>
    <row r="1408" spans="3:3" x14ac:dyDescent="0.25">
      <c r="C1408" s="2"/>
    </row>
    <row r="1409" spans="3:3" x14ac:dyDescent="0.25">
      <c r="C1409" s="2"/>
    </row>
    <row r="1410" spans="3:3" x14ac:dyDescent="0.25">
      <c r="C1410" s="2"/>
    </row>
    <row r="1411" spans="3:3" x14ac:dyDescent="0.25">
      <c r="C1411" s="2"/>
    </row>
    <row r="1412" spans="3:3" x14ac:dyDescent="0.25">
      <c r="C1412" s="2"/>
    </row>
    <row r="1413" spans="3:3" x14ac:dyDescent="0.25">
      <c r="C1413" s="2"/>
    </row>
    <row r="1414" spans="3:3" x14ac:dyDescent="0.25">
      <c r="C1414" s="2"/>
    </row>
    <row r="1415" spans="3:3" x14ac:dyDescent="0.25">
      <c r="C1415" s="2"/>
    </row>
    <row r="1416" spans="3:3" x14ac:dyDescent="0.25">
      <c r="C1416" s="2"/>
    </row>
    <row r="1417" spans="3:3" x14ac:dyDescent="0.25">
      <c r="C1417" s="2"/>
    </row>
    <row r="1418" spans="3:3" x14ac:dyDescent="0.25">
      <c r="C1418" s="2"/>
    </row>
    <row r="1419" spans="3:3" x14ac:dyDescent="0.25">
      <c r="C1419" s="2"/>
    </row>
    <row r="1420" spans="3:3" x14ac:dyDescent="0.25">
      <c r="C1420" s="2"/>
    </row>
    <row r="1421" spans="3:3" x14ac:dyDescent="0.25">
      <c r="C1421" s="2"/>
    </row>
    <row r="1422" spans="3:3" x14ac:dyDescent="0.25">
      <c r="C1422" s="2"/>
    </row>
    <row r="1423" spans="3:3" x14ac:dyDescent="0.25">
      <c r="C1423" s="2"/>
    </row>
    <row r="1424" spans="3:3" x14ac:dyDescent="0.25">
      <c r="C1424" s="2"/>
    </row>
    <row r="1425" spans="3:3" x14ac:dyDescent="0.25">
      <c r="C1425" s="2"/>
    </row>
    <row r="1426" spans="3:3" x14ac:dyDescent="0.25">
      <c r="C1426" s="2"/>
    </row>
    <row r="1427" spans="3:3" x14ac:dyDescent="0.25">
      <c r="C1427" s="2"/>
    </row>
    <row r="1428" spans="3:3" x14ac:dyDescent="0.25">
      <c r="C1428" s="2"/>
    </row>
    <row r="1429" spans="3:3" x14ac:dyDescent="0.25">
      <c r="C1429" s="2"/>
    </row>
    <row r="1430" spans="3:3" x14ac:dyDescent="0.25">
      <c r="C1430" s="2"/>
    </row>
    <row r="1431" spans="3:3" x14ac:dyDescent="0.25">
      <c r="C1431" s="2"/>
    </row>
  </sheetData>
  <mergeCells count="446">
    <mergeCell ref="A1:R1"/>
    <mergeCell ref="R4:R5"/>
    <mergeCell ref="A2:R2"/>
    <mergeCell ref="A3:R3"/>
    <mergeCell ref="A13:A14"/>
    <mergeCell ref="B13:B14"/>
    <mergeCell ref="P13:P14"/>
    <mergeCell ref="A4:A5"/>
    <mergeCell ref="B4:B5"/>
    <mergeCell ref="D4:G4"/>
    <mergeCell ref="H4:K4"/>
    <mergeCell ref="L4:O4"/>
    <mergeCell ref="Q4:Q5"/>
    <mergeCell ref="P4:P5"/>
    <mergeCell ref="C4:C5"/>
    <mergeCell ref="Q13:Q14"/>
    <mergeCell ref="D6:G6"/>
    <mergeCell ref="P8:P9"/>
    <mergeCell ref="A10:A11"/>
    <mergeCell ref="B97:B98"/>
    <mergeCell ref="Q95:Q96"/>
    <mergeCell ref="P127:P128"/>
    <mergeCell ref="Q127:Q128"/>
    <mergeCell ref="H114:K114"/>
    <mergeCell ref="L114:O114"/>
    <mergeCell ref="Q125:Q126"/>
    <mergeCell ref="Q115:Q116"/>
    <mergeCell ref="Q117:Q118"/>
    <mergeCell ref="D114:G114"/>
    <mergeCell ref="L119:O119"/>
    <mergeCell ref="H119:K119"/>
    <mergeCell ref="H100:K100"/>
    <mergeCell ref="L100:O100"/>
    <mergeCell ref="D103:G103"/>
    <mergeCell ref="H103:K103"/>
    <mergeCell ref="L103:O103"/>
    <mergeCell ref="D101:G101"/>
    <mergeCell ref="H101:K101"/>
    <mergeCell ref="L101:O101"/>
    <mergeCell ref="D102:G102"/>
    <mergeCell ref="Q109:Q110"/>
    <mergeCell ref="D122:G122"/>
    <mergeCell ref="H122:K122"/>
    <mergeCell ref="H49:K49"/>
    <mergeCell ref="Q155:Q156"/>
    <mergeCell ref="H149:K149"/>
    <mergeCell ref="L149:O149"/>
    <mergeCell ref="D143:G143"/>
    <mergeCell ref="H143:K143"/>
    <mergeCell ref="L143:O143"/>
    <mergeCell ref="D144:G144"/>
    <mergeCell ref="H144:K144"/>
    <mergeCell ref="L144:O144"/>
    <mergeCell ref="Q152:Q153"/>
    <mergeCell ref="P152:P153"/>
    <mergeCell ref="Q145:Q146"/>
    <mergeCell ref="D149:G149"/>
    <mergeCell ref="D154:G154"/>
    <mergeCell ref="H154:K154"/>
    <mergeCell ref="L154:O154"/>
    <mergeCell ref="P147:P148"/>
    <mergeCell ref="Q147:Q148"/>
    <mergeCell ref="P150:P151"/>
    <mergeCell ref="Q150:Q151"/>
    <mergeCell ref="L122:O122"/>
    <mergeCell ref="D107:G107"/>
    <mergeCell ref="H107:K107"/>
    <mergeCell ref="D57:G57"/>
    <mergeCell ref="H57:K57"/>
    <mergeCell ref="H66:K66"/>
    <mergeCell ref="L66:O66"/>
    <mergeCell ref="D71:G71"/>
    <mergeCell ref="H71:K71"/>
    <mergeCell ref="D58:G58"/>
    <mergeCell ref="H58:K58"/>
    <mergeCell ref="L58:O58"/>
    <mergeCell ref="D60:G60"/>
    <mergeCell ref="H60:K60"/>
    <mergeCell ref="L60:O60"/>
    <mergeCell ref="D59:G59"/>
    <mergeCell ref="L57:O57"/>
    <mergeCell ref="A75:A76"/>
    <mergeCell ref="P125:P126"/>
    <mergeCell ref="P130:P131"/>
    <mergeCell ref="A130:A131"/>
    <mergeCell ref="B130:B131"/>
    <mergeCell ref="B105:B106"/>
    <mergeCell ref="C130:C131"/>
    <mergeCell ref="A97:A98"/>
    <mergeCell ref="A77:A78"/>
    <mergeCell ref="B75:B76"/>
    <mergeCell ref="D120:G120"/>
    <mergeCell ref="H120:K120"/>
    <mergeCell ref="L120:O120"/>
    <mergeCell ref="L113:O113"/>
    <mergeCell ref="D108:G108"/>
    <mergeCell ref="H108:K108"/>
    <mergeCell ref="L108:O108"/>
    <mergeCell ref="D111:G111"/>
    <mergeCell ref="H111:K111"/>
    <mergeCell ref="D86:G86"/>
    <mergeCell ref="A125:A126"/>
    <mergeCell ref="A92:A93"/>
    <mergeCell ref="B92:B93"/>
    <mergeCell ref="A95:A96"/>
    <mergeCell ref="L59:O59"/>
    <mergeCell ref="D64:G64"/>
    <mergeCell ref="H64:K64"/>
    <mergeCell ref="L64:O64"/>
    <mergeCell ref="H73:K73"/>
    <mergeCell ref="D72:G72"/>
    <mergeCell ref="H72:K72"/>
    <mergeCell ref="L85:O85"/>
    <mergeCell ref="D61:G61"/>
    <mergeCell ref="H61:K61"/>
    <mergeCell ref="L61:O61"/>
    <mergeCell ref="D79:G79"/>
    <mergeCell ref="D85:G85"/>
    <mergeCell ref="H85:K85"/>
    <mergeCell ref="D70:G70"/>
    <mergeCell ref="H70:K70"/>
    <mergeCell ref="L70:O70"/>
    <mergeCell ref="L83:O83"/>
    <mergeCell ref="H84:K84"/>
    <mergeCell ref="D74:G74"/>
    <mergeCell ref="H74:K74"/>
    <mergeCell ref="L74:O74"/>
    <mergeCell ref="A157:A158"/>
    <mergeCell ref="B157:B158"/>
    <mergeCell ref="Q157:Q158"/>
    <mergeCell ref="P157:P158"/>
    <mergeCell ref="D159:G159"/>
    <mergeCell ref="H159:K159"/>
    <mergeCell ref="L159:O159"/>
    <mergeCell ref="L111:O111"/>
    <mergeCell ref="D112:G112"/>
    <mergeCell ref="H112:K112"/>
    <mergeCell ref="L112:O112"/>
    <mergeCell ref="A123:A124"/>
    <mergeCell ref="B123:B124"/>
    <mergeCell ref="Q123:Q124"/>
    <mergeCell ref="Q130:Q131"/>
    <mergeCell ref="P123:P124"/>
    <mergeCell ref="P115:P116"/>
    <mergeCell ref="A117:A118"/>
    <mergeCell ref="B117:B118"/>
    <mergeCell ref="P117:P118"/>
    <mergeCell ref="H113:K113"/>
    <mergeCell ref="H130:K130"/>
    <mergeCell ref="B125:B126"/>
    <mergeCell ref="L130:O130"/>
    <mergeCell ref="A155:A156"/>
    <mergeCell ref="B155:B156"/>
    <mergeCell ref="P155:P156"/>
    <mergeCell ref="B95:B96"/>
    <mergeCell ref="A109:A110"/>
    <mergeCell ref="B109:B110"/>
    <mergeCell ref="D90:G90"/>
    <mergeCell ref="H87:K87"/>
    <mergeCell ref="D113:G113"/>
    <mergeCell ref="D88:G88"/>
    <mergeCell ref="H88:K88"/>
    <mergeCell ref="D89:G89"/>
    <mergeCell ref="H89:K89"/>
    <mergeCell ref="D140:G140"/>
    <mergeCell ref="H140:K140"/>
    <mergeCell ref="L140:O140"/>
    <mergeCell ref="D141:G141"/>
    <mergeCell ref="P105:P106"/>
    <mergeCell ref="P97:P98"/>
    <mergeCell ref="H134:K134"/>
    <mergeCell ref="D130:G130"/>
    <mergeCell ref="L135:O135"/>
    <mergeCell ref="L142:O142"/>
    <mergeCell ref="P92:P93"/>
    <mergeCell ref="A105:A106"/>
    <mergeCell ref="D87:G87"/>
    <mergeCell ref="L84:O84"/>
    <mergeCell ref="A145:A146"/>
    <mergeCell ref="B145:B146"/>
    <mergeCell ref="H79:K79"/>
    <mergeCell ref="L79:O79"/>
    <mergeCell ref="D80:G80"/>
    <mergeCell ref="H80:K80"/>
    <mergeCell ref="L80:O80"/>
    <mergeCell ref="D81:G81"/>
    <mergeCell ref="H81:K81"/>
    <mergeCell ref="L81:O81"/>
    <mergeCell ref="D82:G82"/>
    <mergeCell ref="H82:K82"/>
    <mergeCell ref="L82:O82"/>
    <mergeCell ref="L104:O104"/>
    <mergeCell ref="D104:G104"/>
    <mergeCell ref="H86:K86"/>
    <mergeCell ref="L91:O91"/>
    <mergeCell ref="H104:K104"/>
    <mergeCell ref="H99:K99"/>
    <mergeCell ref="L99:O99"/>
    <mergeCell ref="D100:G100"/>
    <mergeCell ref="A147:A148"/>
    <mergeCell ref="B147:B148"/>
    <mergeCell ref="H136:K136"/>
    <mergeCell ref="A152:A153"/>
    <mergeCell ref="B152:B153"/>
    <mergeCell ref="D121:G121"/>
    <mergeCell ref="H121:K121"/>
    <mergeCell ref="L121:O121"/>
    <mergeCell ref="A115:A116"/>
    <mergeCell ref="B115:B116"/>
    <mergeCell ref="D142:G142"/>
    <mergeCell ref="H142:K142"/>
    <mergeCell ref="H141:K141"/>
    <mergeCell ref="D119:G119"/>
    <mergeCell ref="L136:O136"/>
    <mergeCell ref="H135:K135"/>
    <mergeCell ref="L134:O134"/>
    <mergeCell ref="D135:G135"/>
    <mergeCell ref="D134:G134"/>
    <mergeCell ref="A150:A151"/>
    <mergeCell ref="B150:B151"/>
    <mergeCell ref="D31:G31"/>
    <mergeCell ref="H31:K31"/>
    <mergeCell ref="L31:O31"/>
    <mergeCell ref="D32:G32"/>
    <mergeCell ref="H32:K32"/>
    <mergeCell ref="L32:O32"/>
    <mergeCell ref="P33:P34"/>
    <mergeCell ref="D38:G38"/>
    <mergeCell ref="H38:K38"/>
    <mergeCell ref="L38:O38"/>
    <mergeCell ref="P38:P39"/>
    <mergeCell ref="H44:K44"/>
    <mergeCell ref="P145:P146"/>
    <mergeCell ref="D62:G62"/>
    <mergeCell ref="H62:K62"/>
    <mergeCell ref="D136:G136"/>
    <mergeCell ref="B77:B78"/>
    <mergeCell ref="P75:P76"/>
    <mergeCell ref="P77:P78"/>
    <mergeCell ref="H90:K90"/>
    <mergeCell ref="D47:G47"/>
    <mergeCell ref="H47:K47"/>
    <mergeCell ref="L47:O47"/>
    <mergeCell ref="D46:G46"/>
    <mergeCell ref="H46:K46"/>
    <mergeCell ref="L46:O46"/>
    <mergeCell ref="D83:G83"/>
    <mergeCell ref="L49:O49"/>
    <mergeCell ref="H56:K56"/>
    <mergeCell ref="L56:O56"/>
    <mergeCell ref="D67:G67"/>
    <mergeCell ref="L72:O72"/>
    <mergeCell ref="D73:G73"/>
    <mergeCell ref="L73:O73"/>
    <mergeCell ref="H59:K59"/>
    <mergeCell ref="Q27:Q28"/>
    <mergeCell ref="P27:P28"/>
    <mergeCell ref="A23:A24"/>
    <mergeCell ref="B23:B24"/>
    <mergeCell ref="Q29:Q30"/>
    <mergeCell ref="H67:K67"/>
    <mergeCell ref="L67:O67"/>
    <mergeCell ref="L62:O62"/>
    <mergeCell ref="D63:G63"/>
    <mergeCell ref="H63:K63"/>
    <mergeCell ref="L63:O63"/>
    <mergeCell ref="H65:K65"/>
    <mergeCell ref="L65:O65"/>
    <mergeCell ref="Q33:Q34"/>
    <mergeCell ref="A33:A34"/>
    <mergeCell ref="B33:B34"/>
    <mergeCell ref="C38:C39"/>
    <mergeCell ref="A40:A41"/>
    <mergeCell ref="A38:A39"/>
    <mergeCell ref="B38:B39"/>
    <mergeCell ref="D45:G45"/>
    <mergeCell ref="H45:K45"/>
    <mergeCell ref="L45:O45"/>
    <mergeCell ref="D44:G44"/>
    <mergeCell ref="H6:K6"/>
    <mergeCell ref="L6:O6"/>
    <mergeCell ref="A8:A9"/>
    <mergeCell ref="B8:B9"/>
    <mergeCell ref="L141:O141"/>
    <mergeCell ref="D137:G137"/>
    <mergeCell ref="H137:K137"/>
    <mergeCell ref="L137:O137"/>
    <mergeCell ref="H51:K51"/>
    <mergeCell ref="L51:O51"/>
    <mergeCell ref="D68:G68"/>
    <mergeCell ref="H68:K68"/>
    <mergeCell ref="L68:O68"/>
    <mergeCell ref="D69:G69"/>
    <mergeCell ref="H69:K69"/>
    <mergeCell ref="L69:O69"/>
    <mergeCell ref="D52:G52"/>
    <mergeCell ref="D12:G12"/>
    <mergeCell ref="H12:K12"/>
    <mergeCell ref="L12:O12"/>
    <mergeCell ref="D15:G15"/>
    <mergeCell ref="H15:K15"/>
    <mergeCell ref="L15:O15"/>
    <mergeCell ref="B27:B28"/>
    <mergeCell ref="Q23:Q24"/>
    <mergeCell ref="H55:K55"/>
    <mergeCell ref="L55:O55"/>
    <mergeCell ref="D54:G54"/>
    <mergeCell ref="H54:K54"/>
    <mergeCell ref="L54:O54"/>
    <mergeCell ref="H52:K52"/>
    <mergeCell ref="L52:O52"/>
    <mergeCell ref="D53:G53"/>
    <mergeCell ref="H53:K53"/>
    <mergeCell ref="L53:O53"/>
    <mergeCell ref="D51:G51"/>
    <mergeCell ref="Q25:Q26"/>
    <mergeCell ref="L44:O44"/>
    <mergeCell ref="Q40:Q41"/>
    <mergeCell ref="D55:G55"/>
    <mergeCell ref="Q38:Q39"/>
    <mergeCell ref="D50:G50"/>
    <mergeCell ref="H50:K50"/>
    <mergeCell ref="L50:O50"/>
    <mergeCell ref="D48:G48"/>
    <mergeCell ref="H48:K48"/>
    <mergeCell ref="L48:O48"/>
    <mergeCell ref="D49:G49"/>
    <mergeCell ref="B10:B11"/>
    <mergeCell ref="Q10:Q11"/>
    <mergeCell ref="P10:P11"/>
    <mergeCell ref="Q8:Q9"/>
    <mergeCell ref="D7:G7"/>
    <mergeCell ref="H7:K7"/>
    <mergeCell ref="L7:O7"/>
    <mergeCell ref="A21:A22"/>
    <mergeCell ref="B21:B22"/>
    <mergeCell ref="P21:P22"/>
    <mergeCell ref="A18:A19"/>
    <mergeCell ref="B18:B19"/>
    <mergeCell ref="Q18:Q19"/>
    <mergeCell ref="Q21:Q22"/>
    <mergeCell ref="P18:P19"/>
    <mergeCell ref="D20:G20"/>
    <mergeCell ref="H20:K20"/>
    <mergeCell ref="L20:O20"/>
    <mergeCell ref="A16:A17"/>
    <mergeCell ref="B16:B17"/>
    <mergeCell ref="P16:P17"/>
    <mergeCell ref="Q16:Q17"/>
    <mergeCell ref="P23:P24"/>
    <mergeCell ref="A25:A26"/>
    <mergeCell ref="B25:B26"/>
    <mergeCell ref="P25:P26"/>
    <mergeCell ref="A29:A30"/>
    <mergeCell ref="B29:B30"/>
    <mergeCell ref="P29:P30"/>
    <mergeCell ref="A27:A28"/>
    <mergeCell ref="L107:O107"/>
    <mergeCell ref="D56:G56"/>
    <mergeCell ref="D66:G66"/>
    <mergeCell ref="L71:O71"/>
    <mergeCell ref="D65:G65"/>
    <mergeCell ref="H102:K102"/>
    <mergeCell ref="L102:O102"/>
    <mergeCell ref="H94:K94"/>
    <mergeCell ref="P95:P96"/>
    <mergeCell ref="D91:G91"/>
    <mergeCell ref="H91:K91"/>
    <mergeCell ref="D84:G84"/>
    <mergeCell ref="H83:K83"/>
    <mergeCell ref="D94:G94"/>
    <mergeCell ref="L94:O94"/>
    <mergeCell ref="D99:G99"/>
    <mergeCell ref="R8:R9"/>
    <mergeCell ref="R10:R11"/>
    <mergeCell ref="R13:R14"/>
    <mergeCell ref="R18:R19"/>
    <mergeCell ref="R21:R22"/>
    <mergeCell ref="R23:R24"/>
    <mergeCell ref="R25:R26"/>
    <mergeCell ref="R27:R28"/>
    <mergeCell ref="R29:R30"/>
    <mergeCell ref="R16:R17"/>
    <mergeCell ref="R40:R41"/>
    <mergeCell ref="R42:R43"/>
    <mergeCell ref="R33:R34"/>
    <mergeCell ref="R38:R39"/>
    <mergeCell ref="A37:R37"/>
    <mergeCell ref="Q42:Q43"/>
    <mergeCell ref="A42:A43"/>
    <mergeCell ref="P42:P43"/>
    <mergeCell ref="B35:B36"/>
    <mergeCell ref="P35:P36"/>
    <mergeCell ref="Q35:Q36"/>
    <mergeCell ref="R35:R36"/>
    <mergeCell ref="B40:B41"/>
    <mergeCell ref="B42:B43"/>
    <mergeCell ref="A35:A36"/>
    <mergeCell ref="P40:P41"/>
    <mergeCell ref="L133:O133"/>
    <mergeCell ref="R75:R76"/>
    <mergeCell ref="R77:R78"/>
    <mergeCell ref="R92:R93"/>
    <mergeCell ref="R95:R96"/>
    <mergeCell ref="R97:R98"/>
    <mergeCell ref="R105:R106"/>
    <mergeCell ref="R123:R124"/>
    <mergeCell ref="R125:R126"/>
    <mergeCell ref="R109:R110"/>
    <mergeCell ref="R115:R116"/>
    <mergeCell ref="R117:R118"/>
    <mergeCell ref="L86:O86"/>
    <mergeCell ref="P109:P110"/>
    <mergeCell ref="Q97:Q98"/>
    <mergeCell ref="Q105:Q106"/>
    <mergeCell ref="Q75:Q76"/>
    <mergeCell ref="Q92:Q93"/>
    <mergeCell ref="L87:O87"/>
    <mergeCell ref="L88:O88"/>
    <mergeCell ref="L89:O89"/>
    <mergeCell ref="L90:O90"/>
    <mergeCell ref="Q77:Q78"/>
    <mergeCell ref="R150:R151"/>
    <mergeCell ref="U9:Y9"/>
    <mergeCell ref="U11:Y12"/>
    <mergeCell ref="T44:X44"/>
    <mergeCell ref="R155:R156"/>
    <mergeCell ref="R157:R158"/>
    <mergeCell ref="R145:R146"/>
    <mergeCell ref="R147:R148"/>
    <mergeCell ref="R152:R153"/>
    <mergeCell ref="R127:R128"/>
    <mergeCell ref="R130:R131"/>
    <mergeCell ref="A129:R129"/>
    <mergeCell ref="R138:R139"/>
    <mergeCell ref="A127:A128"/>
    <mergeCell ref="B127:B128"/>
    <mergeCell ref="A138:A139"/>
    <mergeCell ref="B138:B139"/>
    <mergeCell ref="Q138:Q139"/>
    <mergeCell ref="P138:P139"/>
    <mergeCell ref="D132:G132"/>
    <mergeCell ref="H132:K132"/>
    <mergeCell ref="L132:O132"/>
    <mergeCell ref="D133:G133"/>
    <mergeCell ref="H133:K133"/>
  </mergeCells>
  <pageMargins left="4.4531250000000001E-2" right="0.28203125000000001" top="0.75" bottom="0.75" header="0.3" footer="0.3"/>
  <pageSetup scale="57" orientation="portrait" r:id="rId1"/>
  <extLst>
    <ext xmlns:x14="http://schemas.microsoft.com/office/spreadsheetml/2009/9/main" uri="{78C0D931-6437-407d-A8EE-F0AAD7539E65}">
      <x14:conditionalFormattings>
        <x14:conditionalFormatting xmlns:xm="http://schemas.microsoft.com/office/excel/2006/main">
          <x14:cfRule type="cellIs" priority="23" operator="equal" id="{7B371754-D742-42CB-96AC-5F3747016143}">
            <xm:f>'مكتب علمي'!#REF!</xm:f>
            <x14:dxf>
              <font>
                <color rgb="FF9C0006"/>
              </font>
              <fill>
                <patternFill>
                  <bgColor rgb="FFFFC7CE"/>
                </patternFill>
              </fill>
            </x14:dxf>
          </x14:cfRule>
          <xm:sqref>B154</xm:sqref>
        </x14:conditionalFormatting>
        <x14:conditionalFormatting xmlns:xm="http://schemas.microsoft.com/office/excel/2006/main">
          <x14:cfRule type="cellIs" priority="19" operator="equal" id="{35AF08D3-71B0-4DB7-8473-11DF30A0E0FE}">
            <xm:f>'مركز الاستشارات الدوائية '!#REF!</xm:f>
            <x14:dxf>
              <font>
                <color rgb="FF9C0006"/>
              </font>
              <fill>
                <patternFill>
                  <bgColor rgb="FFFFC7CE"/>
                </patternFill>
              </fill>
            </x14:dxf>
          </x14:cfRule>
          <xm:sqref>C6:C15 C18:C36</xm:sqref>
        </x14:conditionalFormatting>
        <x14:conditionalFormatting xmlns:xm="http://schemas.microsoft.com/office/excel/2006/main">
          <x14:cfRule type="cellIs" priority="82" operator="equal" id="{11063BA2-4D30-495D-833E-8C7B5077632A}">
            <xm:f>'مركز الاستشارات الدوائية '!#REF!</xm:f>
            <x14:dxf>
              <font>
                <color rgb="FF9C0006"/>
              </font>
              <fill>
                <patternFill>
                  <bgColor rgb="FFFFC7CE"/>
                </patternFill>
              </fill>
            </x14:dxf>
          </x14:cfRule>
          <xm:sqref>C38</xm:sqref>
        </x14:conditionalFormatting>
        <x14:conditionalFormatting xmlns:xm="http://schemas.microsoft.com/office/excel/2006/main">
          <x14:cfRule type="cellIs" priority="3" operator="equal" id="{EB685540-B3FC-4C77-BB2E-92183E1FB8FC}">
            <xm:f>'مركز الاستشارات الدوائية '!#REF!</xm:f>
            <x14:dxf>
              <font>
                <color rgb="FF9C0006"/>
              </font>
              <fill>
                <patternFill>
                  <bgColor rgb="FFFFC7CE"/>
                </patternFill>
              </fill>
            </x14:dxf>
          </x14:cfRule>
          <xm:sqref>C40:C128</xm:sqref>
        </x14:conditionalFormatting>
        <x14:conditionalFormatting xmlns:xm="http://schemas.microsoft.com/office/excel/2006/main">
          <x14:cfRule type="cellIs" priority="72" operator="equal" id="{A5143248-7E9C-4FEA-8EAC-93BE43428B74}">
            <xm:f>'مركز الاستشارات الدوائية '!#REF!</xm:f>
            <x14:dxf>
              <font>
                <color rgb="FF9C0006"/>
              </font>
              <fill>
                <patternFill>
                  <bgColor rgb="FFFFC7CE"/>
                </patternFill>
              </fill>
            </x14:dxf>
          </x14:cfRule>
          <xm:sqref>C130</xm:sqref>
        </x14:conditionalFormatting>
        <x14:conditionalFormatting xmlns:xm="http://schemas.microsoft.com/office/excel/2006/main">
          <x14:cfRule type="cellIs" priority="22" operator="equal" id="{6CA79AD6-848B-468B-A418-9FDAD98EA7CC}">
            <xm:f>'مركز الاستشارات الدوائية '!#REF!</xm:f>
            <x14:dxf>
              <font>
                <color rgb="FF9C0006"/>
              </font>
              <fill>
                <patternFill>
                  <bgColor rgb="FFFFC7CE"/>
                </patternFill>
              </fill>
            </x14:dxf>
          </x14:cfRule>
          <xm:sqref>C132:C149 C152:C159</xm:sqref>
        </x14:conditionalFormatting>
        <x14:conditionalFormatting xmlns:xm="http://schemas.microsoft.com/office/excel/2006/main">
          <x14:cfRule type="cellIs" priority="2" operator="equal" id="{202BE77E-D377-49B9-AD7F-5FA9DBD362F8}">
            <xm:f>'مركز الاستشارات الدوائية '!#REF!</xm:f>
            <x14:dxf>
              <font>
                <color rgb="FF9C0006"/>
              </font>
              <fill>
                <patternFill>
                  <bgColor rgb="FFFFC7CE"/>
                </patternFill>
              </fill>
            </x14:dxf>
          </x14:cfRule>
          <xm:sqref>C16:C17</xm:sqref>
        </x14:conditionalFormatting>
        <x14:conditionalFormatting xmlns:xm="http://schemas.microsoft.com/office/excel/2006/main">
          <x14:cfRule type="cellIs" priority="1" operator="equal" id="{2D3E92D8-5C48-4FD1-B912-6F0DA0179880}">
            <xm:f>'مركز الاستشارات الدوائية '!#REF!</xm:f>
            <x14:dxf>
              <font>
                <color rgb="FF9C0006"/>
              </font>
              <fill>
                <patternFill>
                  <bgColor rgb="FFFFC7CE"/>
                </patternFill>
              </fill>
            </x14:dxf>
          </x14:cfRule>
          <xm:sqref>C150:C151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Y1409"/>
  <sheetViews>
    <sheetView showGridLines="0" rightToLeft="1" zoomScale="85" zoomScaleNormal="85" zoomScalePageLayoutView="85" workbookViewId="0">
      <selection activeCell="R7" sqref="R7:R8"/>
    </sheetView>
  </sheetViews>
  <sheetFormatPr defaultColWidth="8.85546875" defaultRowHeight="18.75" x14ac:dyDescent="0.25"/>
  <cols>
    <col min="1" max="1" width="8.85546875" style="61"/>
    <col min="2" max="2" width="39.85546875" style="86" customWidth="1"/>
    <col min="3" max="3" width="20.42578125" style="64" bestFit="1" customWidth="1"/>
    <col min="4" max="4" width="8.7109375" style="62" bestFit="1" customWidth="1"/>
    <col min="5" max="5" width="10.28515625" style="63" bestFit="1" customWidth="1"/>
    <col min="6" max="6" width="10" style="63" bestFit="1" customWidth="1"/>
    <col min="7" max="7" width="9.28515625" style="63" bestFit="1" customWidth="1"/>
    <col min="8" max="8" width="8.7109375" style="63" bestFit="1" customWidth="1"/>
    <col min="9" max="9" width="10.28515625" style="63" bestFit="1" customWidth="1"/>
    <col min="10" max="10" width="10" style="63" bestFit="1" customWidth="1"/>
    <col min="11" max="11" width="9.28515625" style="63" bestFit="1" customWidth="1"/>
    <col min="12" max="12" width="8.7109375" style="63" bestFit="1" customWidth="1"/>
    <col min="13" max="13" width="10.28515625" style="63" bestFit="1" customWidth="1"/>
    <col min="14" max="14" width="10" style="63" bestFit="1" customWidth="1"/>
    <col min="15" max="15" width="9.28515625" style="63" bestFit="1" customWidth="1"/>
    <col min="16" max="16" width="10.85546875" style="63" bestFit="1" customWidth="1"/>
    <col min="17" max="17" width="48" style="63" bestFit="1" customWidth="1"/>
    <col min="18" max="18" width="30.5703125" style="89" customWidth="1"/>
    <col min="19" max="16384" width="8.85546875" style="60"/>
  </cols>
  <sheetData>
    <row r="1" spans="1:25" s="15" customFormat="1" ht="24" customHeight="1" x14ac:dyDescent="0.45">
      <c r="A1" s="129" t="s">
        <v>633</v>
      </c>
      <c r="B1" s="130"/>
      <c r="C1" s="130"/>
      <c r="D1" s="130"/>
      <c r="E1" s="130"/>
      <c r="F1" s="130"/>
      <c r="G1" s="130"/>
      <c r="H1" s="130"/>
      <c r="I1" s="130"/>
      <c r="J1" s="130"/>
      <c r="K1" s="130"/>
      <c r="L1" s="130"/>
      <c r="M1" s="130"/>
      <c r="N1" s="130"/>
      <c r="O1" s="130"/>
      <c r="P1" s="130"/>
      <c r="Q1" s="130"/>
      <c r="R1" s="130"/>
      <c r="S1" s="60"/>
      <c r="T1" s="60"/>
      <c r="U1" s="60"/>
    </row>
    <row r="2" spans="1:25" s="15" customFormat="1" ht="24" customHeight="1" x14ac:dyDescent="0.45">
      <c r="A2" s="175" t="s">
        <v>16</v>
      </c>
      <c r="B2" s="176"/>
      <c r="C2" s="176"/>
      <c r="D2" s="176"/>
      <c r="E2" s="176"/>
      <c r="F2" s="176"/>
      <c r="G2" s="176"/>
      <c r="H2" s="176"/>
      <c r="I2" s="176"/>
      <c r="J2" s="176"/>
      <c r="K2" s="176"/>
      <c r="L2" s="176"/>
      <c r="M2" s="176"/>
      <c r="N2" s="176"/>
      <c r="O2" s="176"/>
      <c r="P2" s="176"/>
      <c r="Q2" s="176"/>
      <c r="R2" s="176"/>
      <c r="S2" s="60"/>
      <c r="T2" s="60"/>
      <c r="U2" s="60"/>
    </row>
    <row r="3" spans="1:25" s="15" customFormat="1" ht="19.5" customHeight="1" thickBot="1" x14ac:dyDescent="0.5">
      <c r="A3" s="133" t="s">
        <v>404</v>
      </c>
      <c r="B3" s="134"/>
      <c r="C3" s="134"/>
      <c r="D3" s="134"/>
      <c r="E3" s="134"/>
      <c r="F3" s="134"/>
      <c r="G3" s="134"/>
      <c r="H3" s="134"/>
      <c r="I3" s="134"/>
      <c r="J3" s="134"/>
      <c r="K3" s="134"/>
      <c r="L3" s="134"/>
      <c r="M3" s="134"/>
      <c r="N3" s="134"/>
      <c r="O3" s="134"/>
      <c r="P3" s="134"/>
      <c r="Q3" s="134"/>
      <c r="R3" s="134"/>
      <c r="S3" s="60"/>
      <c r="T3" s="60"/>
      <c r="U3" s="60"/>
    </row>
    <row r="4" spans="1:25" s="15" customFormat="1" ht="19.5" customHeight="1" thickBot="1" x14ac:dyDescent="0.5">
      <c r="A4" s="165" t="s">
        <v>4</v>
      </c>
      <c r="B4" s="167" t="s">
        <v>3</v>
      </c>
      <c r="C4" s="177" t="s">
        <v>406</v>
      </c>
      <c r="D4" s="169" t="s">
        <v>2</v>
      </c>
      <c r="E4" s="170"/>
      <c r="F4" s="170"/>
      <c r="G4" s="171"/>
      <c r="H4" s="169" t="s">
        <v>1</v>
      </c>
      <c r="I4" s="170"/>
      <c r="J4" s="170"/>
      <c r="K4" s="171"/>
      <c r="L4" s="169" t="s">
        <v>0</v>
      </c>
      <c r="M4" s="170"/>
      <c r="N4" s="170"/>
      <c r="O4" s="171"/>
      <c r="P4" s="167" t="s">
        <v>405</v>
      </c>
      <c r="Q4" s="161" t="s">
        <v>37</v>
      </c>
      <c r="R4" s="128" t="s">
        <v>632</v>
      </c>
      <c r="S4" s="60"/>
      <c r="T4" s="60"/>
      <c r="U4" s="60"/>
    </row>
    <row r="5" spans="1:25" ht="47.25" customHeight="1" thickBot="1" x14ac:dyDescent="0.3">
      <c r="A5" s="191"/>
      <c r="B5" s="192"/>
      <c r="C5" s="178"/>
      <c r="D5" s="16" t="s">
        <v>8</v>
      </c>
      <c r="E5" s="17" t="s">
        <v>7</v>
      </c>
      <c r="F5" s="17" t="s">
        <v>6</v>
      </c>
      <c r="G5" s="17" t="s">
        <v>5</v>
      </c>
      <c r="H5" s="17" t="s">
        <v>8</v>
      </c>
      <c r="I5" s="17" t="s">
        <v>7</v>
      </c>
      <c r="J5" s="17" t="s">
        <v>6</v>
      </c>
      <c r="K5" s="17" t="s">
        <v>5</v>
      </c>
      <c r="L5" s="17" t="s">
        <v>8</v>
      </c>
      <c r="M5" s="17" t="s">
        <v>7</v>
      </c>
      <c r="N5" s="17" t="s">
        <v>6</v>
      </c>
      <c r="O5" s="17" t="s">
        <v>5</v>
      </c>
      <c r="P5" s="194"/>
      <c r="Q5" s="193"/>
      <c r="R5" s="128"/>
    </row>
    <row r="6" spans="1:25" s="15" customFormat="1" ht="79.5" customHeight="1" thickBot="1" x14ac:dyDescent="0.5">
      <c r="A6" s="58" t="s">
        <v>96</v>
      </c>
      <c r="B6" s="19" t="s">
        <v>553</v>
      </c>
      <c r="C6" s="24" t="s">
        <v>414</v>
      </c>
      <c r="D6" s="186">
        <v>40000</v>
      </c>
      <c r="E6" s="187"/>
      <c r="F6" s="187"/>
      <c r="G6" s="188"/>
      <c r="H6" s="186">
        <f>D6-(D6*20/100)</f>
        <v>32000</v>
      </c>
      <c r="I6" s="187"/>
      <c r="J6" s="187"/>
      <c r="K6" s="188"/>
      <c r="L6" s="186">
        <f>D6-(D6*40/100)</f>
        <v>24000</v>
      </c>
      <c r="M6" s="187"/>
      <c r="N6" s="187"/>
      <c r="O6" s="188"/>
      <c r="P6" s="20" t="s">
        <v>9</v>
      </c>
      <c r="Q6" s="82" t="s">
        <v>69</v>
      </c>
      <c r="R6" s="87" t="s">
        <v>647</v>
      </c>
      <c r="S6" s="60"/>
      <c r="T6" s="60"/>
      <c r="U6" s="138"/>
      <c r="V6" s="139"/>
      <c r="W6" s="139"/>
      <c r="X6" s="139"/>
      <c r="Y6" s="139"/>
    </row>
    <row r="7" spans="1:25" ht="18.75" customHeight="1" x14ac:dyDescent="0.45">
      <c r="A7" s="140" t="s">
        <v>99</v>
      </c>
      <c r="B7" s="179" t="s">
        <v>36</v>
      </c>
      <c r="C7" s="27" t="s">
        <v>415</v>
      </c>
      <c r="D7" s="26">
        <v>2000</v>
      </c>
      <c r="E7" s="28">
        <f>D7-(D7*10/100)</f>
        <v>1800</v>
      </c>
      <c r="F7" s="28">
        <f>D7-(D7*20/100)</f>
        <v>1600</v>
      </c>
      <c r="G7" s="28">
        <f>D7-(D7*30/100)</f>
        <v>1400</v>
      </c>
      <c r="H7" s="28">
        <f>D7-(D7*10/100)</f>
        <v>1800</v>
      </c>
      <c r="I7" s="28">
        <f>H7-(H7*10/100)</f>
        <v>1620</v>
      </c>
      <c r="J7" s="28">
        <f>H7-(H7*20/100)</f>
        <v>1440</v>
      </c>
      <c r="K7" s="28">
        <f>H7-(H7*30/100)</f>
        <v>1260</v>
      </c>
      <c r="L7" s="28">
        <f>D7-(D7*20/100)</f>
        <v>1600</v>
      </c>
      <c r="M7" s="28">
        <f>L7-(L7*10/100)</f>
        <v>1440</v>
      </c>
      <c r="N7" s="28">
        <f>L7-(L7*20/100)</f>
        <v>1280</v>
      </c>
      <c r="O7" s="28">
        <f>L7-(L7*30/100)</f>
        <v>1120</v>
      </c>
      <c r="P7" s="148" t="s">
        <v>10</v>
      </c>
      <c r="Q7" s="156" t="s">
        <v>69</v>
      </c>
      <c r="R7" s="181" t="s">
        <v>682</v>
      </c>
      <c r="U7" s="15"/>
      <c r="V7" s="15"/>
      <c r="W7" s="15"/>
      <c r="X7" s="15"/>
      <c r="Y7" s="15"/>
    </row>
    <row r="8" spans="1:25" s="15" customFormat="1" ht="18" customHeight="1" thickBot="1" x14ac:dyDescent="0.5">
      <c r="A8" s="141"/>
      <c r="B8" s="180"/>
      <c r="C8" s="29" t="s">
        <v>416</v>
      </c>
      <c r="D8" s="28">
        <f t="shared" ref="D8:O8" si="0">D7*50/100</f>
        <v>1000</v>
      </c>
      <c r="E8" s="28">
        <f t="shared" si="0"/>
        <v>900</v>
      </c>
      <c r="F8" s="28">
        <f t="shared" si="0"/>
        <v>800</v>
      </c>
      <c r="G8" s="28">
        <f t="shared" si="0"/>
        <v>700</v>
      </c>
      <c r="H8" s="28">
        <f t="shared" si="0"/>
        <v>900</v>
      </c>
      <c r="I8" s="28">
        <f t="shared" si="0"/>
        <v>810</v>
      </c>
      <c r="J8" s="28">
        <f t="shared" si="0"/>
        <v>720</v>
      </c>
      <c r="K8" s="28">
        <f t="shared" si="0"/>
        <v>630</v>
      </c>
      <c r="L8" s="28">
        <f t="shared" si="0"/>
        <v>800</v>
      </c>
      <c r="M8" s="28">
        <f t="shared" si="0"/>
        <v>720</v>
      </c>
      <c r="N8" s="28">
        <f t="shared" si="0"/>
        <v>640</v>
      </c>
      <c r="O8" s="28">
        <f t="shared" si="0"/>
        <v>560</v>
      </c>
      <c r="P8" s="149"/>
      <c r="Q8" s="157"/>
      <c r="R8" s="181"/>
      <c r="S8" s="60"/>
      <c r="T8" s="60"/>
      <c r="U8" s="137"/>
      <c r="V8" s="137"/>
      <c r="W8" s="137"/>
      <c r="X8" s="137"/>
      <c r="Y8" s="137"/>
    </row>
    <row r="9" spans="1:25" ht="18.75" customHeight="1" x14ac:dyDescent="0.25">
      <c r="A9" s="140" t="s">
        <v>102</v>
      </c>
      <c r="B9" s="179" t="s">
        <v>93</v>
      </c>
      <c r="C9" s="27" t="s">
        <v>415</v>
      </c>
      <c r="D9" s="26">
        <v>5000</v>
      </c>
      <c r="E9" s="28">
        <f>D9-(D9*10/100)</f>
        <v>4500</v>
      </c>
      <c r="F9" s="28">
        <f>D9-(D9*20/100)</f>
        <v>4000</v>
      </c>
      <c r="G9" s="28">
        <f>D9-(D9*30/100)</f>
        <v>3500</v>
      </c>
      <c r="H9" s="28">
        <f>D9-(D9*10/100)</f>
        <v>4500</v>
      </c>
      <c r="I9" s="28">
        <f>H9-(H9*10/100)</f>
        <v>4050</v>
      </c>
      <c r="J9" s="28">
        <f>H9-(H9*20/100)</f>
        <v>3600</v>
      </c>
      <c r="K9" s="28">
        <f>H9-(H9*30/100)</f>
        <v>3150</v>
      </c>
      <c r="L9" s="28">
        <f>D9-(D9*20/100)</f>
        <v>4000</v>
      </c>
      <c r="M9" s="28">
        <f>L9-(L9*10/100)</f>
        <v>3600</v>
      </c>
      <c r="N9" s="28">
        <f>L9-(L9*20/100)</f>
        <v>3200</v>
      </c>
      <c r="O9" s="28">
        <f>L9-(L9*30/100)</f>
        <v>2800</v>
      </c>
      <c r="P9" s="148" t="s">
        <v>10</v>
      </c>
      <c r="Q9" s="146" t="s">
        <v>55</v>
      </c>
      <c r="R9" s="181" t="s">
        <v>765</v>
      </c>
      <c r="U9" s="137"/>
      <c r="V9" s="137"/>
      <c r="W9" s="137"/>
      <c r="X9" s="137"/>
      <c r="Y9" s="137"/>
    </row>
    <row r="10" spans="1:25" ht="47.25" customHeight="1" thickBot="1" x14ac:dyDescent="0.3">
      <c r="A10" s="141"/>
      <c r="B10" s="180"/>
      <c r="C10" s="29" t="s">
        <v>416</v>
      </c>
      <c r="D10" s="28">
        <f t="shared" ref="D10:O10" si="1">D9*50/100</f>
        <v>2500</v>
      </c>
      <c r="E10" s="28">
        <f t="shared" si="1"/>
        <v>2250</v>
      </c>
      <c r="F10" s="28">
        <f t="shared" si="1"/>
        <v>2000</v>
      </c>
      <c r="G10" s="28">
        <f t="shared" si="1"/>
        <v>1750</v>
      </c>
      <c r="H10" s="28">
        <f t="shared" si="1"/>
        <v>2250</v>
      </c>
      <c r="I10" s="28">
        <f t="shared" si="1"/>
        <v>2025</v>
      </c>
      <c r="J10" s="28">
        <f t="shared" si="1"/>
        <v>1800</v>
      </c>
      <c r="K10" s="28">
        <f t="shared" si="1"/>
        <v>1575</v>
      </c>
      <c r="L10" s="28">
        <f t="shared" si="1"/>
        <v>2000</v>
      </c>
      <c r="M10" s="28">
        <f t="shared" si="1"/>
        <v>1800</v>
      </c>
      <c r="N10" s="28">
        <f t="shared" si="1"/>
        <v>1600</v>
      </c>
      <c r="O10" s="28">
        <f t="shared" si="1"/>
        <v>1400</v>
      </c>
      <c r="P10" s="149"/>
      <c r="Q10" s="147"/>
      <c r="R10" s="181"/>
    </row>
    <row r="11" spans="1:25" s="15" customFormat="1" ht="36.75" customHeight="1" thickBot="1" x14ac:dyDescent="0.5">
      <c r="A11" s="58" t="s">
        <v>207</v>
      </c>
      <c r="B11" s="19" t="s">
        <v>741</v>
      </c>
      <c r="C11" s="24" t="s">
        <v>414</v>
      </c>
      <c r="D11" s="186">
        <v>30000</v>
      </c>
      <c r="E11" s="187"/>
      <c r="F11" s="187"/>
      <c r="G11" s="188"/>
      <c r="H11" s="186">
        <f>D11-(D11*20/100)</f>
        <v>24000</v>
      </c>
      <c r="I11" s="187"/>
      <c r="J11" s="187"/>
      <c r="K11" s="188"/>
      <c r="L11" s="186">
        <f>D11-(D11*40/100)</f>
        <v>18000</v>
      </c>
      <c r="M11" s="187"/>
      <c r="N11" s="187"/>
      <c r="O11" s="188"/>
      <c r="P11" s="20" t="s">
        <v>9</v>
      </c>
      <c r="Q11" s="82" t="s">
        <v>69</v>
      </c>
      <c r="R11" s="87" t="s">
        <v>665</v>
      </c>
      <c r="S11" s="60"/>
      <c r="T11" s="60"/>
      <c r="U11" s="60"/>
    </row>
    <row r="12" spans="1:25" ht="18.75" customHeight="1" x14ac:dyDescent="0.45">
      <c r="A12" s="140" t="s">
        <v>301</v>
      </c>
      <c r="B12" s="179" t="s">
        <v>742</v>
      </c>
      <c r="C12" s="27" t="s">
        <v>415</v>
      </c>
      <c r="D12" s="102">
        <v>5000</v>
      </c>
      <c r="E12" s="101">
        <f>D12-(D12*10/100)</f>
        <v>4500</v>
      </c>
      <c r="F12" s="101">
        <f>D12-(D12*20/100)</f>
        <v>4000</v>
      </c>
      <c r="G12" s="101">
        <f>D12-(D12*30/100)</f>
        <v>3500</v>
      </c>
      <c r="H12" s="101">
        <f>D12-(D12*10/100)</f>
        <v>4500</v>
      </c>
      <c r="I12" s="101">
        <f>H12-(H12*10/100)</f>
        <v>4050</v>
      </c>
      <c r="J12" s="101">
        <f>H12-(H12*20/100)</f>
        <v>3600</v>
      </c>
      <c r="K12" s="101">
        <f>H12-(H12*30/100)</f>
        <v>3150</v>
      </c>
      <c r="L12" s="101">
        <f>D12-(D12*20/100)</f>
        <v>4000</v>
      </c>
      <c r="M12" s="101">
        <f>L12-(L12*10/100)</f>
        <v>3600</v>
      </c>
      <c r="N12" s="101">
        <f>L12-(L12*20/100)</f>
        <v>3200</v>
      </c>
      <c r="O12" s="101">
        <f>L12-(L12*30/100)</f>
        <v>2800</v>
      </c>
      <c r="P12" s="148" t="s">
        <v>10</v>
      </c>
      <c r="Q12" s="146" t="s">
        <v>69</v>
      </c>
      <c r="R12" s="181" t="s">
        <v>665</v>
      </c>
      <c r="V12" s="15"/>
      <c r="W12" s="15"/>
      <c r="X12" s="15"/>
      <c r="Y12" s="15"/>
    </row>
    <row r="13" spans="1:25" ht="47.25" customHeight="1" thickBot="1" x14ac:dyDescent="0.3">
      <c r="A13" s="141"/>
      <c r="B13" s="180"/>
      <c r="C13" s="29" t="s">
        <v>416</v>
      </c>
      <c r="D13" s="101">
        <f t="shared" ref="D13:O13" si="2">D12*50/100</f>
        <v>2500</v>
      </c>
      <c r="E13" s="101">
        <f t="shared" si="2"/>
        <v>2250</v>
      </c>
      <c r="F13" s="101">
        <f t="shared" si="2"/>
        <v>2000</v>
      </c>
      <c r="G13" s="101">
        <f t="shared" si="2"/>
        <v>1750</v>
      </c>
      <c r="H13" s="101">
        <f t="shared" si="2"/>
        <v>2250</v>
      </c>
      <c r="I13" s="101">
        <f t="shared" si="2"/>
        <v>2025</v>
      </c>
      <c r="J13" s="101">
        <f t="shared" si="2"/>
        <v>1800</v>
      </c>
      <c r="K13" s="101">
        <f t="shared" si="2"/>
        <v>1575</v>
      </c>
      <c r="L13" s="101">
        <f t="shared" si="2"/>
        <v>2000</v>
      </c>
      <c r="M13" s="101">
        <f t="shared" si="2"/>
        <v>1800</v>
      </c>
      <c r="N13" s="101">
        <f t="shared" si="2"/>
        <v>1600</v>
      </c>
      <c r="O13" s="101">
        <f t="shared" si="2"/>
        <v>1400</v>
      </c>
      <c r="P13" s="149"/>
      <c r="Q13" s="147"/>
      <c r="R13" s="181"/>
    </row>
    <row r="14" spans="1:25" ht="18.75" customHeight="1" x14ac:dyDescent="0.25">
      <c r="A14" s="140" t="s">
        <v>208</v>
      </c>
      <c r="B14" s="179" t="s">
        <v>50</v>
      </c>
      <c r="C14" s="27" t="s">
        <v>415</v>
      </c>
      <c r="D14" s="26">
        <v>2000</v>
      </c>
      <c r="E14" s="28">
        <f>D14-(D14*10/100)</f>
        <v>1800</v>
      </c>
      <c r="F14" s="28">
        <f>D14-(D14*20/100)</f>
        <v>1600</v>
      </c>
      <c r="G14" s="28">
        <f>D14-(D14*30/100)</f>
        <v>1400</v>
      </c>
      <c r="H14" s="28">
        <f>D14-(D14*10/100)</f>
        <v>1800</v>
      </c>
      <c r="I14" s="28">
        <f>H14-(H14*10/100)</f>
        <v>1620</v>
      </c>
      <c r="J14" s="28">
        <f>H14-(H14*20/100)</f>
        <v>1440</v>
      </c>
      <c r="K14" s="28">
        <f>H14-(H14*30/100)</f>
        <v>1260</v>
      </c>
      <c r="L14" s="28">
        <f>D14-(D14*20/100)</f>
        <v>1600</v>
      </c>
      <c r="M14" s="28">
        <f>L14-(L14*10/100)</f>
        <v>1440</v>
      </c>
      <c r="N14" s="28">
        <f>L14-(L14*20/100)</f>
        <v>1280</v>
      </c>
      <c r="O14" s="28">
        <f>L14-(L14*30/100)</f>
        <v>1120</v>
      </c>
      <c r="P14" s="148" t="s">
        <v>10</v>
      </c>
      <c r="Q14" s="156" t="s">
        <v>69</v>
      </c>
      <c r="R14" s="181" t="s">
        <v>766</v>
      </c>
    </row>
    <row r="15" spans="1:25" ht="47.25" customHeight="1" thickBot="1" x14ac:dyDescent="0.3">
      <c r="A15" s="141"/>
      <c r="B15" s="180"/>
      <c r="C15" s="29" t="s">
        <v>416</v>
      </c>
      <c r="D15" s="28">
        <f t="shared" ref="D15:O15" si="3">D14*50/100</f>
        <v>1000</v>
      </c>
      <c r="E15" s="28">
        <f t="shared" si="3"/>
        <v>900</v>
      </c>
      <c r="F15" s="28">
        <f t="shared" si="3"/>
        <v>800</v>
      </c>
      <c r="G15" s="28">
        <f t="shared" si="3"/>
        <v>700</v>
      </c>
      <c r="H15" s="28">
        <f t="shared" si="3"/>
        <v>900</v>
      </c>
      <c r="I15" s="28">
        <f t="shared" si="3"/>
        <v>810</v>
      </c>
      <c r="J15" s="28">
        <f t="shared" si="3"/>
        <v>720</v>
      </c>
      <c r="K15" s="28">
        <f t="shared" si="3"/>
        <v>630</v>
      </c>
      <c r="L15" s="28">
        <f t="shared" si="3"/>
        <v>800</v>
      </c>
      <c r="M15" s="28">
        <f t="shared" si="3"/>
        <v>720</v>
      </c>
      <c r="N15" s="28">
        <f t="shared" si="3"/>
        <v>640</v>
      </c>
      <c r="O15" s="28">
        <f t="shared" si="3"/>
        <v>560</v>
      </c>
      <c r="P15" s="149"/>
      <c r="Q15" s="157"/>
      <c r="R15" s="181"/>
    </row>
    <row r="16" spans="1:25" s="15" customFormat="1" ht="18" customHeight="1" thickBot="1" x14ac:dyDescent="0.5">
      <c r="A16" s="58" t="s">
        <v>110</v>
      </c>
      <c r="B16" s="19" t="s">
        <v>761</v>
      </c>
      <c r="C16" s="24" t="s">
        <v>414</v>
      </c>
      <c r="D16" s="186">
        <v>20000</v>
      </c>
      <c r="E16" s="187"/>
      <c r="F16" s="187"/>
      <c r="G16" s="188"/>
      <c r="H16" s="186">
        <f>D16-(D16*20/100)</f>
        <v>16000</v>
      </c>
      <c r="I16" s="187"/>
      <c r="J16" s="187"/>
      <c r="K16" s="188"/>
      <c r="L16" s="186">
        <f>D16-(D16*40/100)</f>
        <v>12000</v>
      </c>
      <c r="M16" s="187"/>
      <c r="N16" s="187"/>
      <c r="O16" s="188"/>
      <c r="P16" s="20" t="s">
        <v>9</v>
      </c>
      <c r="Q16" s="82" t="s">
        <v>69</v>
      </c>
      <c r="R16" s="87" t="s">
        <v>680</v>
      </c>
      <c r="S16" s="60"/>
      <c r="T16" s="60"/>
      <c r="U16" s="60"/>
    </row>
    <row r="17" spans="1:25" ht="18.75" customHeight="1" x14ac:dyDescent="0.45">
      <c r="A17" s="140" t="s">
        <v>209</v>
      </c>
      <c r="B17" s="179" t="s">
        <v>762</v>
      </c>
      <c r="C17" s="27" t="s">
        <v>415</v>
      </c>
      <c r="D17" s="102">
        <v>5000</v>
      </c>
      <c r="E17" s="101">
        <f>D17-(D17*10/100)</f>
        <v>4500</v>
      </c>
      <c r="F17" s="101">
        <f>D17-(D17*20/100)</f>
        <v>4000</v>
      </c>
      <c r="G17" s="101">
        <f>D17-(D17*30/100)</f>
        <v>3500</v>
      </c>
      <c r="H17" s="101">
        <f>D17-(D17*10/100)</f>
        <v>4500</v>
      </c>
      <c r="I17" s="101">
        <f>H17-(H17*10/100)</f>
        <v>4050</v>
      </c>
      <c r="J17" s="101">
        <f>H17-(H17*20/100)</f>
        <v>3600</v>
      </c>
      <c r="K17" s="101">
        <f>H17-(H17*30/100)</f>
        <v>3150</v>
      </c>
      <c r="L17" s="101">
        <f>D17-(D17*20/100)</f>
        <v>4000</v>
      </c>
      <c r="M17" s="101">
        <f>L17-(L17*10/100)</f>
        <v>3600</v>
      </c>
      <c r="N17" s="101">
        <f>L17-(L17*20/100)</f>
        <v>3200</v>
      </c>
      <c r="O17" s="101">
        <f>L17-(L17*30/100)</f>
        <v>2800</v>
      </c>
      <c r="P17" s="148" t="s">
        <v>10</v>
      </c>
      <c r="Q17" s="146" t="s">
        <v>69</v>
      </c>
      <c r="R17" s="181" t="s">
        <v>680</v>
      </c>
      <c r="V17" s="15"/>
      <c r="W17" s="15"/>
      <c r="X17" s="15"/>
      <c r="Y17" s="15"/>
    </row>
    <row r="18" spans="1:25" ht="47.25" customHeight="1" thickBot="1" x14ac:dyDescent="0.3">
      <c r="A18" s="141"/>
      <c r="B18" s="180"/>
      <c r="C18" s="29" t="s">
        <v>416</v>
      </c>
      <c r="D18" s="101">
        <f t="shared" ref="D18:O18" si="4">D17*50/100</f>
        <v>2500</v>
      </c>
      <c r="E18" s="101">
        <f t="shared" si="4"/>
        <v>2250</v>
      </c>
      <c r="F18" s="101">
        <f t="shared" si="4"/>
        <v>2000</v>
      </c>
      <c r="G18" s="101">
        <f t="shared" si="4"/>
        <v>1750</v>
      </c>
      <c r="H18" s="101">
        <f t="shared" si="4"/>
        <v>2250</v>
      </c>
      <c r="I18" s="101">
        <f t="shared" si="4"/>
        <v>2025</v>
      </c>
      <c r="J18" s="101">
        <f t="shared" si="4"/>
        <v>1800</v>
      </c>
      <c r="K18" s="101">
        <f t="shared" si="4"/>
        <v>1575</v>
      </c>
      <c r="L18" s="101">
        <f t="shared" si="4"/>
        <v>2000</v>
      </c>
      <c r="M18" s="101">
        <f t="shared" si="4"/>
        <v>1800</v>
      </c>
      <c r="N18" s="101">
        <f t="shared" si="4"/>
        <v>1600</v>
      </c>
      <c r="O18" s="101">
        <f t="shared" si="4"/>
        <v>1400</v>
      </c>
      <c r="P18" s="149"/>
      <c r="Q18" s="147"/>
      <c r="R18" s="181"/>
    </row>
    <row r="19" spans="1:25" ht="18.75" customHeight="1" x14ac:dyDescent="0.25">
      <c r="A19" s="140" t="s">
        <v>210</v>
      </c>
      <c r="B19" s="179" t="s">
        <v>505</v>
      </c>
      <c r="C19" s="27" t="s">
        <v>415</v>
      </c>
      <c r="D19" s="26">
        <v>1000</v>
      </c>
      <c r="E19" s="28">
        <f>D19-(D19*10/100)</f>
        <v>900</v>
      </c>
      <c r="F19" s="28">
        <f>D19-(D19*20/100)</f>
        <v>800</v>
      </c>
      <c r="G19" s="28">
        <f>D19-(D19*30/100)</f>
        <v>700</v>
      </c>
      <c r="H19" s="28">
        <f>D19-(D19*10/100)</f>
        <v>900</v>
      </c>
      <c r="I19" s="28">
        <f>H19-(H19*10/100)</f>
        <v>810</v>
      </c>
      <c r="J19" s="28">
        <f>H19-(H19*20/100)</f>
        <v>720</v>
      </c>
      <c r="K19" s="28">
        <f>H19-(H19*30/100)</f>
        <v>630</v>
      </c>
      <c r="L19" s="28">
        <f>D19-(D19*20/100)</f>
        <v>800</v>
      </c>
      <c r="M19" s="28">
        <f>L19-(L19*10/100)</f>
        <v>720</v>
      </c>
      <c r="N19" s="28">
        <f>L19-(L19*20/100)</f>
        <v>640</v>
      </c>
      <c r="O19" s="28">
        <f>L19-(L19*30/100)</f>
        <v>560</v>
      </c>
      <c r="P19" s="148" t="s">
        <v>10</v>
      </c>
      <c r="Q19" s="146" t="s">
        <v>69</v>
      </c>
      <c r="R19" s="181" t="s">
        <v>666</v>
      </c>
    </row>
    <row r="20" spans="1:25" s="15" customFormat="1" ht="18" customHeight="1" thickBot="1" x14ac:dyDescent="0.5">
      <c r="A20" s="141"/>
      <c r="B20" s="180"/>
      <c r="C20" s="29" t="s">
        <v>416</v>
      </c>
      <c r="D20" s="28">
        <f t="shared" ref="D20:O20" si="5">D19*50/100</f>
        <v>500</v>
      </c>
      <c r="E20" s="28">
        <f t="shared" si="5"/>
        <v>450</v>
      </c>
      <c r="F20" s="28">
        <f t="shared" si="5"/>
        <v>400</v>
      </c>
      <c r="G20" s="28">
        <f t="shared" si="5"/>
        <v>350</v>
      </c>
      <c r="H20" s="28">
        <f t="shared" si="5"/>
        <v>450</v>
      </c>
      <c r="I20" s="28">
        <f t="shared" si="5"/>
        <v>405</v>
      </c>
      <c r="J20" s="28">
        <f t="shared" si="5"/>
        <v>360</v>
      </c>
      <c r="K20" s="28">
        <f t="shared" si="5"/>
        <v>315</v>
      </c>
      <c r="L20" s="28">
        <f t="shared" si="5"/>
        <v>400</v>
      </c>
      <c r="M20" s="28">
        <f t="shared" si="5"/>
        <v>360</v>
      </c>
      <c r="N20" s="28">
        <f t="shared" si="5"/>
        <v>320</v>
      </c>
      <c r="O20" s="28">
        <f t="shared" si="5"/>
        <v>280</v>
      </c>
      <c r="P20" s="149"/>
      <c r="Q20" s="147"/>
      <c r="R20" s="181"/>
      <c r="S20" s="60"/>
      <c r="T20" s="60"/>
      <c r="U20" s="60"/>
    </row>
    <row r="21" spans="1:25" ht="18.75" customHeight="1" x14ac:dyDescent="0.25">
      <c r="A21" s="140" t="s">
        <v>116</v>
      </c>
      <c r="B21" s="179" t="s">
        <v>22</v>
      </c>
      <c r="C21" s="27" t="s">
        <v>415</v>
      </c>
      <c r="D21" s="26">
        <v>5000</v>
      </c>
      <c r="E21" s="28">
        <f>D21-(D21*10/100)</f>
        <v>4500</v>
      </c>
      <c r="F21" s="28">
        <f>D21-(D21*20/100)</f>
        <v>4000</v>
      </c>
      <c r="G21" s="28">
        <f>D21-(D21*30/100)</f>
        <v>3500</v>
      </c>
      <c r="H21" s="28">
        <f>D21-(D21*10/100)</f>
        <v>4500</v>
      </c>
      <c r="I21" s="28">
        <f>H21-(H21*10/100)</f>
        <v>4050</v>
      </c>
      <c r="J21" s="28">
        <f>H21-(H21*20/100)</f>
        <v>3600</v>
      </c>
      <c r="K21" s="28">
        <f>H21-(H21*30/100)</f>
        <v>3150</v>
      </c>
      <c r="L21" s="28">
        <f>D21-(D21*20/100)</f>
        <v>4000</v>
      </c>
      <c r="M21" s="28">
        <f>L21-(L21*10/100)</f>
        <v>3600</v>
      </c>
      <c r="N21" s="28">
        <f>L21-(L21*20/100)</f>
        <v>3200</v>
      </c>
      <c r="O21" s="28">
        <f>L21-(L21*30/100)</f>
        <v>2800</v>
      </c>
      <c r="P21" s="148" t="s">
        <v>10</v>
      </c>
      <c r="Q21" s="146" t="s">
        <v>54</v>
      </c>
      <c r="R21" s="117" t="s">
        <v>648</v>
      </c>
    </row>
    <row r="22" spans="1:25" s="15" customFormat="1" ht="18" customHeight="1" thickBot="1" x14ac:dyDescent="0.5">
      <c r="A22" s="141"/>
      <c r="B22" s="180"/>
      <c r="C22" s="29" t="s">
        <v>416</v>
      </c>
      <c r="D22" s="28">
        <f t="shared" ref="D22:O22" si="6">D21*50/100</f>
        <v>2500</v>
      </c>
      <c r="E22" s="28">
        <f t="shared" si="6"/>
        <v>2250</v>
      </c>
      <c r="F22" s="28">
        <f t="shared" si="6"/>
        <v>2000</v>
      </c>
      <c r="G22" s="28">
        <f t="shared" si="6"/>
        <v>1750</v>
      </c>
      <c r="H22" s="28">
        <f t="shared" si="6"/>
        <v>2250</v>
      </c>
      <c r="I22" s="28">
        <f t="shared" si="6"/>
        <v>2025</v>
      </c>
      <c r="J22" s="28">
        <f t="shared" si="6"/>
        <v>1800</v>
      </c>
      <c r="K22" s="28">
        <f t="shared" si="6"/>
        <v>1575</v>
      </c>
      <c r="L22" s="28">
        <f t="shared" si="6"/>
        <v>2000</v>
      </c>
      <c r="M22" s="28">
        <f t="shared" si="6"/>
        <v>1800</v>
      </c>
      <c r="N22" s="28">
        <f t="shared" si="6"/>
        <v>1600</v>
      </c>
      <c r="O22" s="28">
        <f t="shared" si="6"/>
        <v>1400</v>
      </c>
      <c r="P22" s="149"/>
      <c r="Q22" s="147"/>
      <c r="R22" s="117"/>
      <c r="S22" s="60"/>
      <c r="T22" s="60"/>
      <c r="U22" s="60"/>
    </row>
    <row r="23" spans="1:25" ht="18.75" customHeight="1" x14ac:dyDescent="0.25">
      <c r="A23" s="140" t="s">
        <v>302</v>
      </c>
      <c r="B23" s="179" t="s">
        <v>23</v>
      </c>
      <c r="C23" s="27" t="s">
        <v>415</v>
      </c>
      <c r="D23" s="26">
        <v>2000</v>
      </c>
      <c r="E23" s="28">
        <f>D23-(D23*10/100)</f>
        <v>1800</v>
      </c>
      <c r="F23" s="28">
        <f>D23-(D23*20/100)</f>
        <v>1600</v>
      </c>
      <c r="G23" s="28">
        <f>D23-(D23*30/100)</f>
        <v>1400</v>
      </c>
      <c r="H23" s="28">
        <f>D23-(D23*10/100)</f>
        <v>1800</v>
      </c>
      <c r="I23" s="28">
        <f>H23-(H23*10/100)</f>
        <v>1620</v>
      </c>
      <c r="J23" s="28">
        <f>H23-(H23*20/100)</f>
        <v>1440</v>
      </c>
      <c r="K23" s="28">
        <f>H23-(H23*30/100)</f>
        <v>1260</v>
      </c>
      <c r="L23" s="28">
        <f>D23-(D23*20/100)</f>
        <v>1600</v>
      </c>
      <c r="M23" s="28">
        <f>L23-(L23*10/100)</f>
        <v>1440</v>
      </c>
      <c r="N23" s="28">
        <f>L23-(L23*20/100)</f>
        <v>1280</v>
      </c>
      <c r="O23" s="28">
        <f>L23-(L23*30/100)</f>
        <v>1120</v>
      </c>
      <c r="P23" s="148" t="s">
        <v>10</v>
      </c>
      <c r="Q23" s="146" t="s">
        <v>54</v>
      </c>
      <c r="R23" s="117" t="s">
        <v>648</v>
      </c>
    </row>
    <row r="24" spans="1:25" s="15" customFormat="1" ht="18" customHeight="1" thickBot="1" x14ac:dyDescent="0.5">
      <c r="A24" s="141"/>
      <c r="B24" s="180"/>
      <c r="C24" s="29" t="s">
        <v>416</v>
      </c>
      <c r="D24" s="28">
        <f t="shared" ref="D24:O24" si="7">D23*50/100</f>
        <v>1000</v>
      </c>
      <c r="E24" s="28">
        <f t="shared" si="7"/>
        <v>900</v>
      </c>
      <c r="F24" s="28">
        <f t="shared" si="7"/>
        <v>800</v>
      </c>
      <c r="G24" s="28">
        <f t="shared" si="7"/>
        <v>700</v>
      </c>
      <c r="H24" s="28">
        <f t="shared" si="7"/>
        <v>900</v>
      </c>
      <c r="I24" s="28">
        <f t="shared" si="7"/>
        <v>810</v>
      </c>
      <c r="J24" s="28">
        <f t="shared" si="7"/>
        <v>720</v>
      </c>
      <c r="K24" s="28">
        <f t="shared" si="7"/>
        <v>630</v>
      </c>
      <c r="L24" s="28">
        <f t="shared" si="7"/>
        <v>800</v>
      </c>
      <c r="M24" s="28">
        <f t="shared" si="7"/>
        <v>720</v>
      </c>
      <c r="N24" s="28">
        <f t="shared" si="7"/>
        <v>640</v>
      </c>
      <c r="O24" s="28">
        <f t="shared" si="7"/>
        <v>560</v>
      </c>
      <c r="P24" s="149"/>
      <c r="Q24" s="147"/>
      <c r="R24" s="117"/>
      <c r="S24" s="60"/>
      <c r="T24" s="60"/>
      <c r="U24" s="60"/>
    </row>
    <row r="25" spans="1:25" ht="18.75" customHeight="1" x14ac:dyDescent="0.25">
      <c r="A25" s="140" t="s">
        <v>212</v>
      </c>
      <c r="B25" s="179" t="s">
        <v>506</v>
      </c>
      <c r="C25" s="27" t="s">
        <v>415</v>
      </c>
      <c r="D25" s="26">
        <v>1000</v>
      </c>
      <c r="E25" s="28">
        <f>D25-(D25*10/100)</f>
        <v>900</v>
      </c>
      <c r="F25" s="28">
        <f>D25-(D25*20/100)</f>
        <v>800</v>
      </c>
      <c r="G25" s="28">
        <f>D25-(D25*30/100)</f>
        <v>700</v>
      </c>
      <c r="H25" s="28">
        <f>D25-(D25*10/100)</f>
        <v>900</v>
      </c>
      <c r="I25" s="28">
        <f>H25-(H25*10/100)</f>
        <v>810</v>
      </c>
      <c r="J25" s="28">
        <f>H25-(H25*20/100)</f>
        <v>720</v>
      </c>
      <c r="K25" s="28">
        <f>H25-(H25*30/100)</f>
        <v>630</v>
      </c>
      <c r="L25" s="28">
        <f>D25-(D25*20/100)</f>
        <v>800</v>
      </c>
      <c r="M25" s="28">
        <f>L25-(L25*10/100)</f>
        <v>720</v>
      </c>
      <c r="N25" s="28">
        <f>L25-(L25*20/100)</f>
        <v>640</v>
      </c>
      <c r="O25" s="28">
        <f>L25-(L25*30/100)</f>
        <v>560</v>
      </c>
      <c r="P25" s="148" t="s">
        <v>10</v>
      </c>
      <c r="Q25" s="146" t="s">
        <v>69</v>
      </c>
      <c r="R25" s="117" t="s">
        <v>639</v>
      </c>
    </row>
    <row r="26" spans="1:25" ht="47.25" customHeight="1" thickBot="1" x14ac:dyDescent="0.3">
      <c r="A26" s="141"/>
      <c r="B26" s="180"/>
      <c r="C26" s="29" t="s">
        <v>416</v>
      </c>
      <c r="D26" s="28">
        <f t="shared" ref="D26:O26" si="8">D25*50/100</f>
        <v>500</v>
      </c>
      <c r="E26" s="28">
        <f t="shared" si="8"/>
        <v>450</v>
      </c>
      <c r="F26" s="28">
        <f t="shared" si="8"/>
        <v>400</v>
      </c>
      <c r="G26" s="28">
        <f t="shared" si="8"/>
        <v>350</v>
      </c>
      <c r="H26" s="28">
        <f t="shared" si="8"/>
        <v>450</v>
      </c>
      <c r="I26" s="28">
        <f t="shared" si="8"/>
        <v>405</v>
      </c>
      <c r="J26" s="28">
        <f t="shared" si="8"/>
        <v>360</v>
      </c>
      <c r="K26" s="28">
        <f t="shared" si="8"/>
        <v>315</v>
      </c>
      <c r="L26" s="28">
        <f t="shared" si="8"/>
        <v>400</v>
      </c>
      <c r="M26" s="28">
        <f t="shared" si="8"/>
        <v>360</v>
      </c>
      <c r="N26" s="28">
        <f t="shared" si="8"/>
        <v>320</v>
      </c>
      <c r="O26" s="28">
        <f t="shared" si="8"/>
        <v>280</v>
      </c>
      <c r="P26" s="149"/>
      <c r="Q26" s="147"/>
      <c r="R26" s="117"/>
    </row>
    <row r="27" spans="1:25" s="15" customFormat="1" ht="18" customHeight="1" thickBot="1" x14ac:dyDescent="0.5">
      <c r="A27" s="58" t="s">
        <v>213</v>
      </c>
      <c r="B27" s="19" t="s">
        <v>507</v>
      </c>
      <c r="C27" s="24" t="s">
        <v>414</v>
      </c>
      <c r="D27" s="186">
        <v>15000</v>
      </c>
      <c r="E27" s="187"/>
      <c r="F27" s="187"/>
      <c r="G27" s="188"/>
      <c r="H27" s="186">
        <f>D27-(D27*20/100)</f>
        <v>12000</v>
      </c>
      <c r="I27" s="187"/>
      <c r="J27" s="187"/>
      <c r="K27" s="188"/>
      <c r="L27" s="186">
        <f>D27-(D27*40/100)</f>
        <v>9000</v>
      </c>
      <c r="M27" s="187"/>
      <c r="N27" s="187"/>
      <c r="O27" s="188"/>
      <c r="P27" s="20" t="s">
        <v>9</v>
      </c>
      <c r="Q27" s="82" t="s">
        <v>55</v>
      </c>
      <c r="R27" s="81" t="s">
        <v>667</v>
      </c>
      <c r="S27" s="60"/>
      <c r="T27" s="60"/>
      <c r="U27" s="60"/>
    </row>
    <row r="28" spans="1:25" ht="18.75" customHeight="1" x14ac:dyDescent="0.25">
      <c r="A28" s="140" t="s">
        <v>763</v>
      </c>
      <c r="B28" s="179" t="s">
        <v>13</v>
      </c>
      <c r="C28" s="27" t="s">
        <v>415</v>
      </c>
      <c r="D28" s="26">
        <v>4000</v>
      </c>
      <c r="E28" s="28">
        <f>D28-(D28*10/100)</f>
        <v>3600</v>
      </c>
      <c r="F28" s="28">
        <f>D28-(D28*20/100)</f>
        <v>3200</v>
      </c>
      <c r="G28" s="28">
        <f>D28-(D28*30/100)</f>
        <v>2800</v>
      </c>
      <c r="H28" s="28">
        <f>D28-(D28*10/100)</f>
        <v>3600</v>
      </c>
      <c r="I28" s="28">
        <f>H28-(H28*10/100)</f>
        <v>3240</v>
      </c>
      <c r="J28" s="28">
        <f>H28-(H28*20/100)</f>
        <v>2880</v>
      </c>
      <c r="K28" s="28">
        <f>H28-(H28*30/100)</f>
        <v>2520</v>
      </c>
      <c r="L28" s="28">
        <f>D28-(D28*20/100)</f>
        <v>3200</v>
      </c>
      <c r="M28" s="28">
        <f>L28-(L28*10/100)</f>
        <v>2880</v>
      </c>
      <c r="N28" s="28">
        <f>L28-(L28*20/100)</f>
        <v>2560</v>
      </c>
      <c r="O28" s="28">
        <f>L28-(L28*30/100)</f>
        <v>2240</v>
      </c>
      <c r="P28" s="148" t="s">
        <v>10</v>
      </c>
      <c r="Q28" s="146" t="s">
        <v>58</v>
      </c>
      <c r="R28" s="117" t="s">
        <v>668</v>
      </c>
    </row>
    <row r="29" spans="1:25" s="2" customFormat="1" ht="18" customHeight="1" thickBot="1" x14ac:dyDescent="0.3">
      <c r="A29" s="141"/>
      <c r="B29" s="180"/>
      <c r="C29" s="29" t="s">
        <v>416</v>
      </c>
      <c r="D29" s="28">
        <f t="shared" ref="D29:O29" si="9">D28*50/100</f>
        <v>2000</v>
      </c>
      <c r="E29" s="28">
        <f t="shared" si="9"/>
        <v>1800</v>
      </c>
      <c r="F29" s="28">
        <f t="shared" si="9"/>
        <v>1600</v>
      </c>
      <c r="G29" s="28">
        <f t="shared" si="9"/>
        <v>1400</v>
      </c>
      <c r="H29" s="28">
        <f t="shared" si="9"/>
        <v>1800</v>
      </c>
      <c r="I29" s="28">
        <f t="shared" si="9"/>
        <v>1620</v>
      </c>
      <c r="J29" s="28">
        <f t="shared" si="9"/>
        <v>1440</v>
      </c>
      <c r="K29" s="28">
        <f t="shared" si="9"/>
        <v>1260</v>
      </c>
      <c r="L29" s="28">
        <f t="shared" si="9"/>
        <v>1600</v>
      </c>
      <c r="M29" s="28">
        <f t="shared" si="9"/>
        <v>1440</v>
      </c>
      <c r="N29" s="28">
        <f t="shared" si="9"/>
        <v>1280</v>
      </c>
      <c r="O29" s="28">
        <f t="shared" si="9"/>
        <v>1120</v>
      </c>
      <c r="P29" s="149"/>
      <c r="Q29" s="147"/>
      <c r="R29" s="117"/>
    </row>
    <row r="30" spans="1:25" s="2" customFormat="1" ht="18.75" customHeight="1" x14ac:dyDescent="0.25">
      <c r="A30" s="158" t="s">
        <v>764</v>
      </c>
      <c r="B30" s="142" t="s">
        <v>409</v>
      </c>
      <c r="C30" s="27" t="s">
        <v>415</v>
      </c>
      <c r="D30" s="26">
        <v>500</v>
      </c>
      <c r="E30" s="28">
        <f>D30-(D30*10/100)</f>
        <v>450</v>
      </c>
      <c r="F30" s="28">
        <f>D30-(D30*20/100)</f>
        <v>400</v>
      </c>
      <c r="G30" s="28">
        <f>D30-(D30*30/100)</f>
        <v>350</v>
      </c>
      <c r="H30" s="28">
        <f>D30-(D30*10/100)</f>
        <v>450</v>
      </c>
      <c r="I30" s="28">
        <f>H30-(H30*10/100)</f>
        <v>405</v>
      </c>
      <c r="J30" s="28">
        <f>H30-(H30*20/100)</f>
        <v>360</v>
      </c>
      <c r="K30" s="28">
        <f>H30-(H30*30/100)</f>
        <v>315</v>
      </c>
      <c r="L30" s="28">
        <f>D30-(D30*20/100)</f>
        <v>400</v>
      </c>
      <c r="M30" s="28">
        <f>L30-(L30*10/100)</f>
        <v>360</v>
      </c>
      <c r="N30" s="28">
        <f>L30-(L30*20/100)</f>
        <v>320</v>
      </c>
      <c r="O30" s="28">
        <f>L30-(L30*30/100)</f>
        <v>280</v>
      </c>
      <c r="P30" s="148" t="s">
        <v>10</v>
      </c>
      <c r="Q30" s="156" t="s">
        <v>58</v>
      </c>
      <c r="R30" s="117" t="s">
        <v>669</v>
      </c>
    </row>
    <row r="31" spans="1:25" s="15" customFormat="1" ht="24" customHeight="1" x14ac:dyDescent="0.45">
      <c r="A31" s="182"/>
      <c r="B31" s="183"/>
      <c r="C31" s="50" t="s">
        <v>416</v>
      </c>
      <c r="D31" s="72">
        <f t="shared" ref="D31:O31" si="10">D30*50/100</f>
        <v>250</v>
      </c>
      <c r="E31" s="72">
        <f t="shared" si="10"/>
        <v>225</v>
      </c>
      <c r="F31" s="72">
        <f t="shared" si="10"/>
        <v>200</v>
      </c>
      <c r="G31" s="72">
        <f t="shared" si="10"/>
        <v>175</v>
      </c>
      <c r="H31" s="72">
        <f t="shared" si="10"/>
        <v>225</v>
      </c>
      <c r="I31" s="72">
        <f t="shared" si="10"/>
        <v>202.5</v>
      </c>
      <c r="J31" s="72">
        <f t="shared" si="10"/>
        <v>180</v>
      </c>
      <c r="K31" s="72">
        <f t="shared" si="10"/>
        <v>157.5</v>
      </c>
      <c r="L31" s="72">
        <f t="shared" si="10"/>
        <v>200</v>
      </c>
      <c r="M31" s="72">
        <f t="shared" si="10"/>
        <v>180</v>
      </c>
      <c r="N31" s="72">
        <f t="shared" si="10"/>
        <v>160</v>
      </c>
      <c r="O31" s="72">
        <f t="shared" si="10"/>
        <v>140</v>
      </c>
      <c r="P31" s="184"/>
      <c r="Q31" s="185"/>
      <c r="R31" s="117"/>
      <c r="S31" s="60"/>
      <c r="T31" s="60"/>
      <c r="U31" s="60"/>
    </row>
    <row r="32" spans="1:25" s="15" customFormat="1" ht="19.5" customHeight="1" x14ac:dyDescent="0.45">
      <c r="A32" s="127" t="s">
        <v>587</v>
      </c>
      <c r="B32" s="127"/>
      <c r="C32" s="127"/>
      <c r="D32" s="127"/>
      <c r="E32" s="127"/>
      <c r="F32" s="127"/>
      <c r="G32" s="127"/>
      <c r="H32" s="127"/>
      <c r="I32" s="127"/>
      <c r="J32" s="127"/>
      <c r="K32" s="127"/>
      <c r="L32" s="127"/>
      <c r="M32" s="127"/>
      <c r="N32" s="127"/>
      <c r="O32" s="127"/>
      <c r="P32" s="127"/>
      <c r="Q32" s="127"/>
      <c r="R32" s="127"/>
      <c r="S32" s="60"/>
      <c r="T32" s="60"/>
      <c r="U32" s="60"/>
    </row>
    <row r="33" spans="1:21" s="15" customFormat="1" ht="18.75" customHeight="1" x14ac:dyDescent="0.45">
      <c r="A33" s="195" t="s">
        <v>4</v>
      </c>
      <c r="B33" s="112" t="s">
        <v>3</v>
      </c>
      <c r="C33" s="112" t="s">
        <v>406</v>
      </c>
      <c r="D33" s="112" t="s">
        <v>2</v>
      </c>
      <c r="E33" s="112"/>
      <c r="F33" s="112"/>
      <c r="G33" s="112"/>
      <c r="H33" s="112" t="s">
        <v>1</v>
      </c>
      <c r="I33" s="112"/>
      <c r="J33" s="112"/>
      <c r="K33" s="112"/>
      <c r="L33" s="112" t="s">
        <v>0</v>
      </c>
      <c r="M33" s="112"/>
      <c r="N33" s="112"/>
      <c r="O33" s="112"/>
      <c r="P33" s="112" t="s">
        <v>405</v>
      </c>
      <c r="Q33" s="112"/>
      <c r="R33" s="128" t="s">
        <v>632</v>
      </c>
      <c r="S33" s="60"/>
      <c r="T33" s="60"/>
      <c r="U33" s="60"/>
    </row>
    <row r="34" spans="1:21" ht="47.25" customHeight="1" x14ac:dyDescent="0.25">
      <c r="A34" s="195"/>
      <c r="B34" s="196"/>
      <c r="C34" s="196"/>
      <c r="D34" s="75" t="s">
        <v>8</v>
      </c>
      <c r="E34" s="76" t="s">
        <v>7</v>
      </c>
      <c r="F34" s="76" t="s">
        <v>6</v>
      </c>
      <c r="G34" s="76" t="s">
        <v>5</v>
      </c>
      <c r="H34" s="76" t="s">
        <v>8</v>
      </c>
      <c r="I34" s="76" t="s">
        <v>7</v>
      </c>
      <c r="J34" s="76" t="s">
        <v>6</v>
      </c>
      <c r="K34" s="76" t="s">
        <v>5</v>
      </c>
      <c r="L34" s="76" t="s">
        <v>8</v>
      </c>
      <c r="M34" s="76" t="s">
        <v>7</v>
      </c>
      <c r="N34" s="76" t="s">
        <v>6</v>
      </c>
      <c r="O34" s="76" t="s">
        <v>5</v>
      </c>
      <c r="P34" s="112"/>
      <c r="Q34" s="200"/>
      <c r="R34" s="128"/>
    </row>
    <row r="35" spans="1:21" ht="47.25" customHeight="1" thickBot="1" x14ac:dyDescent="0.3">
      <c r="A35" s="70" t="s">
        <v>303</v>
      </c>
      <c r="B35" s="71" t="s">
        <v>508</v>
      </c>
      <c r="C35" s="53" t="s">
        <v>414</v>
      </c>
      <c r="D35" s="197">
        <v>25000</v>
      </c>
      <c r="E35" s="198"/>
      <c r="F35" s="198"/>
      <c r="G35" s="199"/>
      <c r="H35" s="197">
        <f>D35-(D35*20/100)</f>
        <v>20000</v>
      </c>
      <c r="I35" s="198"/>
      <c r="J35" s="198"/>
      <c r="K35" s="199"/>
      <c r="L35" s="197">
        <f>D35-(D35*40/100)</f>
        <v>15000</v>
      </c>
      <c r="M35" s="198"/>
      <c r="N35" s="198"/>
      <c r="O35" s="199"/>
      <c r="P35" s="21" t="s">
        <v>9</v>
      </c>
      <c r="Q35" s="85" t="s">
        <v>58</v>
      </c>
      <c r="R35" s="90" t="s">
        <v>649</v>
      </c>
    </row>
    <row r="36" spans="1:21" s="15" customFormat="1" ht="18" customHeight="1" thickBot="1" x14ac:dyDescent="0.5">
      <c r="A36" s="58" t="s">
        <v>304</v>
      </c>
      <c r="B36" s="19" t="s">
        <v>563</v>
      </c>
      <c r="C36" s="24" t="s">
        <v>414</v>
      </c>
      <c r="D36" s="186">
        <v>50000</v>
      </c>
      <c r="E36" s="187"/>
      <c r="F36" s="187"/>
      <c r="G36" s="188"/>
      <c r="H36" s="186">
        <f>D36-(D36*20/100)</f>
        <v>40000</v>
      </c>
      <c r="I36" s="187"/>
      <c r="J36" s="187"/>
      <c r="K36" s="188"/>
      <c r="L36" s="186">
        <f>D36-(D36*40/100)</f>
        <v>30000</v>
      </c>
      <c r="M36" s="187"/>
      <c r="N36" s="187"/>
      <c r="O36" s="188"/>
      <c r="P36" s="20" t="s">
        <v>9</v>
      </c>
      <c r="Q36" s="82" t="s">
        <v>549</v>
      </c>
      <c r="R36" s="81" t="s">
        <v>650</v>
      </c>
      <c r="S36" s="60"/>
      <c r="T36" s="60"/>
      <c r="U36" s="60"/>
    </row>
    <row r="37" spans="1:21" ht="18.75" customHeight="1" x14ac:dyDescent="0.25">
      <c r="A37" s="140" t="s">
        <v>219</v>
      </c>
      <c r="B37" s="179" t="s">
        <v>564</v>
      </c>
      <c r="C37" s="27" t="s">
        <v>415</v>
      </c>
      <c r="D37" s="26">
        <v>1000</v>
      </c>
      <c r="E37" s="28">
        <f>D37-(D37*10/100)</f>
        <v>900</v>
      </c>
      <c r="F37" s="28">
        <f>D37-(D37*20/100)</f>
        <v>800</v>
      </c>
      <c r="G37" s="28">
        <f>D37-(D37*30/100)</f>
        <v>700</v>
      </c>
      <c r="H37" s="28">
        <f>D37-(D37*10/100)</f>
        <v>900</v>
      </c>
      <c r="I37" s="28">
        <f>H37-(H37*10/100)</f>
        <v>810</v>
      </c>
      <c r="J37" s="28">
        <f>H37-(H37*20/100)</f>
        <v>720</v>
      </c>
      <c r="K37" s="28">
        <f>H37-(H37*30/100)</f>
        <v>630</v>
      </c>
      <c r="L37" s="28">
        <f>D37-(D37*20/100)</f>
        <v>800</v>
      </c>
      <c r="M37" s="28">
        <f>L37-(L37*10/100)</f>
        <v>720</v>
      </c>
      <c r="N37" s="28">
        <f>L37-(L37*20/100)</f>
        <v>640</v>
      </c>
      <c r="O37" s="28">
        <f>L37-(L37*30/100)</f>
        <v>560</v>
      </c>
      <c r="P37" s="148" t="s">
        <v>10</v>
      </c>
      <c r="Q37" s="146" t="s">
        <v>55</v>
      </c>
      <c r="R37" s="117" t="s">
        <v>673</v>
      </c>
    </row>
    <row r="38" spans="1:21" ht="47.25" customHeight="1" thickBot="1" x14ac:dyDescent="0.3">
      <c r="A38" s="141"/>
      <c r="B38" s="180"/>
      <c r="C38" s="29" t="s">
        <v>416</v>
      </c>
      <c r="D38" s="28">
        <f t="shared" ref="D38:O38" si="11">D37*50/100</f>
        <v>500</v>
      </c>
      <c r="E38" s="28">
        <f t="shared" si="11"/>
        <v>450</v>
      </c>
      <c r="F38" s="28">
        <f t="shared" si="11"/>
        <v>400</v>
      </c>
      <c r="G38" s="28">
        <f t="shared" si="11"/>
        <v>350</v>
      </c>
      <c r="H38" s="28">
        <f t="shared" si="11"/>
        <v>450</v>
      </c>
      <c r="I38" s="28">
        <f t="shared" si="11"/>
        <v>405</v>
      </c>
      <c r="J38" s="28">
        <f t="shared" si="11"/>
        <v>360</v>
      </c>
      <c r="K38" s="28">
        <f t="shared" si="11"/>
        <v>315</v>
      </c>
      <c r="L38" s="28">
        <f t="shared" si="11"/>
        <v>400</v>
      </c>
      <c r="M38" s="28">
        <f t="shared" si="11"/>
        <v>360</v>
      </c>
      <c r="N38" s="28">
        <f t="shared" si="11"/>
        <v>320</v>
      </c>
      <c r="O38" s="28">
        <f t="shared" si="11"/>
        <v>280</v>
      </c>
      <c r="P38" s="149"/>
      <c r="Q38" s="147"/>
      <c r="R38" s="117"/>
    </row>
    <row r="39" spans="1:21" ht="47.25" customHeight="1" thickBot="1" x14ac:dyDescent="0.3">
      <c r="A39" s="58" t="s">
        <v>305</v>
      </c>
      <c r="B39" s="22" t="s">
        <v>585</v>
      </c>
      <c r="C39" s="24" t="s">
        <v>414</v>
      </c>
      <c r="D39" s="186">
        <v>2000</v>
      </c>
      <c r="E39" s="187"/>
      <c r="F39" s="187"/>
      <c r="G39" s="188"/>
      <c r="H39" s="186">
        <f t="shared" ref="H39:H46" si="12">D39-(D39*20/100)</f>
        <v>1600</v>
      </c>
      <c r="I39" s="187"/>
      <c r="J39" s="187"/>
      <c r="K39" s="188"/>
      <c r="L39" s="186">
        <f t="shared" ref="L39:L46" si="13">D39-(D39*40/100)</f>
        <v>1200</v>
      </c>
      <c r="M39" s="187"/>
      <c r="N39" s="187"/>
      <c r="O39" s="188"/>
      <c r="P39" s="20" t="s">
        <v>9</v>
      </c>
      <c r="Q39" s="82" t="s">
        <v>435</v>
      </c>
      <c r="R39" s="81" t="s">
        <v>674</v>
      </c>
    </row>
    <row r="40" spans="1:21" s="15" customFormat="1" ht="18" customHeight="1" thickBot="1" x14ac:dyDescent="0.5">
      <c r="A40" s="58" t="s">
        <v>309</v>
      </c>
      <c r="B40" s="19" t="s">
        <v>19</v>
      </c>
      <c r="C40" s="24" t="s">
        <v>414</v>
      </c>
      <c r="D40" s="186">
        <v>20000</v>
      </c>
      <c r="E40" s="187"/>
      <c r="F40" s="187"/>
      <c r="G40" s="188"/>
      <c r="H40" s="186">
        <f t="shared" si="12"/>
        <v>16000</v>
      </c>
      <c r="I40" s="187"/>
      <c r="J40" s="187"/>
      <c r="K40" s="188"/>
      <c r="L40" s="186">
        <f t="shared" si="13"/>
        <v>12000</v>
      </c>
      <c r="M40" s="187"/>
      <c r="N40" s="187"/>
      <c r="O40" s="188"/>
      <c r="P40" s="20" t="s">
        <v>9</v>
      </c>
      <c r="Q40" s="82" t="s">
        <v>509</v>
      </c>
      <c r="R40" s="81" t="s">
        <v>652</v>
      </c>
      <c r="S40" s="60"/>
      <c r="T40" s="60"/>
      <c r="U40" s="60"/>
    </row>
    <row r="41" spans="1:21" ht="18.75" customHeight="1" x14ac:dyDescent="0.25">
      <c r="A41" s="140" t="s">
        <v>135</v>
      </c>
      <c r="B41" s="179" t="s">
        <v>588</v>
      </c>
      <c r="C41" s="27" t="s">
        <v>415</v>
      </c>
      <c r="D41" s="26">
        <v>1000</v>
      </c>
      <c r="E41" s="28">
        <f>D41-(D41*10/100)</f>
        <v>900</v>
      </c>
      <c r="F41" s="28">
        <f>D41-(D41*20/100)</f>
        <v>800</v>
      </c>
      <c r="G41" s="28">
        <f>D41-(D41*30/100)</f>
        <v>700</v>
      </c>
      <c r="H41" s="28">
        <f>D41-(D41*10/100)</f>
        <v>900</v>
      </c>
      <c r="I41" s="28">
        <f>H41-(H41*10/100)</f>
        <v>810</v>
      </c>
      <c r="J41" s="28">
        <f>H41-(H41*20/100)</f>
        <v>720</v>
      </c>
      <c r="K41" s="28">
        <f>H41-(H41*30/100)</f>
        <v>630</v>
      </c>
      <c r="L41" s="28">
        <f>D41-(D41*20/100)</f>
        <v>800</v>
      </c>
      <c r="M41" s="28">
        <f>L41-(L41*10/100)</f>
        <v>720</v>
      </c>
      <c r="N41" s="28">
        <f>L41-(L41*20/100)</f>
        <v>640</v>
      </c>
      <c r="O41" s="28">
        <f>L41-(L41*30/100)</f>
        <v>560</v>
      </c>
      <c r="P41" s="148" t="s">
        <v>10</v>
      </c>
      <c r="Q41" s="146" t="s">
        <v>510</v>
      </c>
      <c r="R41" s="117" t="s">
        <v>675</v>
      </c>
    </row>
    <row r="42" spans="1:21" ht="47.25" customHeight="1" thickBot="1" x14ac:dyDescent="0.3">
      <c r="A42" s="141"/>
      <c r="B42" s="180"/>
      <c r="C42" s="29" t="s">
        <v>416</v>
      </c>
      <c r="D42" s="28">
        <f t="shared" ref="D42:O42" si="14">D41*50/100</f>
        <v>500</v>
      </c>
      <c r="E42" s="28">
        <f t="shared" si="14"/>
        <v>450</v>
      </c>
      <c r="F42" s="28">
        <f t="shared" si="14"/>
        <v>400</v>
      </c>
      <c r="G42" s="28">
        <f t="shared" si="14"/>
        <v>350</v>
      </c>
      <c r="H42" s="28">
        <f t="shared" si="14"/>
        <v>450</v>
      </c>
      <c r="I42" s="28">
        <f t="shared" si="14"/>
        <v>405</v>
      </c>
      <c r="J42" s="28">
        <f t="shared" si="14"/>
        <v>360</v>
      </c>
      <c r="K42" s="28">
        <f t="shared" si="14"/>
        <v>315</v>
      </c>
      <c r="L42" s="28">
        <f t="shared" si="14"/>
        <v>400</v>
      </c>
      <c r="M42" s="28">
        <f t="shared" si="14"/>
        <v>360</v>
      </c>
      <c r="N42" s="28">
        <f t="shared" si="14"/>
        <v>320</v>
      </c>
      <c r="O42" s="28">
        <f t="shared" si="14"/>
        <v>280</v>
      </c>
      <c r="P42" s="149"/>
      <c r="Q42" s="147"/>
      <c r="R42" s="117"/>
    </row>
    <row r="43" spans="1:21" ht="47.25" customHeight="1" thickBot="1" x14ac:dyDescent="0.3">
      <c r="A43" s="58" t="s">
        <v>310</v>
      </c>
      <c r="B43" s="19" t="s">
        <v>565</v>
      </c>
      <c r="C43" s="24" t="s">
        <v>414</v>
      </c>
      <c r="D43" s="186">
        <v>50000</v>
      </c>
      <c r="E43" s="187"/>
      <c r="F43" s="187"/>
      <c r="G43" s="188"/>
      <c r="H43" s="186">
        <f t="shared" si="12"/>
        <v>40000</v>
      </c>
      <c r="I43" s="187"/>
      <c r="J43" s="187"/>
      <c r="K43" s="188"/>
      <c r="L43" s="186">
        <f t="shared" si="13"/>
        <v>30000</v>
      </c>
      <c r="M43" s="187"/>
      <c r="N43" s="187"/>
      <c r="O43" s="188"/>
      <c r="P43" s="20" t="s">
        <v>9</v>
      </c>
      <c r="Q43" s="82" t="s">
        <v>511</v>
      </c>
      <c r="R43" s="81" t="s">
        <v>653</v>
      </c>
    </row>
    <row r="44" spans="1:21" ht="47.25" customHeight="1" thickBot="1" x14ac:dyDescent="0.3">
      <c r="A44" s="58" t="s">
        <v>311</v>
      </c>
      <c r="B44" s="19" t="s">
        <v>443</v>
      </c>
      <c r="C44" s="24" t="s">
        <v>414</v>
      </c>
      <c r="D44" s="186">
        <v>15000</v>
      </c>
      <c r="E44" s="187"/>
      <c r="F44" s="187"/>
      <c r="G44" s="188"/>
      <c r="H44" s="186">
        <f t="shared" si="12"/>
        <v>12000</v>
      </c>
      <c r="I44" s="187"/>
      <c r="J44" s="187"/>
      <c r="K44" s="188"/>
      <c r="L44" s="186">
        <f t="shared" si="13"/>
        <v>9000</v>
      </c>
      <c r="M44" s="187"/>
      <c r="N44" s="187"/>
      <c r="O44" s="188"/>
      <c r="P44" s="20" t="s">
        <v>9</v>
      </c>
      <c r="Q44" s="82" t="s">
        <v>55</v>
      </c>
      <c r="R44" s="81" t="s">
        <v>676</v>
      </c>
    </row>
    <row r="45" spans="1:21" ht="49.5" customHeight="1" thickBot="1" x14ac:dyDescent="0.3">
      <c r="A45" s="58" t="s">
        <v>312</v>
      </c>
      <c r="B45" s="19" t="s">
        <v>51</v>
      </c>
      <c r="C45" s="24" t="s">
        <v>414</v>
      </c>
      <c r="D45" s="186">
        <v>15000</v>
      </c>
      <c r="E45" s="187"/>
      <c r="F45" s="187"/>
      <c r="G45" s="188"/>
      <c r="H45" s="186">
        <f t="shared" si="12"/>
        <v>12000</v>
      </c>
      <c r="I45" s="187"/>
      <c r="J45" s="187"/>
      <c r="K45" s="188"/>
      <c r="L45" s="186">
        <f t="shared" si="13"/>
        <v>9000</v>
      </c>
      <c r="M45" s="187"/>
      <c r="N45" s="187"/>
      <c r="O45" s="188"/>
      <c r="P45" s="20" t="s">
        <v>9</v>
      </c>
      <c r="Q45" s="82" t="s">
        <v>55</v>
      </c>
      <c r="R45" s="81" t="s">
        <v>654</v>
      </c>
    </row>
    <row r="46" spans="1:21" s="15" customFormat="1" ht="18" customHeight="1" thickBot="1" x14ac:dyDescent="0.5">
      <c r="A46" s="58" t="s">
        <v>306</v>
      </c>
      <c r="B46" s="19" t="s">
        <v>566</v>
      </c>
      <c r="C46" s="24" t="s">
        <v>414</v>
      </c>
      <c r="D46" s="186">
        <v>30000</v>
      </c>
      <c r="E46" s="187"/>
      <c r="F46" s="187"/>
      <c r="G46" s="188"/>
      <c r="H46" s="186">
        <f t="shared" si="12"/>
        <v>24000</v>
      </c>
      <c r="I46" s="187"/>
      <c r="J46" s="187"/>
      <c r="K46" s="188"/>
      <c r="L46" s="186">
        <f t="shared" si="13"/>
        <v>18000</v>
      </c>
      <c r="M46" s="187"/>
      <c r="N46" s="187"/>
      <c r="O46" s="188"/>
      <c r="P46" s="20" t="s">
        <v>9</v>
      </c>
      <c r="Q46" s="82" t="s">
        <v>442</v>
      </c>
      <c r="R46" s="81" t="s">
        <v>655</v>
      </c>
      <c r="S46" s="60"/>
      <c r="T46" s="60"/>
      <c r="U46" s="60"/>
    </row>
    <row r="47" spans="1:21" ht="18.75" customHeight="1" x14ac:dyDescent="0.25">
      <c r="A47" s="140" t="s">
        <v>307</v>
      </c>
      <c r="B47" s="179" t="s">
        <v>444</v>
      </c>
      <c r="C47" s="27" t="s">
        <v>415</v>
      </c>
      <c r="D47" s="26">
        <v>3000</v>
      </c>
      <c r="E47" s="28">
        <f>D47-(D47*10/100)</f>
        <v>2700</v>
      </c>
      <c r="F47" s="28">
        <f>D47-(D47*20/100)</f>
        <v>2400</v>
      </c>
      <c r="G47" s="28">
        <f>D47-(D47*30/100)</f>
        <v>2100</v>
      </c>
      <c r="H47" s="28">
        <f>D47-(D47*10/100)</f>
        <v>2700</v>
      </c>
      <c r="I47" s="28">
        <f>H47-(H47*10/100)</f>
        <v>2430</v>
      </c>
      <c r="J47" s="28">
        <f>H47-(H47*20/100)</f>
        <v>2160</v>
      </c>
      <c r="K47" s="28">
        <f>H47-(H47*30/100)</f>
        <v>1890</v>
      </c>
      <c r="L47" s="28">
        <f>D47-(D47*20/100)</f>
        <v>2400</v>
      </c>
      <c r="M47" s="28">
        <f>L47-(L47*10/100)</f>
        <v>2160</v>
      </c>
      <c r="N47" s="28">
        <f>L47-(L47*20/100)</f>
        <v>1920</v>
      </c>
      <c r="O47" s="28">
        <f>L47-(L47*30/100)</f>
        <v>1680</v>
      </c>
      <c r="P47" s="148" t="s">
        <v>10</v>
      </c>
      <c r="Q47" s="146" t="s">
        <v>55</v>
      </c>
      <c r="R47" s="117" t="s">
        <v>656</v>
      </c>
    </row>
    <row r="48" spans="1:21" s="15" customFormat="1" ht="18" customHeight="1" thickBot="1" x14ac:dyDescent="0.5">
      <c r="A48" s="141"/>
      <c r="B48" s="180"/>
      <c r="C48" s="29" t="s">
        <v>416</v>
      </c>
      <c r="D48" s="28">
        <f t="shared" ref="D48:O48" si="15">D47*50/100</f>
        <v>1500</v>
      </c>
      <c r="E48" s="28">
        <f t="shared" si="15"/>
        <v>1350</v>
      </c>
      <c r="F48" s="28">
        <f t="shared" si="15"/>
        <v>1200</v>
      </c>
      <c r="G48" s="28">
        <f t="shared" si="15"/>
        <v>1050</v>
      </c>
      <c r="H48" s="28">
        <f t="shared" si="15"/>
        <v>1350</v>
      </c>
      <c r="I48" s="28">
        <f t="shared" si="15"/>
        <v>1215</v>
      </c>
      <c r="J48" s="28">
        <f t="shared" si="15"/>
        <v>1080</v>
      </c>
      <c r="K48" s="28">
        <f t="shared" si="15"/>
        <v>945</v>
      </c>
      <c r="L48" s="28">
        <f t="shared" si="15"/>
        <v>1200</v>
      </c>
      <c r="M48" s="28">
        <f t="shared" si="15"/>
        <v>1080</v>
      </c>
      <c r="N48" s="28">
        <f t="shared" si="15"/>
        <v>960</v>
      </c>
      <c r="O48" s="28">
        <f t="shared" si="15"/>
        <v>840</v>
      </c>
      <c r="P48" s="149"/>
      <c r="Q48" s="147"/>
      <c r="R48" s="117"/>
      <c r="S48" s="60"/>
      <c r="T48" s="60"/>
      <c r="U48" s="60"/>
    </row>
    <row r="49" spans="1:21" ht="18.75" customHeight="1" x14ac:dyDescent="0.25">
      <c r="A49" s="140" t="s">
        <v>313</v>
      </c>
      <c r="B49" s="179" t="s">
        <v>27</v>
      </c>
      <c r="C49" s="27" t="s">
        <v>415</v>
      </c>
      <c r="D49" s="26">
        <v>3000</v>
      </c>
      <c r="E49" s="28">
        <f>D49-(D49*10/100)</f>
        <v>2700</v>
      </c>
      <c r="F49" s="28">
        <f>D49-(D49*20/100)</f>
        <v>2400</v>
      </c>
      <c r="G49" s="28">
        <f>D49-(D49*30/100)</f>
        <v>2100</v>
      </c>
      <c r="H49" s="28">
        <f>D49-(D49*10/100)</f>
        <v>2700</v>
      </c>
      <c r="I49" s="28">
        <f>H49-(H49*10/100)</f>
        <v>2430</v>
      </c>
      <c r="J49" s="28">
        <f>H49-(H49*20/100)</f>
        <v>2160</v>
      </c>
      <c r="K49" s="28">
        <f>H49-(H49*30/100)</f>
        <v>1890</v>
      </c>
      <c r="L49" s="28">
        <f>D49-(D49*20/100)</f>
        <v>2400</v>
      </c>
      <c r="M49" s="28">
        <f>L49-(L49*10/100)</f>
        <v>2160</v>
      </c>
      <c r="N49" s="28">
        <f>L49-(L49*20/100)</f>
        <v>1920</v>
      </c>
      <c r="O49" s="28">
        <f>L49-(L49*30/100)</f>
        <v>1680</v>
      </c>
      <c r="P49" s="148" t="s">
        <v>10</v>
      </c>
      <c r="Q49" s="146" t="s">
        <v>55</v>
      </c>
      <c r="R49" s="117" t="s">
        <v>656</v>
      </c>
    </row>
    <row r="50" spans="1:21" ht="47.25" customHeight="1" thickBot="1" x14ac:dyDescent="0.3">
      <c r="A50" s="141"/>
      <c r="B50" s="180"/>
      <c r="C50" s="29" t="s">
        <v>416</v>
      </c>
      <c r="D50" s="28">
        <f t="shared" ref="D50:O50" si="16">D49*50/100</f>
        <v>1500</v>
      </c>
      <c r="E50" s="28">
        <f t="shared" si="16"/>
        <v>1350</v>
      </c>
      <c r="F50" s="28">
        <f t="shared" si="16"/>
        <v>1200</v>
      </c>
      <c r="G50" s="28">
        <f t="shared" si="16"/>
        <v>1050</v>
      </c>
      <c r="H50" s="28">
        <f t="shared" si="16"/>
        <v>1350</v>
      </c>
      <c r="I50" s="28">
        <f t="shared" si="16"/>
        <v>1215</v>
      </c>
      <c r="J50" s="28">
        <f t="shared" si="16"/>
        <v>1080</v>
      </c>
      <c r="K50" s="28">
        <f t="shared" si="16"/>
        <v>945</v>
      </c>
      <c r="L50" s="28">
        <f t="shared" si="16"/>
        <v>1200</v>
      </c>
      <c r="M50" s="28">
        <f t="shared" si="16"/>
        <v>1080</v>
      </c>
      <c r="N50" s="28">
        <f t="shared" si="16"/>
        <v>960</v>
      </c>
      <c r="O50" s="28">
        <f t="shared" si="16"/>
        <v>840</v>
      </c>
      <c r="P50" s="149"/>
      <c r="Q50" s="147"/>
      <c r="R50" s="117"/>
    </row>
    <row r="51" spans="1:21" ht="47.25" customHeight="1" thickBot="1" x14ac:dyDescent="0.3">
      <c r="A51" s="58" t="s">
        <v>314</v>
      </c>
      <c r="B51" s="19" t="s">
        <v>38</v>
      </c>
      <c r="C51" s="24" t="s">
        <v>414</v>
      </c>
      <c r="D51" s="186">
        <v>15000</v>
      </c>
      <c r="E51" s="187"/>
      <c r="F51" s="187"/>
      <c r="G51" s="188"/>
      <c r="H51" s="186">
        <f>D51-(D51*20/100)</f>
        <v>12000</v>
      </c>
      <c r="I51" s="187"/>
      <c r="J51" s="187"/>
      <c r="K51" s="188"/>
      <c r="L51" s="186">
        <f>D51-(D51*40/100)</f>
        <v>9000</v>
      </c>
      <c r="M51" s="187"/>
      <c r="N51" s="187"/>
      <c r="O51" s="188"/>
      <c r="P51" s="20" t="s">
        <v>9</v>
      </c>
      <c r="Q51" s="82" t="s">
        <v>83</v>
      </c>
      <c r="R51" s="81" t="s">
        <v>657</v>
      </c>
    </row>
    <row r="52" spans="1:21" ht="47.25" customHeight="1" thickBot="1" x14ac:dyDescent="0.3">
      <c r="A52" s="58" t="s">
        <v>315</v>
      </c>
      <c r="B52" s="19" t="s">
        <v>26</v>
      </c>
      <c r="C52" s="24" t="s">
        <v>414</v>
      </c>
      <c r="D52" s="186">
        <v>15000</v>
      </c>
      <c r="E52" s="187"/>
      <c r="F52" s="187"/>
      <c r="G52" s="188"/>
      <c r="H52" s="186">
        <f>D52-(D52*20/100)</f>
        <v>12000</v>
      </c>
      <c r="I52" s="187"/>
      <c r="J52" s="187"/>
      <c r="K52" s="188"/>
      <c r="L52" s="186">
        <f>D52-(D52*40/100)</f>
        <v>9000</v>
      </c>
      <c r="M52" s="187"/>
      <c r="N52" s="187"/>
      <c r="O52" s="188"/>
      <c r="P52" s="20" t="s">
        <v>9</v>
      </c>
      <c r="Q52" s="82" t="s">
        <v>84</v>
      </c>
      <c r="R52" s="81" t="s">
        <v>657</v>
      </c>
    </row>
    <row r="53" spans="1:21" s="15" customFormat="1" ht="18" customHeight="1" thickBot="1" x14ac:dyDescent="0.5">
      <c r="A53" s="58" t="s">
        <v>308</v>
      </c>
      <c r="B53" s="19" t="s">
        <v>40</v>
      </c>
      <c r="C53" s="24" t="s">
        <v>414</v>
      </c>
      <c r="D53" s="186">
        <v>50000</v>
      </c>
      <c r="E53" s="187"/>
      <c r="F53" s="187"/>
      <c r="G53" s="188"/>
      <c r="H53" s="186">
        <f>D53-(D53*20/100)</f>
        <v>40000</v>
      </c>
      <c r="I53" s="187"/>
      <c r="J53" s="187"/>
      <c r="K53" s="188"/>
      <c r="L53" s="186">
        <f>D53-(D53*40/100)</f>
        <v>30000</v>
      </c>
      <c r="M53" s="187"/>
      <c r="N53" s="187"/>
      <c r="O53" s="188"/>
      <c r="P53" s="20" t="s">
        <v>9</v>
      </c>
      <c r="Q53" s="82" t="s">
        <v>442</v>
      </c>
      <c r="R53" s="81" t="s">
        <v>677</v>
      </c>
      <c r="S53" s="60"/>
      <c r="T53" s="60"/>
      <c r="U53" s="60"/>
    </row>
    <row r="54" spans="1:21" ht="18.75" customHeight="1" x14ac:dyDescent="0.25">
      <c r="A54" s="140" t="s">
        <v>316</v>
      </c>
      <c r="B54" s="179" t="s">
        <v>767</v>
      </c>
      <c r="C54" s="27" t="s">
        <v>415</v>
      </c>
      <c r="D54" s="26">
        <v>1000</v>
      </c>
      <c r="E54" s="28">
        <f>D54-(D54*10/100)</f>
        <v>900</v>
      </c>
      <c r="F54" s="28">
        <f>D54-(D54*20/100)</f>
        <v>800</v>
      </c>
      <c r="G54" s="28">
        <f>D54-(D54*30/100)</f>
        <v>700</v>
      </c>
      <c r="H54" s="28">
        <f>D54-(D54*10/100)</f>
        <v>900</v>
      </c>
      <c r="I54" s="28">
        <f>H54-(H54*10/100)</f>
        <v>810</v>
      </c>
      <c r="J54" s="28">
        <f>H54-(H54*20/100)</f>
        <v>720</v>
      </c>
      <c r="K54" s="28">
        <f>H54-(H54*30/100)</f>
        <v>630</v>
      </c>
      <c r="L54" s="28">
        <f>D54-(D54*20/100)</f>
        <v>800</v>
      </c>
      <c r="M54" s="28">
        <f>L54-(L54*10/100)</f>
        <v>720</v>
      </c>
      <c r="N54" s="28">
        <f>L54-(L54*20/100)</f>
        <v>640</v>
      </c>
      <c r="O54" s="28">
        <f>L54-(L54*30/100)</f>
        <v>560</v>
      </c>
      <c r="P54" s="148" t="s">
        <v>10</v>
      </c>
      <c r="Q54" s="146" t="s">
        <v>55</v>
      </c>
      <c r="R54" s="117" t="s">
        <v>664</v>
      </c>
    </row>
    <row r="55" spans="1:21" ht="47.25" customHeight="1" thickBot="1" x14ac:dyDescent="0.3">
      <c r="A55" s="141"/>
      <c r="B55" s="180"/>
      <c r="C55" s="29" t="s">
        <v>416</v>
      </c>
      <c r="D55" s="28">
        <f t="shared" ref="D55:O55" si="17">D54*50/100</f>
        <v>500</v>
      </c>
      <c r="E55" s="28">
        <f t="shared" si="17"/>
        <v>450</v>
      </c>
      <c r="F55" s="28">
        <f t="shared" si="17"/>
        <v>400</v>
      </c>
      <c r="G55" s="28">
        <f t="shared" si="17"/>
        <v>350</v>
      </c>
      <c r="H55" s="28">
        <f t="shared" si="17"/>
        <v>450</v>
      </c>
      <c r="I55" s="28">
        <f t="shared" si="17"/>
        <v>405</v>
      </c>
      <c r="J55" s="28">
        <f t="shared" si="17"/>
        <v>360</v>
      </c>
      <c r="K55" s="28">
        <f t="shared" si="17"/>
        <v>315</v>
      </c>
      <c r="L55" s="28">
        <f t="shared" si="17"/>
        <v>400</v>
      </c>
      <c r="M55" s="28">
        <f t="shared" si="17"/>
        <v>360</v>
      </c>
      <c r="N55" s="28">
        <f t="shared" si="17"/>
        <v>320</v>
      </c>
      <c r="O55" s="28">
        <f t="shared" si="17"/>
        <v>280</v>
      </c>
      <c r="P55" s="149"/>
      <c r="Q55" s="147"/>
      <c r="R55" s="117"/>
    </row>
    <row r="56" spans="1:21" ht="47.25" customHeight="1" thickBot="1" x14ac:dyDescent="0.3">
      <c r="A56" s="58" t="s">
        <v>317</v>
      </c>
      <c r="B56" s="19" t="s">
        <v>447</v>
      </c>
      <c r="C56" s="24" t="s">
        <v>414</v>
      </c>
      <c r="D56" s="186">
        <v>2000</v>
      </c>
      <c r="E56" s="187"/>
      <c r="F56" s="187"/>
      <c r="G56" s="188"/>
      <c r="H56" s="186">
        <f>D56-(D56*20/100)</f>
        <v>1600</v>
      </c>
      <c r="I56" s="187"/>
      <c r="J56" s="187"/>
      <c r="K56" s="188"/>
      <c r="L56" s="186">
        <f>D56-(D56*40/100)</f>
        <v>1200</v>
      </c>
      <c r="M56" s="187"/>
      <c r="N56" s="187"/>
      <c r="O56" s="188"/>
      <c r="P56" s="20" t="s">
        <v>9</v>
      </c>
      <c r="Q56" s="82" t="s">
        <v>628</v>
      </c>
      <c r="R56" s="81" t="s">
        <v>640</v>
      </c>
    </row>
    <row r="57" spans="1:21" s="15" customFormat="1" ht="18" customHeight="1" thickBot="1" x14ac:dyDescent="0.5">
      <c r="A57" s="58" t="s">
        <v>318</v>
      </c>
      <c r="B57" s="19" t="s">
        <v>534</v>
      </c>
      <c r="C57" s="24" t="s">
        <v>414</v>
      </c>
      <c r="D57" s="186">
        <v>20000</v>
      </c>
      <c r="E57" s="187"/>
      <c r="F57" s="187"/>
      <c r="G57" s="188"/>
      <c r="H57" s="186">
        <f>D57-(D57*20/100)</f>
        <v>16000</v>
      </c>
      <c r="I57" s="187"/>
      <c r="J57" s="187"/>
      <c r="K57" s="188"/>
      <c r="L57" s="186">
        <f>D57-(D57*40/100)</f>
        <v>12000</v>
      </c>
      <c r="M57" s="187"/>
      <c r="N57" s="187"/>
      <c r="O57" s="188"/>
      <c r="P57" s="20" t="s">
        <v>9</v>
      </c>
      <c r="Q57" s="82" t="s">
        <v>69</v>
      </c>
      <c r="R57" s="81" t="s">
        <v>641</v>
      </c>
      <c r="S57" s="60"/>
      <c r="T57" s="60"/>
      <c r="U57" s="60"/>
    </row>
    <row r="58" spans="1:21" ht="18.75" customHeight="1" x14ac:dyDescent="0.25">
      <c r="A58" s="140" t="s">
        <v>319</v>
      </c>
      <c r="B58" s="179" t="s">
        <v>342</v>
      </c>
      <c r="C58" s="27" t="s">
        <v>415</v>
      </c>
      <c r="D58" s="26">
        <v>1000</v>
      </c>
      <c r="E58" s="28">
        <f>D58-(D58*10/100)</f>
        <v>900</v>
      </c>
      <c r="F58" s="28">
        <f>D58-(D58*20/100)</f>
        <v>800</v>
      </c>
      <c r="G58" s="28">
        <f>D58-(D58*30/100)</f>
        <v>700</v>
      </c>
      <c r="H58" s="28">
        <f>D58-(D58*10/100)</f>
        <v>900</v>
      </c>
      <c r="I58" s="28">
        <f>H58-(H58*10/100)</f>
        <v>810</v>
      </c>
      <c r="J58" s="28">
        <f>H58-(H58*20/100)</f>
        <v>720</v>
      </c>
      <c r="K58" s="28">
        <f>H58-(H58*30/100)</f>
        <v>630</v>
      </c>
      <c r="L58" s="28">
        <f>D58-(D58*20/100)</f>
        <v>800</v>
      </c>
      <c r="M58" s="28">
        <f>L58-(L58*10/100)</f>
        <v>720</v>
      </c>
      <c r="N58" s="28">
        <f>L58-(L58*20/100)</f>
        <v>640</v>
      </c>
      <c r="O58" s="28">
        <f>L58-(L58*30/100)</f>
        <v>560</v>
      </c>
      <c r="P58" s="148" t="s">
        <v>10</v>
      </c>
      <c r="Q58" s="146" t="s">
        <v>55</v>
      </c>
      <c r="R58" s="117" t="s">
        <v>670</v>
      </c>
    </row>
    <row r="59" spans="1:21" ht="47.25" customHeight="1" thickBot="1" x14ac:dyDescent="0.3">
      <c r="A59" s="141"/>
      <c r="B59" s="180"/>
      <c r="C59" s="29" t="s">
        <v>416</v>
      </c>
      <c r="D59" s="28">
        <f t="shared" ref="D59:O59" si="18">D58*50/100</f>
        <v>500</v>
      </c>
      <c r="E59" s="28">
        <f t="shared" si="18"/>
        <v>450</v>
      </c>
      <c r="F59" s="28">
        <f t="shared" si="18"/>
        <v>400</v>
      </c>
      <c r="G59" s="28">
        <f t="shared" si="18"/>
        <v>350</v>
      </c>
      <c r="H59" s="28">
        <f t="shared" si="18"/>
        <v>450</v>
      </c>
      <c r="I59" s="28">
        <f t="shared" si="18"/>
        <v>405</v>
      </c>
      <c r="J59" s="28">
        <f t="shared" si="18"/>
        <v>360</v>
      </c>
      <c r="K59" s="28">
        <f t="shared" si="18"/>
        <v>315</v>
      </c>
      <c r="L59" s="28">
        <f t="shared" si="18"/>
        <v>400</v>
      </c>
      <c r="M59" s="28">
        <f t="shared" si="18"/>
        <v>360</v>
      </c>
      <c r="N59" s="28">
        <f t="shared" si="18"/>
        <v>320</v>
      </c>
      <c r="O59" s="28">
        <f t="shared" si="18"/>
        <v>280</v>
      </c>
      <c r="P59" s="149"/>
      <c r="Q59" s="147"/>
      <c r="R59" s="117"/>
    </row>
    <row r="60" spans="1:21" ht="47.25" customHeight="1" thickBot="1" x14ac:dyDescent="0.3">
      <c r="A60" s="58" t="s">
        <v>320</v>
      </c>
      <c r="B60" s="19" t="s">
        <v>65</v>
      </c>
      <c r="C60" s="29" t="s">
        <v>414</v>
      </c>
      <c r="D60" s="186">
        <v>15000</v>
      </c>
      <c r="E60" s="187"/>
      <c r="F60" s="187"/>
      <c r="G60" s="188"/>
      <c r="H60" s="186">
        <f>D60-(D60*20/100)</f>
        <v>12000</v>
      </c>
      <c r="I60" s="187"/>
      <c r="J60" s="187"/>
      <c r="K60" s="188"/>
      <c r="L60" s="186">
        <f>D60-(D60*40/100)</f>
        <v>9000</v>
      </c>
      <c r="M60" s="187"/>
      <c r="N60" s="187"/>
      <c r="O60" s="188"/>
      <c r="P60" s="20" t="s">
        <v>9</v>
      </c>
      <c r="Q60" s="82" t="s">
        <v>69</v>
      </c>
      <c r="R60" s="81" t="s">
        <v>659</v>
      </c>
    </row>
    <row r="61" spans="1:21" ht="47.25" customHeight="1" thickBot="1" x14ac:dyDescent="0.3">
      <c r="A61" s="58" t="s">
        <v>321</v>
      </c>
      <c r="B61" s="13" t="s">
        <v>45</v>
      </c>
      <c r="C61" s="24" t="s">
        <v>414</v>
      </c>
      <c r="D61" s="186">
        <v>30000</v>
      </c>
      <c r="E61" s="187"/>
      <c r="F61" s="187"/>
      <c r="G61" s="188"/>
      <c r="H61" s="186">
        <f>D61-(D61*20/100)</f>
        <v>24000</v>
      </c>
      <c r="I61" s="187"/>
      <c r="J61" s="187"/>
      <c r="K61" s="188"/>
      <c r="L61" s="186">
        <f>D61-(D61*40/100)</f>
        <v>18000</v>
      </c>
      <c r="M61" s="187"/>
      <c r="N61" s="187"/>
      <c r="O61" s="188"/>
      <c r="P61" s="20" t="s">
        <v>9</v>
      </c>
      <c r="Q61" s="82" t="s">
        <v>69</v>
      </c>
      <c r="R61" s="81" t="s">
        <v>641</v>
      </c>
    </row>
    <row r="62" spans="1:21" ht="47.25" customHeight="1" thickBot="1" x14ac:dyDescent="0.3">
      <c r="A62" s="58" t="s">
        <v>548</v>
      </c>
      <c r="B62" s="13" t="s">
        <v>581</v>
      </c>
      <c r="C62" s="24" t="s">
        <v>414</v>
      </c>
      <c r="D62" s="186">
        <v>20000</v>
      </c>
      <c r="E62" s="187"/>
      <c r="F62" s="187"/>
      <c r="G62" s="188"/>
      <c r="H62" s="186">
        <f>D62-(D62*20/100)</f>
        <v>16000</v>
      </c>
      <c r="I62" s="187"/>
      <c r="J62" s="187"/>
      <c r="K62" s="188"/>
      <c r="L62" s="186">
        <f>D62-(D62*40/100)</f>
        <v>12000</v>
      </c>
      <c r="M62" s="187"/>
      <c r="N62" s="187"/>
      <c r="O62" s="188"/>
      <c r="P62" s="20" t="s">
        <v>9</v>
      </c>
      <c r="Q62" s="82" t="s">
        <v>69</v>
      </c>
      <c r="R62" s="81" t="s">
        <v>641</v>
      </c>
    </row>
    <row r="63" spans="1:21" s="15" customFormat="1" ht="18" customHeight="1" thickBot="1" x14ac:dyDescent="0.5">
      <c r="A63" s="58" t="s">
        <v>322</v>
      </c>
      <c r="B63" s="19" t="s">
        <v>589</v>
      </c>
      <c r="C63" s="24" t="s">
        <v>414</v>
      </c>
      <c r="D63" s="186">
        <v>80000</v>
      </c>
      <c r="E63" s="187"/>
      <c r="F63" s="187"/>
      <c r="G63" s="188"/>
      <c r="H63" s="186">
        <f>D63-(D63*20/100)</f>
        <v>64000</v>
      </c>
      <c r="I63" s="187"/>
      <c r="J63" s="187"/>
      <c r="K63" s="188"/>
      <c r="L63" s="186">
        <f>D63-(D63*40/100)</f>
        <v>48000</v>
      </c>
      <c r="M63" s="187"/>
      <c r="N63" s="187"/>
      <c r="O63" s="188"/>
      <c r="P63" s="20" t="s">
        <v>9</v>
      </c>
      <c r="Q63" s="82" t="s">
        <v>69</v>
      </c>
      <c r="R63" s="81" t="s">
        <v>642</v>
      </c>
      <c r="S63" s="60"/>
      <c r="T63" s="60"/>
      <c r="U63" s="60"/>
    </row>
    <row r="64" spans="1:21" ht="18.75" customHeight="1" x14ac:dyDescent="0.25">
      <c r="A64" s="140" t="s">
        <v>323</v>
      </c>
      <c r="B64" s="179" t="s">
        <v>512</v>
      </c>
      <c r="C64" s="27" t="s">
        <v>415</v>
      </c>
      <c r="D64" s="26">
        <v>5000</v>
      </c>
      <c r="E64" s="28">
        <f>D64-(D64*10/100)</f>
        <v>4500</v>
      </c>
      <c r="F64" s="28">
        <f>D64-(D64*20/100)</f>
        <v>4000</v>
      </c>
      <c r="G64" s="28">
        <f>D64-(D64*30/100)</f>
        <v>3500</v>
      </c>
      <c r="H64" s="28">
        <f>D64-(D64*10/100)</f>
        <v>4500</v>
      </c>
      <c r="I64" s="28">
        <f>H64-(H64*10/100)</f>
        <v>4050</v>
      </c>
      <c r="J64" s="28">
        <f>H64-(H64*20/100)</f>
        <v>3600</v>
      </c>
      <c r="K64" s="28">
        <f>H64-(H64*30/100)</f>
        <v>3150</v>
      </c>
      <c r="L64" s="28">
        <f>D64-(D64*20/100)</f>
        <v>4000</v>
      </c>
      <c r="M64" s="28">
        <f>L64-(L64*10/100)</f>
        <v>3600</v>
      </c>
      <c r="N64" s="28">
        <f>L64-(L64*20/100)</f>
        <v>3200</v>
      </c>
      <c r="O64" s="28">
        <f>L64-(L64*30/100)</f>
        <v>2800</v>
      </c>
      <c r="P64" s="148" t="s">
        <v>10</v>
      </c>
      <c r="Q64" s="146" t="s">
        <v>59</v>
      </c>
      <c r="R64" s="117" t="s">
        <v>643</v>
      </c>
    </row>
    <row r="65" spans="1:21" s="15" customFormat="1" ht="18" customHeight="1" thickBot="1" x14ac:dyDescent="0.5">
      <c r="A65" s="141"/>
      <c r="B65" s="180"/>
      <c r="C65" s="29" t="s">
        <v>416</v>
      </c>
      <c r="D65" s="28">
        <f t="shared" ref="D65:O65" si="19">D64*50/100</f>
        <v>2500</v>
      </c>
      <c r="E65" s="28">
        <f t="shared" si="19"/>
        <v>2250</v>
      </c>
      <c r="F65" s="28">
        <f t="shared" si="19"/>
        <v>2000</v>
      </c>
      <c r="G65" s="28">
        <f t="shared" si="19"/>
        <v>1750</v>
      </c>
      <c r="H65" s="28">
        <f t="shared" si="19"/>
        <v>2250</v>
      </c>
      <c r="I65" s="28">
        <f t="shared" si="19"/>
        <v>2025</v>
      </c>
      <c r="J65" s="28">
        <f t="shared" si="19"/>
        <v>1800</v>
      </c>
      <c r="K65" s="28">
        <f t="shared" si="19"/>
        <v>1575</v>
      </c>
      <c r="L65" s="28">
        <f t="shared" si="19"/>
        <v>2000</v>
      </c>
      <c r="M65" s="28">
        <f t="shared" si="19"/>
        <v>1800</v>
      </c>
      <c r="N65" s="28">
        <f t="shared" si="19"/>
        <v>1600</v>
      </c>
      <c r="O65" s="28">
        <f t="shared" si="19"/>
        <v>1400</v>
      </c>
      <c r="P65" s="149"/>
      <c r="Q65" s="147"/>
      <c r="R65" s="117"/>
      <c r="S65" s="60"/>
      <c r="T65" s="60"/>
      <c r="U65" s="60"/>
    </row>
    <row r="66" spans="1:21" ht="18.75" customHeight="1" x14ac:dyDescent="0.25">
      <c r="A66" s="140" t="s">
        <v>324</v>
      </c>
      <c r="B66" s="179" t="s">
        <v>20</v>
      </c>
      <c r="C66" s="27" t="s">
        <v>415</v>
      </c>
      <c r="D66" s="26">
        <v>2000</v>
      </c>
      <c r="E66" s="28">
        <f>D66-(D66*10/100)</f>
        <v>1800</v>
      </c>
      <c r="F66" s="28">
        <f>D66-(D66*20/100)</f>
        <v>1600</v>
      </c>
      <c r="G66" s="28">
        <f>D66-(D66*30/100)</f>
        <v>1400</v>
      </c>
      <c r="H66" s="28">
        <f>D66-(D66*10/100)</f>
        <v>1800</v>
      </c>
      <c r="I66" s="28">
        <f>H66-(H66*10/100)</f>
        <v>1620</v>
      </c>
      <c r="J66" s="28">
        <f>H66-(H66*20/100)</f>
        <v>1440</v>
      </c>
      <c r="K66" s="28">
        <f>H66-(H66*30/100)</f>
        <v>1260</v>
      </c>
      <c r="L66" s="28">
        <f>D66-(D66*20/100)</f>
        <v>1600</v>
      </c>
      <c r="M66" s="28">
        <f>L66-(L66*10/100)</f>
        <v>1440</v>
      </c>
      <c r="N66" s="28">
        <f>L66-(L66*20/100)</f>
        <v>1280</v>
      </c>
      <c r="O66" s="28">
        <f>L66-(L66*30/100)</f>
        <v>1120</v>
      </c>
      <c r="P66" s="148" t="s">
        <v>10</v>
      </c>
      <c r="Q66" s="146" t="s">
        <v>55</v>
      </c>
      <c r="R66" s="117" t="s">
        <v>644</v>
      </c>
    </row>
    <row r="67" spans="1:21" ht="47.25" customHeight="1" thickBot="1" x14ac:dyDescent="0.3">
      <c r="A67" s="141"/>
      <c r="B67" s="180"/>
      <c r="C67" s="29" t="s">
        <v>416</v>
      </c>
      <c r="D67" s="28">
        <f t="shared" ref="D67:O67" si="20">D66*50/100</f>
        <v>1000</v>
      </c>
      <c r="E67" s="28">
        <f t="shared" si="20"/>
        <v>900</v>
      </c>
      <c r="F67" s="28">
        <f t="shared" si="20"/>
        <v>800</v>
      </c>
      <c r="G67" s="28">
        <f t="shared" si="20"/>
        <v>700</v>
      </c>
      <c r="H67" s="28">
        <f t="shared" si="20"/>
        <v>900</v>
      </c>
      <c r="I67" s="28">
        <f t="shared" si="20"/>
        <v>810</v>
      </c>
      <c r="J67" s="28">
        <f t="shared" si="20"/>
        <v>720</v>
      </c>
      <c r="K67" s="28">
        <f t="shared" si="20"/>
        <v>630</v>
      </c>
      <c r="L67" s="28">
        <f t="shared" si="20"/>
        <v>800</v>
      </c>
      <c r="M67" s="28">
        <f t="shared" si="20"/>
        <v>720</v>
      </c>
      <c r="N67" s="28">
        <f t="shared" si="20"/>
        <v>640</v>
      </c>
      <c r="O67" s="28">
        <f t="shared" si="20"/>
        <v>560</v>
      </c>
      <c r="P67" s="149"/>
      <c r="Q67" s="147"/>
      <c r="R67" s="117"/>
    </row>
    <row r="68" spans="1:21" s="15" customFormat="1" ht="18.75" customHeight="1" thickBot="1" x14ac:dyDescent="0.5">
      <c r="A68" s="58" t="s">
        <v>325</v>
      </c>
      <c r="B68" s="19" t="s">
        <v>752</v>
      </c>
      <c r="C68" s="24" t="s">
        <v>414</v>
      </c>
      <c r="D68" s="190">
        <v>20000</v>
      </c>
      <c r="E68" s="187"/>
      <c r="F68" s="187"/>
      <c r="G68" s="188"/>
      <c r="H68" s="186">
        <f>D68-(D68*20/100)</f>
        <v>16000</v>
      </c>
      <c r="I68" s="187"/>
      <c r="J68" s="187"/>
      <c r="K68" s="188"/>
      <c r="L68" s="186">
        <f>D68-(D68*40/100)</f>
        <v>12000</v>
      </c>
      <c r="M68" s="187"/>
      <c r="N68" s="187"/>
      <c r="O68" s="188"/>
      <c r="P68" s="20" t="s">
        <v>9</v>
      </c>
      <c r="Q68" s="82" t="s">
        <v>60</v>
      </c>
      <c r="R68" s="74" t="s">
        <v>671</v>
      </c>
      <c r="S68" s="60"/>
      <c r="T68" s="60"/>
      <c r="U68" s="60"/>
    </row>
    <row r="69" spans="1:21" ht="18.75" customHeight="1" x14ac:dyDescent="0.25">
      <c r="A69" s="140" t="s">
        <v>326</v>
      </c>
      <c r="B69" s="179" t="s">
        <v>753</v>
      </c>
      <c r="C69" s="27" t="s">
        <v>415</v>
      </c>
      <c r="D69" s="102">
        <v>5000</v>
      </c>
      <c r="E69" s="101">
        <f>D69-(D69*10/100)</f>
        <v>4500</v>
      </c>
      <c r="F69" s="101">
        <f>D69-(D69*20/100)</f>
        <v>4000</v>
      </c>
      <c r="G69" s="101">
        <f>D69-(D69*30/100)</f>
        <v>3500</v>
      </c>
      <c r="H69" s="101">
        <f>D69-(D69*10/100)</f>
        <v>4500</v>
      </c>
      <c r="I69" s="101">
        <f>H69-(H69*10/100)</f>
        <v>4050</v>
      </c>
      <c r="J69" s="101">
        <f>H69-(H69*20/100)</f>
        <v>3600</v>
      </c>
      <c r="K69" s="101">
        <f>H69-(H69*30/100)</f>
        <v>3150</v>
      </c>
      <c r="L69" s="101">
        <f>D69-(D69*20/100)</f>
        <v>4000</v>
      </c>
      <c r="M69" s="101">
        <f>L69-(L69*10/100)</f>
        <v>3600</v>
      </c>
      <c r="N69" s="101">
        <f>L69-(L69*20/100)</f>
        <v>3200</v>
      </c>
      <c r="O69" s="101">
        <f>L69-(L69*30/100)</f>
        <v>2800</v>
      </c>
      <c r="P69" s="148" t="s">
        <v>10</v>
      </c>
      <c r="Q69" s="146" t="s">
        <v>60</v>
      </c>
      <c r="R69" s="117" t="s">
        <v>671</v>
      </c>
    </row>
    <row r="70" spans="1:21" ht="47.25" customHeight="1" thickBot="1" x14ac:dyDescent="0.3">
      <c r="A70" s="141"/>
      <c r="B70" s="180"/>
      <c r="C70" s="29" t="s">
        <v>416</v>
      </c>
      <c r="D70" s="101">
        <f t="shared" ref="D70:O70" si="21">D69*50/100</f>
        <v>2500</v>
      </c>
      <c r="E70" s="101">
        <f t="shared" si="21"/>
        <v>2250</v>
      </c>
      <c r="F70" s="101">
        <f t="shared" si="21"/>
        <v>2000</v>
      </c>
      <c r="G70" s="101">
        <f t="shared" si="21"/>
        <v>1750</v>
      </c>
      <c r="H70" s="101">
        <f t="shared" si="21"/>
        <v>2250</v>
      </c>
      <c r="I70" s="101">
        <f t="shared" si="21"/>
        <v>2025</v>
      </c>
      <c r="J70" s="101">
        <f t="shared" si="21"/>
        <v>1800</v>
      </c>
      <c r="K70" s="101">
        <f t="shared" si="21"/>
        <v>1575</v>
      </c>
      <c r="L70" s="101">
        <f t="shared" si="21"/>
        <v>2000</v>
      </c>
      <c r="M70" s="101">
        <f t="shared" si="21"/>
        <v>1800</v>
      </c>
      <c r="N70" s="101">
        <f t="shared" si="21"/>
        <v>1600</v>
      </c>
      <c r="O70" s="101">
        <f t="shared" si="21"/>
        <v>1400</v>
      </c>
      <c r="P70" s="149"/>
      <c r="Q70" s="147"/>
      <c r="R70" s="117"/>
    </row>
    <row r="71" spans="1:21" ht="18.75" customHeight="1" x14ac:dyDescent="0.25">
      <c r="A71" s="140" t="s">
        <v>514</v>
      </c>
      <c r="B71" s="179" t="s">
        <v>513</v>
      </c>
      <c r="C71" s="27" t="s">
        <v>415</v>
      </c>
      <c r="D71" s="26">
        <v>1000</v>
      </c>
      <c r="E71" s="28">
        <f>D71-(D71*10/100)</f>
        <v>900</v>
      </c>
      <c r="F71" s="28">
        <f>D71-(D71*20/100)</f>
        <v>800</v>
      </c>
      <c r="G71" s="28">
        <f>D71-(D71*30/100)</f>
        <v>700</v>
      </c>
      <c r="H71" s="28">
        <f>D71-(D71*10/100)</f>
        <v>900</v>
      </c>
      <c r="I71" s="28">
        <f>H71-(H71*10/100)</f>
        <v>810</v>
      </c>
      <c r="J71" s="28">
        <f>H71-(H71*20/100)</f>
        <v>720</v>
      </c>
      <c r="K71" s="28">
        <f>H71-(H71*30/100)</f>
        <v>630</v>
      </c>
      <c r="L71" s="28">
        <f>D71-(D71*20/100)</f>
        <v>800</v>
      </c>
      <c r="M71" s="28">
        <f>L71-(L71*10/100)</f>
        <v>720</v>
      </c>
      <c r="N71" s="28">
        <f>L71-(L71*20/100)</f>
        <v>640</v>
      </c>
      <c r="O71" s="28">
        <f>L71-(L71*30/100)</f>
        <v>560</v>
      </c>
      <c r="P71" s="148" t="s">
        <v>10</v>
      </c>
      <c r="Q71" s="156" t="s">
        <v>60</v>
      </c>
      <c r="R71" s="117" t="s">
        <v>671</v>
      </c>
    </row>
    <row r="72" spans="1:21" ht="47.25" customHeight="1" thickBot="1" x14ac:dyDescent="0.3">
      <c r="A72" s="141"/>
      <c r="B72" s="180"/>
      <c r="C72" s="29" t="s">
        <v>416</v>
      </c>
      <c r="D72" s="28">
        <f t="shared" ref="D72:O72" si="22">D71*50/100</f>
        <v>500</v>
      </c>
      <c r="E72" s="28">
        <f t="shared" si="22"/>
        <v>450</v>
      </c>
      <c r="F72" s="28">
        <f t="shared" si="22"/>
        <v>400</v>
      </c>
      <c r="G72" s="28">
        <f t="shared" si="22"/>
        <v>350</v>
      </c>
      <c r="H72" s="28">
        <f t="shared" si="22"/>
        <v>450</v>
      </c>
      <c r="I72" s="28">
        <f t="shared" si="22"/>
        <v>405</v>
      </c>
      <c r="J72" s="28">
        <f t="shared" si="22"/>
        <v>360</v>
      </c>
      <c r="K72" s="28">
        <f t="shared" si="22"/>
        <v>315</v>
      </c>
      <c r="L72" s="28">
        <f t="shared" si="22"/>
        <v>400</v>
      </c>
      <c r="M72" s="28">
        <f t="shared" si="22"/>
        <v>360</v>
      </c>
      <c r="N72" s="28">
        <f t="shared" si="22"/>
        <v>320</v>
      </c>
      <c r="O72" s="28">
        <f t="shared" si="22"/>
        <v>280</v>
      </c>
      <c r="P72" s="149"/>
      <c r="Q72" s="157"/>
      <c r="R72" s="117"/>
    </row>
    <row r="73" spans="1:21" s="15" customFormat="1" ht="63" customHeight="1" thickBot="1" x14ac:dyDescent="0.5">
      <c r="A73" s="58" t="s">
        <v>515</v>
      </c>
      <c r="B73" s="19" t="s">
        <v>71</v>
      </c>
      <c r="C73" s="24" t="s">
        <v>414</v>
      </c>
      <c r="D73" s="190">
        <v>5000</v>
      </c>
      <c r="E73" s="187"/>
      <c r="F73" s="187"/>
      <c r="G73" s="188"/>
      <c r="H73" s="186">
        <f>D73-(D73*20/100)</f>
        <v>4000</v>
      </c>
      <c r="I73" s="187"/>
      <c r="J73" s="187"/>
      <c r="K73" s="188"/>
      <c r="L73" s="186">
        <f>D73-(D73*40/100)</f>
        <v>3000</v>
      </c>
      <c r="M73" s="187"/>
      <c r="N73" s="187"/>
      <c r="O73" s="188"/>
      <c r="P73" s="20" t="s">
        <v>9</v>
      </c>
      <c r="Q73" s="82" t="s">
        <v>55</v>
      </c>
      <c r="R73" s="74" t="s">
        <v>672</v>
      </c>
      <c r="S73" s="60"/>
      <c r="T73" s="60"/>
      <c r="U73" s="60"/>
    </row>
    <row r="74" spans="1:21" ht="18.75" customHeight="1" x14ac:dyDescent="0.25">
      <c r="A74" s="140" t="s">
        <v>516</v>
      </c>
      <c r="B74" s="179" t="s">
        <v>11</v>
      </c>
      <c r="C74" s="27" t="s">
        <v>415</v>
      </c>
      <c r="D74" s="26">
        <v>4000</v>
      </c>
      <c r="E74" s="28">
        <f>D74-(D74*10/100)</f>
        <v>3600</v>
      </c>
      <c r="F74" s="28">
        <f>D74-(D74*20/100)</f>
        <v>3200</v>
      </c>
      <c r="G74" s="28">
        <f>D74-(D74*30/100)</f>
        <v>2800</v>
      </c>
      <c r="H74" s="28">
        <f>D74-(D74*10/100)</f>
        <v>3600</v>
      </c>
      <c r="I74" s="28">
        <f>H74-(H74*10/100)</f>
        <v>3240</v>
      </c>
      <c r="J74" s="28">
        <f>H74-(H74*20/100)</f>
        <v>2880</v>
      </c>
      <c r="K74" s="28">
        <f>H74-(H74*30/100)</f>
        <v>2520</v>
      </c>
      <c r="L74" s="28">
        <f>D74-(D74*20/100)</f>
        <v>3200</v>
      </c>
      <c r="M74" s="28">
        <f>L74-(L74*10/100)</f>
        <v>2880</v>
      </c>
      <c r="N74" s="28">
        <f>L74-(L74*20/100)</f>
        <v>2560</v>
      </c>
      <c r="O74" s="28">
        <f>L74-(L74*30/100)</f>
        <v>2240</v>
      </c>
      <c r="P74" s="148" t="s">
        <v>10</v>
      </c>
      <c r="Q74" s="156" t="s">
        <v>55</v>
      </c>
      <c r="R74" s="117" t="s">
        <v>645</v>
      </c>
    </row>
    <row r="75" spans="1:21" s="15" customFormat="1" ht="18" customHeight="1" thickBot="1" x14ac:dyDescent="0.5">
      <c r="A75" s="141"/>
      <c r="B75" s="180"/>
      <c r="C75" s="29" t="s">
        <v>416</v>
      </c>
      <c r="D75" s="28">
        <f>D74*50/100</f>
        <v>2000</v>
      </c>
      <c r="E75" s="28">
        <f t="shared" ref="E75:O75" si="23">E74*50/100</f>
        <v>1800</v>
      </c>
      <c r="F75" s="28">
        <f t="shared" si="23"/>
        <v>1600</v>
      </c>
      <c r="G75" s="28">
        <f t="shared" si="23"/>
        <v>1400</v>
      </c>
      <c r="H75" s="28">
        <f t="shared" si="23"/>
        <v>1800</v>
      </c>
      <c r="I75" s="28">
        <f t="shared" si="23"/>
        <v>1620</v>
      </c>
      <c r="J75" s="28">
        <f t="shared" si="23"/>
        <v>1440</v>
      </c>
      <c r="K75" s="28">
        <f t="shared" si="23"/>
        <v>1260</v>
      </c>
      <c r="L75" s="28">
        <f t="shared" si="23"/>
        <v>1600</v>
      </c>
      <c r="M75" s="28">
        <f t="shared" si="23"/>
        <v>1440</v>
      </c>
      <c r="N75" s="28">
        <f t="shared" si="23"/>
        <v>1280</v>
      </c>
      <c r="O75" s="28">
        <f t="shared" si="23"/>
        <v>1120</v>
      </c>
      <c r="P75" s="149"/>
      <c r="Q75" s="157"/>
      <c r="R75" s="117"/>
      <c r="S75" s="60"/>
      <c r="T75" s="60"/>
      <c r="U75" s="60"/>
    </row>
    <row r="76" spans="1:21" ht="18.75" customHeight="1" x14ac:dyDescent="0.25">
      <c r="A76" s="140" t="s">
        <v>247</v>
      </c>
      <c r="B76" s="179" t="s">
        <v>517</v>
      </c>
      <c r="C76" s="27" t="s">
        <v>415</v>
      </c>
      <c r="D76" s="26">
        <v>5000</v>
      </c>
      <c r="E76" s="28">
        <f>D76-(D76*10/100)</f>
        <v>4500</v>
      </c>
      <c r="F76" s="28">
        <f>D76-(D76*20/100)</f>
        <v>4000</v>
      </c>
      <c r="G76" s="28">
        <f>D76-(D76*30/100)</f>
        <v>3500</v>
      </c>
      <c r="H76" s="28">
        <f>D76-(D76*10/100)</f>
        <v>4500</v>
      </c>
      <c r="I76" s="28">
        <f>H76-(H76*10/100)</f>
        <v>4050</v>
      </c>
      <c r="J76" s="28">
        <f>H76-(H76*20/100)</f>
        <v>3600</v>
      </c>
      <c r="K76" s="28">
        <f>H76-(H76*30/100)</f>
        <v>3150</v>
      </c>
      <c r="L76" s="28">
        <f>D76-(D76*20/100)</f>
        <v>4000</v>
      </c>
      <c r="M76" s="28">
        <f>L76-(L76*10/100)</f>
        <v>3600</v>
      </c>
      <c r="N76" s="28">
        <f>L76-(L76*20/100)</f>
        <v>3200</v>
      </c>
      <c r="O76" s="28">
        <f>L76-(L76*30/100)</f>
        <v>2800</v>
      </c>
      <c r="P76" s="148" t="s">
        <v>10</v>
      </c>
      <c r="Q76" s="146" t="s">
        <v>69</v>
      </c>
      <c r="R76" s="117" t="s">
        <v>678</v>
      </c>
    </row>
    <row r="77" spans="1:21" s="15" customFormat="1" ht="18" customHeight="1" thickBot="1" x14ac:dyDescent="0.5">
      <c r="A77" s="141"/>
      <c r="B77" s="180"/>
      <c r="C77" s="29" t="s">
        <v>416</v>
      </c>
      <c r="D77" s="28">
        <f t="shared" ref="D77:O77" si="24">D76*50/100</f>
        <v>2500</v>
      </c>
      <c r="E77" s="28">
        <f t="shared" si="24"/>
        <v>2250</v>
      </c>
      <c r="F77" s="28">
        <f t="shared" si="24"/>
        <v>2000</v>
      </c>
      <c r="G77" s="28">
        <f t="shared" si="24"/>
        <v>1750</v>
      </c>
      <c r="H77" s="28">
        <f t="shared" si="24"/>
        <v>2250</v>
      </c>
      <c r="I77" s="28">
        <f t="shared" si="24"/>
        <v>2025</v>
      </c>
      <c r="J77" s="28">
        <f t="shared" si="24"/>
        <v>1800</v>
      </c>
      <c r="K77" s="28">
        <f t="shared" si="24"/>
        <v>1575</v>
      </c>
      <c r="L77" s="28">
        <f t="shared" si="24"/>
        <v>2000</v>
      </c>
      <c r="M77" s="28">
        <f t="shared" si="24"/>
        <v>1800</v>
      </c>
      <c r="N77" s="28">
        <f t="shared" si="24"/>
        <v>1600</v>
      </c>
      <c r="O77" s="28">
        <f t="shared" si="24"/>
        <v>1400</v>
      </c>
      <c r="P77" s="149"/>
      <c r="Q77" s="147"/>
      <c r="R77" s="117"/>
      <c r="S77" s="60"/>
      <c r="T77" s="60"/>
      <c r="U77" s="60"/>
    </row>
    <row r="78" spans="1:21" ht="18.75" customHeight="1" x14ac:dyDescent="0.25">
      <c r="A78" s="140" t="s">
        <v>327</v>
      </c>
      <c r="B78" s="179" t="s">
        <v>518</v>
      </c>
      <c r="C78" s="27" t="s">
        <v>415</v>
      </c>
      <c r="D78" s="26">
        <v>5000</v>
      </c>
      <c r="E78" s="28">
        <f>D78-(D78*10/100)</f>
        <v>4500</v>
      </c>
      <c r="F78" s="28">
        <f>D78-(D78*20/100)</f>
        <v>4000</v>
      </c>
      <c r="G78" s="28">
        <f>D78-(D78*30/100)</f>
        <v>3500</v>
      </c>
      <c r="H78" s="28">
        <f>D78-(D78*10/100)</f>
        <v>4500</v>
      </c>
      <c r="I78" s="28">
        <f>H78-(H78*10/100)</f>
        <v>4050</v>
      </c>
      <c r="J78" s="28">
        <f>H78-(H78*20/100)</f>
        <v>3600</v>
      </c>
      <c r="K78" s="28">
        <f>H78-(H78*30/100)</f>
        <v>3150</v>
      </c>
      <c r="L78" s="28">
        <f>D78-(D78*20/100)</f>
        <v>4000</v>
      </c>
      <c r="M78" s="28">
        <f>L78-(L78*10/100)</f>
        <v>3600</v>
      </c>
      <c r="N78" s="28">
        <f>L78-(L78*20/100)</f>
        <v>3200</v>
      </c>
      <c r="O78" s="28">
        <f>L78-(L78*30/100)</f>
        <v>2800</v>
      </c>
      <c r="P78" s="148" t="s">
        <v>10</v>
      </c>
      <c r="Q78" s="146" t="s">
        <v>69</v>
      </c>
      <c r="R78" s="117" t="s">
        <v>679</v>
      </c>
    </row>
    <row r="79" spans="1:21" s="15" customFormat="1" ht="18" customHeight="1" thickBot="1" x14ac:dyDescent="0.5">
      <c r="A79" s="141"/>
      <c r="B79" s="180"/>
      <c r="C79" s="29" t="s">
        <v>416</v>
      </c>
      <c r="D79" s="28">
        <f t="shared" ref="D79:O79" si="25">D78*50/100</f>
        <v>2500</v>
      </c>
      <c r="E79" s="28">
        <f t="shared" si="25"/>
        <v>2250</v>
      </c>
      <c r="F79" s="28">
        <f t="shared" si="25"/>
        <v>2000</v>
      </c>
      <c r="G79" s="28">
        <f t="shared" si="25"/>
        <v>1750</v>
      </c>
      <c r="H79" s="28">
        <f t="shared" si="25"/>
        <v>2250</v>
      </c>
      <c r="I79" s="28">
        <f t="shared" si="25"/>
        <v>2025</v>
      </c>
      <c r="J79" s="28">
        <f t="shared" si="25"/>
        <v>1800</v>
      </c>
      <c r="K79" s="28">
        <f t="shared" si="25"/>
        <v>1575</v>
      </c>
      <c r="L79" s="28">
        <f t="shared" si="25"/>
        <v>2000</v>
      </c>
      <c r="M79" s="28">
        <f t="shared" si="25"/>
        <v>1800</v>
      </c>
      <c r="N79" s="28">
        <f t="shared" si="25"/>
        <v>1600</v>
      </c>
      <c r="O79" s="28">
        <f t="shared" si="25"/>
        <v>1400</v>
      </c>
      <c r="P79" s="149"/>
      <c r="Q79" s="147"/>
      <c r="R79" s="117"/>
      <c r="S79" s="60"/>
      <c r="T79" s="60"/>
      <c r="U79" s="60"/>
    </row>
    <row r="80" spans="1:21" ht="18.75" customHeight="1" x14ac:dyDescent="0.25">
      <c r="A80" s="140" t="s">
        <v>249</v>
      </c>
      <c r="B80" s="179" t="s">
        <v>519</v>
      </c>
      <c r="C80" s="27" t="s">
        <v>415</v>
      </c>
      <c r="D80" s="26">
        <v>3000</v>
      </c>
      <c r="E80" s="28">
        <f>D80-(D80*10/100)</f>
        <v>2700</v>
      </c>
      <c r="F80" s="28">
        <f>D80-(D80*20/100)</f>
        <v>2400</v>
      </c>
      <c r="G80" s="28">
        <f>D80-(D80*30/100)</f>
        <v>2100</v>
      </c>
      <c r="H80" s="28">
        <f>D80-(D80*10/100)</f>
        <v>2700</v>
      </c>
      <c r="I80" s="28">
        <f>H80-(H80*10/100)</f>
        <v>2430</v>
      </c>
      <c r="J80" s="28">
        <f>H80-(H80*20/100)</f>
        <v>2160</v>
      </c>
      <c r="K80" s="28">
        <f>H80-(H80*30/100)</f>
        <v>1890</v>
      </c>
      <c r="L80" s="28">
        <f>D80-(D80*20/100)</f>
        <v>2400</v>
      </c>
      <c r="M80" s="28">
        <f>L80-(L80*10/100)</f>
        <v>2160</v>
      </c>
      <c r="N80" s="28">
        <f>L80-(L80*20/100)</f>
        <v>1920</v>
      </c>
      <c r="O80" s="28">
        <f>L80-(L80*30/100)</f>
        <v>1680</v>
      </c>
      <c r="P80" s="148" t="s">
        <v>10</v>
      </c>
      <c r="Q80" s="146" t="s">
        <v>55</v>
      </c>
      <c r="R80" s="117" t="s">
        <v>666</v>
      </c>
    </row>
    <row r="81" spans="1:18" ht="47.25" customHeight="1" thickBot="1" x14ac:dyDescent="0.3">
      <c r="A81" s="141"/>
      <c r="B81" s="180"/>
      <c r="C81" s="29" t="s">
        <v>416</v>
      </c>
      <c r="D81" s="28">
        <f t="shared" ref="D81:O81" si="26">D80*50/100</f>
        <v>1500</v>
      </c>
      <c r="E81" s="28">
        <f t="shared" si="26"/>
        <v>1350</v>
      </c>
      <c r="F81" s="28">
        <f t="shared" si="26"/>
        <v>1200</v>
      </c>
      <c r="G81" s="28">
        <f t="shared" si="26"/>
        <v>1050</v>
      </c>
      <c r="H81" s="28">
        <f t="shared" si="26"/>
        <v>1350</v>
      </c>
      <c r="I81" s="28">
        <f t="shared" si="26"/>
        <v>1215</v>
      </c>
      <c r="J81" s="28">
        <f t="shared" si="26"/>
        <v>1080</v>
      </c>
      <c r="K81" s="28">
        <f t="shared" si="26"/>
        <v>945</v>
      </c>
      <c r="L81" s="28">
        <f t="shared" si="26"/>
        <v>1200</v>
      </c>
      <c r="M81" s="28">
        <f t="shared" si="26"/>
        <v>1080</v>
      </c>
      <c r="N81" s="28">
        <f t="shared" si="26"/>
        <v>960</v>
      </c>
      <c r="O81" s="28">
        <f t="shared" si="26"/>
        <v>840</v>
      </c>
      <c r="P81" s="149"/>
      <c r="Q81" s="147"/>
      <c r="R81" s="117"/>
    </row>
    <row r="82" spans="1:18" ht="47.25" customHeight="1" thickBot="1" x14ac:dyDescent="0.3">
      <c r="A82" s="58" t="s">
        <v>328</v>
      </c>
      <c r="B82" s="22" t="s">
        <v>590</v>
      </c>
      <c r="C82" s="24" t="s">
        <v>414</v>
      </c>
      <c r="D82" s="186">
        <v>10000</v>
      </c>
      <c r="E82" s="187"/>
      <c r="F82" s="187"/>
      <c r="G82" s="188"/>
      <c r="H82" s="186">
        <f t="shared" ref="H82:H87" si="27">D82-(D82*20/100)</f>
        <v>8000</v>
      </c>
      <c r="I82" s="187"/>
      <c r="J82" s="187"/>
      <c r="K82" s="188"/>
      <c r="L82" s="186">
        <f t="shared" ref="L82:L87" si="28">D82-(D82*40/100)</f>
        <v>6000</v>
      </c>
      <c r="M82" s="187"/>
      <c r="N82" s="187"/>
      <c r="O82" s="188"/>
      <c r="P82" s="20" t="s">
        <v>9</v>
      </c>
      <c r="Q82" s="82" t="s">
        <v>62</v>
      </c>
      <c r="R82" s="87" t="s">
        <v>680</v>
      </c>
    </row>
    <row r="83" spans="1:18" ht="47.25" customHeight="1" thickBot="1" x14ac:dyDescent="0.3">
      <c r="A83" s="58" t="s">
        <v>251</v>
      </c>
      <c r="B83" s="22" t="s">
        <v>520</v>
      </c>
      <c r="C83" s="24" t="s">
        <v>414</v>
      </c>
      <c r="D83" s="186">
        <v>20000</v>
      </c>
      <c r="E83" s="187"/>
      <c r="F83" s="187"/>
      <c r="G83" s="188"/>
      <c r="H83" s="186">
        <f t="shared" si="27"/>
        <v>16000</v>
      </c>
      <c r="I83" s="187"/>
      <c r="J83" s="187"/>
      <c r="K83" s="188"/>
      <c r="L83" s="186">
        <f t="shared" si="28"/>
        <v>12000</v>
      </c>
      <c r="M83" s="187"/>
      <c r="N83" s="187"/>
      <c r="O83" s="188"/>
      <c r="P83" s="20" t="s">
        <v>9</v>
      </c>
      <c r="Q83" s="82" t="s">
        <v>62</v>
      </c>
      <c r="R83" s="87" t="s">
        <v>680</v>
      </c>
    </row>
    <row r="84" spans="1:18" ht="47.25" customHeight="1" thickBot="1" x14ac:dyDescent="0.3">
      <c r="A84" s="58" t="s">
        <v>329</v>
      </c>
      <c r="B84" s="22" t="s">
        <v>591</v>
      </c>
      <c r="C84" s="24" t="s">
        <v>414</v>
      </c>
      <c r="D84" s="190">
        <v>5000</v>
      </c>
      <c r="E84" s="187">
        <f>D84-(D84*10/100)</f>
        <v>4500</v>
      </c>
      <c r="F84" s="187">
        <f>D84-(D84*20/100)</f>
        <v>4000</v>
      </c>
      <c r="G84" s="188">
        <f>D84-(D84*30/100)</f>
        <v>3500</v>
      </c>
      <c r="H84" s="186">
        <f t="shared" si="27"/>
        <v>4000</v>
      </c>
      <c r="I84" s="187"/>
      <c r="J84" s="187"/>
      <c r="K84" s="188"/>
      <c r="L84" s="186">
        <f t="shared" si="28"/>
        <v>3000</v>
      </c>
      <c r="M84" s="187"/>
      <c r="N84" s="187"/>
      <c r="O84" s="188"/>
      <c r="P84" s="20" t="s">
        <v>9</v>
      </c>
      <c r="Q84" s="82" t="s">
        <v>55</v>
      </c>
      <c r="R84" s="87" t="s">
        <v>680</v>
      </c>
    </row>
    <row r="85" spans="1:18" ht="47.25" customHeight="1" x14ac:dyDescent="0.25">
      <c r="A85" s="58" t="s">
        <v>330</v>
      </c>
      <c r="B85" s="45" t="s">
        <v>81</v>
      </c>
      <c r="C85" s="24" t="s">
        <v>414</v>
      </c>
      <c r="D85" s="187">
        <v>20000</v>
      </c>
      <c r="E85" s="187"/>
      <c r="F85" s="187"/>
      <c r="G85" s="188"/>
      <c r="H85" s="186">
        <f t="shared" si="27"/>
        <v>16000</v>
      </c>
      <c r="I85" s="187"/>
      <c r="J85" s="187"/>
      <c r="K85" s="188"/>
      <c r="L85" s="186">
        <f t="shared" si="28"/>
        <v>12000</v>
      </c>
      <c r="M85" s="187"/>
      <c r="N85" s="187"/>
      <c r="O85" s="188"/>
      <c r="P85" s="20" t="s">
        <v>17</v>
      </c>
      <c r="Q85" s="82" t="s">
        <v>69</v>
      </c>
      <c r="R85" s="87" t="s">
        <v>680</v>
      </c>
    </row>
    <row r="86" spans="1:18" ht="47.25" customHeight="1" x14ac:dyDescent="0.25">
      <c r="A86" s="58" t="s">
        <v>331</v>
      </c>
      <c r="B86" s="45" t="s">
        <v>521</v>
      </c>
      <c r="C86" s="46" t="s">
        <v>414</v>
      </c>
      <c r="D86" s="187">
        <v>10000</v>
      </c>
      <c r="E86" s="187"/>
      <c r="F86" s="187"/>
      <c r="G86" s="188"/>
      <c r="H86" s="186">
        <f t="shared" si="27"/>
        <v>8000</v>
      </c>
      <c r="I86" s="187"/>
      <c r="J86" s="187"/>
      <c r="K86" s="188"/>
      <c r="L86" s="186">
        <f t="shared" si="28"/>
        <v>6000</v>
      </c>
      <c r="M86" s="187"/>
      <c r="N86" s="187"/>
      <c r="O86" s="188"/>
      <c r="P86" s="20" t="s">
        <v>9</v>
      </c>
      <c r="Q86" s="82" t="s">
        <v>55</v>
      </c>
      <c r="R86" s="87" t="s">
        <v>680</v>
      </c>
    </row>
    <row r="87" spans="1:18" ht="36.75" customHeight="1" x14ac:dyDescent="0.25">
      <c r="A87" s="58" t="s">
        <v>332</v>
      </c>
      <c r="B87" s="45" t="s">
        <v>592</v>
      </c>
      <c r="C87" s="46" t="s">
        <v>414</v>
      </c>
      <c r="D87" s="187">
        <v>10000</v>
      </c>
      <c r="E87" s="187"/>
      <c r="F87" s="187"/>
      <c r="G87" s="188"/>
      <c r="H87" s="186">
        <f t="shared" si="27"/>
        <v>8000</v>
      </c>
      <c r="I87" s="187"/>
      <c r="J87" s="187"/>
      <c r="K87" s="188"/>
      <c r="L87" s="186">
        <f t="shared" si="28"/>
        <v>6000</v>
      </c>
      <c r="M87" s="187"/>
      <c r="N87" s="187"/>
      <c r="O87" s="188"/>
      <c r="P87" s="20" t="s">
        <v>9</v>
      </c>
      <c r="Q87" s="82" t="s">
        <v>55</v>
      </c>
      <c r="R87" s="87" t="s">
        <v>680</v>
      </c>
    </row>
    <row r="88" spans="1:18" ht="18.75" customHeight="1" x14ac:dyDescent="0.25">
      <c r="A88" s="140" t="s">
        <v>333</v>
      </c>
      <c r="B88" s="144" t="s">
        <v>522</v>
      </c>
      <c r="C88" s="46" t="s">
        <v>415</v>
      </c>
      <c r="D88" s="49">
        <v>2000</v>
      </c>
      <c r="E88" s="28">
        <f>D88-(D88*10/100)</f>
        <v>1800</v>
      </c>
      <c r="F88" s="28">
        <f>D88-(D88*20/100)</f>
        <v>1600</v>
      </c>
      <c r="G88" s="28">
        <f>D88-(D88*30/100)</f>
        <v>1400</v>
      </c>
      <c r="H88" s="28">
        <f>D88-(D88*10/100)</f>
        <v>1800</v>
      </c>
      <c r="I88" s="28">
        <f>H88-(H88*10/100)</f>
        <v>1620</v>
      </c>
      <c r="J88" s="28">
        <f>H88-(H88*20/100)</f>
        <v>1440</v>
      </c>
      <c r="K88" s="28">
        <f>H88-(H88*30/100)</f>
        <v>1260</v>
      </c>
      <c r="L88" s="28">
        <f>D88-(D88*20/100)</f>
        <v>1600</v>
      </c>
      <c r="M88" s="28">
        <f>L88-(L88*10/100)</f>
        <v>1440</v>
      </c>
      <c r="N88" s="28">
        <f>L88-(L88*20/100)</f>
        <v>1280</v>
      </c>
      <c r="O88" s="28">
        <f>L88-(L88*30/100)</f>
        <v>1120</v>
      </c>
      <c r="P88" s="148" t="s">
        <v>10</v>
      </c>
      <c r="Q88" s="146" t="s">
        <v>55</v>
      </c>
      <c r="R88" s="117" t="s">
        <v>664</v>
      </c>
    </row>
    <row r="89" spans="1:18" ht="47.25" customHeight="1" x14ac:dyDescent="0.25">
      <c r="A89" s="141"/>
      <c r="B89" s="145"/>
      <c r="C89" s="46" t="s">
        <v>416</v>
      </c>
      <c r="D89" s="51">
        <f t="shared" ref="D89:O89" si="29">D88*50/100</f>
        <v>1000</v>
      </c>
      <c r="E89" s="28">
        <f t="shared" si="29"/>
        <v>900</v>
      </c>
      <c r="F89" s="28">
        <f t="shared" si="29"/>
        <v>800</v>
      </c>
      <c r="G89" s="28">
        <f t="shared" si="29"/>
        <v>700</v>
      </c>
      <c r="H89" s="28">
        <f t="shared" si="29"/>
        <v>900</v>
      </c>
      <c r="I89" s="28">
        <f t="shared" si="29"/>
        <v>810</v>
      </c>
      <c r="J89" s="28">
        <f t="shared" si="29"/>
        <v>720</v>
      </c>
      <c r="K89" s="28">
        <f t="shared" si="29"/>
        <v>630</v>
      </c>
      <c r="L89" s="28">
        <f t="shared" si="29"/>
        <v>800</v>
      </c>
      <c r="M89" s="28">
        <f t="shared" si="29"/>
        <v>720</v>
      </c>
      <c r="N89" s="28">
        <f t="shared" si="29"/>
        <v>640</v>
      </c>
      <c r="O89" s="28">
        <f t="shared" si="29"/>
        <v>560</v>
      </c>
      <c r="P89" s="149"/>
      <c r="Q89" s="147"/>
      <c r="R89" s="117"/>
    </row>
    <row r="90" spans="1:18" ht="47.25" customHeight="1" x14ac:dyDescent="0.25">
      <c r="A90" s="58" t="s">
        <v>334</v>
      </c>
      <c r="B90" s="45" t="s">
        <v>48</v>
      </c>
      <c r="C90" s="46" t="s">
        <v>414</v>
      </c>
      <c r="D90" s="187">
        <v>15000</v>
      </c>
      <c r="E90" s="187"/>
      <c r="F90" s="187"/>
      <c r="G90" s="188"/>
      <c r="H90" s="186">
        <f t="shared" ref="H90:H96" si="30">D90-(D90*20/100)</f>
        <v>12000</v>
      </c>
      <c r="I90" s="187"/>
      <c r="J90" s="187"/>
      <c r="K90" s="188"/>
      <c r="L90" s="186">
        <f t="shared" ref="L90:L96" si="31">D90-(D90*40/100)</f>
        <v>9000</v>
      </c>
      <c r="M90" s="187"/>
      <c r="N90" s="187"/>
      <c r="O90" s="188"/>
      <c r="P90" s="20" t="s">
        <v>9</v>
      </c>
      <c r="Q90" s="82" t="s">
        <v>69</v>
      </c>
      <c r="R90" s="81" t="s">
        <v>646</v>
      </c>
    </row>
    <row r="91" spans="1:18" ht="47.25" customHeight="1" x14ac:dyDescent="0.25">
      <c r="A91" s="58" t="s">
        <v>335</v>
      </c>
      <c r="B91" s="45" t="s">
        <v>523</v>
      </c>
      <c r="C91" s="46" t="s">
        <v>414</v>
      </c>
      <c r="D91" s="187">
        <v>50000</v>
      </c>
      <c r="E91" s="187"/>
      <c r="F91" s="187"/>
      <c r="G91" s="188"/>
      <c r="H91" s="186">
        <f t="shared" si="30"/>
        <v>40000</v>
      </c>
      <c r="I91" s="187"/>
      <c r="J91" s="187"/>
      <c r="K91" s="188"/>
      <c r="L91" s="186">
        <f t="shared" si="31"/>
        <v>30000</v>
      </c>
      <c r="M91" s="187"/>
      <c r="N91" s="187"/>
      <c r="O91" s="188"/>
      <c r="P91" s="20" t="s">
        <v>9</v>
      </c>
      <c r="Q91" s="82" t="s">
        <v>62</v>
      </c>
      <c r="R91" s="87" t="s">
        <v>680</v>
      </c>
    </row>
    <row r="92" spans="1:18" ht="47.25" customHeight="1" x14ac:dyDescent="0.25">
      <c r="A92" s="58" t="s">
        <v>336</v>
      </c>
      <c r="B92" s="45" t="s">
        <v>524</v>
      </c>
      <c r="C92" s="46" t="s">
        <v>414</v>
      </c>
      <c r="D92" s="187">
        <v>5000</v>
      </c>
      <c r="E92" s="187"/>
      <c r="F92" s="187"/>
      <c r="G92" s="188"/>
      <c r="H92" s="186">
        <f t="shared" si="30"/>
        <v>4000</v>
      </c>
      <c r="I92" s="187"/>
      <c r="J92" s="187"/>
      <c r="K92" s="188"/>
      <c r="L92" s="186">
        <f t="shared" si="31"/>
        <v>3000</v>
      </c>
      <c r="M92" s="187"/>
      <c r="N92" s="187"/>
      <c r="O92" s="188"/>
      <c r="P92" s="20" t="s">
        <v>9</v>
      </c>
      <c r="Q92" s="82" t="s">
        <v>62</v>
      </c>
      <c r="R92" s="87" t="s">
        <v>680</v>
      </c>
    </row>
    <row r="93" spans="1:18" ht="47.25" customHeight="1" x14ac:dyDescent="0.25">
      <c r="A93" s="58" t="s">
        <v>337</v>
      </c>
      <c r="B93" s="45" t="s">
        <v>525</v>
      </c>
      <c r="C93" s="46" t="s">
        <v>414</v>
      </c>
      <c r="D93" s="187">
        <v>50000</v>
      </c>
      <c r="E93" s="187"/>
      <c r="F93" s="187"/>
      <c r="G93" s="188"/>
      <c r="H93" s="186">
        <f t="shared" si="30"/>
        <v>40000</v>
      </c>
      <c r="I93" s="187"/>
      <c r="J93" s="187"/>
      <c r="K93" s="188"/>
      <c r="L93" s="186">
        <f t="shared" si="31"/>
        <v>30000</v>
      </c>
      <c r="M93" s="187"/>
      <c r="N93" s="187"/>
      <c r="O93" s="188"/>
      <c r="P93" s="20" t="s">
        <v>9</v>
      </c>
      <c r="Q93" s="82" t="s">
        <v>62</v>
      </c>
      <c r="R93" s="87" t="s">
        <v>680</v>
      </c>
    </row>
    <row r="94" spans="1:18" ht="47.25" customHeight="1" x14ac:dyDescent="0.25">
      <c r="A94" s="58" t="s">
        <v>338</v>
      </c>
      <c r="B94" s="45" t="s">
        <v>526</v>
      </c>
      <c r="C94" s="46" t="s">
        <v>414</v>
      </c>
      <c r="D94" s="187">
        <v>5000</v>
      </c>
      <c r="E94" s="187"/>
      <c r="F94" s="187"/>
      <c r="G94" s="188"/>
      <c r="H94" s="186">
        <f t="shared" si="30"/>
        <v>4000</v>
      </c>
      <c r="I94" s="187"/>
      <c r="J94" s="187"/>
      <c r="K94" s="188"/>
      <c r="L94" s="186">
        <f t="shared" si="31"/>
        <v>3000</v>
      </c>
      <c r="M94" s="187"/>
      <c r="N94" s="187"/>
      <c r="O94" s="188"/>
      <c r="P94" s="20" t="s">
        <v>9</v>
      </c>
      <c r="Q94" s="82" t="s">
        <v>62</v>
      </c>
      <c r="R94" s="87" t="s">
        <v>680</v>
      </c>
    </row>
    <row r="95" spans="1:18" ht="47.25" customHeight="1" x14ac:dyDescent="0.25">
      <c r="A95" s="58" t="s">
        <v>339</v>
      </c>
      <c r="B95" s="54" t="s">
        <v>527</v>
      </c>
      <c r="C95" s="46" t="s">
        <v>414</v>
      </c>
      <c r="D95" s="187">
        <v>100000</v>
      </c>
      <c r="E95" s="187"/>
      <c r="F95" s="187"/>
      <c r="G95" s="188"/>
      <c r="H95" s="186">
        <f t="shared" si="30"/>
        <v>80000</v>
      </c>
      <c r="I95" s="187"/>
      <c r="J95" s="187"/>
      <c r="K95" s="188"/>
      <c r="L95" s="186">
        <f t="shared" si="31"/>
        <v>60000</v>
      </c>
      <c r="M95" s="187"/>
      <c r="N95" s="187"/>
      <c r="O95" s="188"/>
      <c r="P95" s="20" t="s">
        <v>9</v>
      </c>
      <c r="Q95" s="82" t="s">
        <v>62</v>
      </c>
      <c r="R95" s="87" t="s">
        <v>680</v>
      </c>
    </row>
    <row r="96" spans="1:18" ht="69" customHeight="1" thickBot="1" x14ac:dyDescent="0.3">
      <c r="A96" s="58" t="s">
        <v>768</v>
      </c>
      <c r="B96" s="54" t="s">
        <v>528</v>
      </c>
      <c r="C96" s="29" t="s">
        <v>414</v>
      </c>
      <c r="D96" s="187">
        <v>100000</v>
      </c>
      <c r="E96" s="187"/>
      <c r="F96" s="187"/>
      <c r="G96" s="188"/>
      <c r="H96" s="186">
        <f t="shared" si="30"/>
        <v>80000</v>
      </c>
      <c r="I96" s="187"/>
      <c r="J96" s="187"/>
      <c r="K96" s="188"/>
      <c r="L96" s="186">
        <f t="shared" si="31"/>
        <v>60000</v>
      </c>
      <c r="M96" s="187"/>
      <c r="N96" s="187"/>
      <c r="O96" s="188"/>
      <c r="P96" s="20" t="s">
        <v>9</v>
      </c>
      <c r="Q96" s="82" t="s">
        <v>62</v>
      </c>
      <c r="R96" s="87" t="s">
        <v>680</v>
      </c>
    </row>
    <row r="97" spans="1:18" ht="69" customHeight="1" x14ac:dyDescent="0.25">
      <c r="A97" s="105"/>
      <c r="B97" s="106"/>
      <c r="C97" s="107"/>
      <c r="D97" s="108"/>
      <c r="E97" s="108"/>
      <c r="F97" s="108"/>
      <c r="G97" s="108"/>
      <c r="H97" s="108"/>
      <c r="I97" s="108"/>
      <c r="J97" s="108"/>
      <c r="K97" s="108"/>
      <c r="L97" s="108"/>
      <c r="M97" s="108"/>
      <c r="N97" s="108"/>
      <c r="O97" s="108"/>
      <c r="P97" s="109"/>
      <c r="Q97" s="110"/>
      <c r="R97" s="111"/>
    </row>
    <row r="98" spans="1:18" ht="54.75" customHeight="1" x14ac:dyDescent="0.25">
      <c r="A98" s="189" t="s">
        <v>593</v>
      </c>
      <c r="B98" s="189"/>
      <c r="C98" s="189"/>
      <c r="D98" s="189"/>
      <c r="E98" s="189"/>
      <c r="F98" s="189"/>
      <c r="G98" s="189"/>
      <c r="H98" s="189"/>
    </row>
    <row r="99" spans="1:18" x14ac:dyDescent="0.25">
      <c r="C99" s="60"/>
    </row>
    <row r="100" spans="1:18" x14ac:dyDescent="0.25">
      <c r="C100" s="60"/>
    </row>
    <row r="101" spans="1:18" x14ac:dyDescent="0.25">
      <c r="C101" s="60"/>
    </row>
    <row r="102" spans="1:18" x14ac:dyDescent="0.25">
      <c r="C102" s="60"/>
    </row>
    <row r="103" spans="1:18" x14ac:dyDescent="0.25">
      <c r="C103" s="60"/>
    </row>
    <row r="104" spans="1:18" x14ac:dyDescent="0.25">
      <c r="C104" s="60"/>
    </row>
    <row r="105" spans="1:18" x14ac:dyDescent="0.25">
      <c r="C105" s="60"/>
    </row>
    <row r="106" spans="1:18" x14ac:dyDescent="0.25">
      <c r="C106" s="60"/>
    </row>
    <row r="107" spans="1:18" x14ac:dyDescent="0.25">
      <c r="C107" s="60"/>
    </row>
    <row r="108" spans="1:18" x14ac:dyDescent="0.25">
      <c r="C108" s="60"/>
    </row>
    <row r="109" spans="1:18" x14ac:dyDescent="0.25">
      <c r="C109" s="60"/>
    </row>
    <row r="110" spans="1:18" x14ac:dyDescent="0.25">
      <c r="C110" s="60"/>
    </row>
    <row r="111" spans="1:18" x14ac:dyDescent="0.25">
      <c r="C111" s="60"/>
    </row>
    <row r="112" spans="1:18" x14ac:dyDescent="0.25">
      <c r="C112" s="60"/>
    </row>
    <row r="113" spans="3:3" x14ac:dyDescent="0.25">
      <c r="C113" s="60"/>
    </row>
    <row r="114" spans="3:3" x14ac:dyDescent="0.25">
      <c r="C114" s="60"/>
    </row>
    <row r="115" spans="3:3" x14ac:dyDescent="0.25">
      <c r="C115" s="60"/>
    </row>
    <row r="116" spans="3:3" x14ac:dyDescent="0.25">
      <c r="C116" s="60"/>
    </row>
    <row r="117" spans="3:3" x14ac:dyDescent="0.25">
      <c r="C117" s="60"/>
    </row>
    <row r="118" spans="3:3" x14ac:dyDescent="0.25">
      <c r="C118" s="60"/>
    </row>
    <row r="119" spans="3:3" x14ac:dyDescent="0.25">
      <c r="C119" s="60"/>
    </row>
    <row r="120" spans="3:3" x14ac:dyDescent="0.25">
      <c r="C120" s="60"/>
    </row>
    <row r="121" spans="3:3" x14ac:dyDescent="0.25">
      <c r="C121" s="60"/>
    </row>
    <row r="122" spans="3:3" x14ac:dyDescent="0.25">
      <c r="C122" s="60"/>
    </row>
    <row r="123" spans="3:3" x14ac:dyDescent="0.25">
      <c r="C123" s="60"/>
    </row>
    <row r="124" spans="3:3" x14ac:dyDescent="0.25">
      <c r="C124" s="60"/>
    </row>
    <row r="125" spans="3:3" x14ac:dyDescent="0.25">
      <c r="C125" s="60"/>
    </row>
    <row r="126" spans="3:3" x14ac:dyDescent="0.25">
      <c r="C126" s="60"/>
    </row>
    <row r="127" spans="3:3" x14ac:dyDescent="0.25">
      <c r="C127" s="60"/>
    </row>
    <row r="128" spans="3:3" x14ac:dyDescent="0.25">
      <c r="C128" s="60"/>
    </row>
    <row r="129" spans="3:3" x14ac:dyDescent="0.25">
      <c r="C129" s="60"/>
    </row>
    <row r="130" spans="3:3" x14ac:dyDescent="0.25">
      <c r="C130" s="60"/>
    </row>
    <row r="131" spans="3:3" x14ac:dyDescent="0.25">
      <c r="C131" s="60"/>
    </row>
    <row r="132" spans="3:3" x14ac:dyDescent="0.25">
      <c r="C132" s="60"/>
    </row>
    <row r="133" spans="3:3" x14ac:dyDescent="0.25">
      <c r="C133" s="60"/>
    </row>
    <row r="134" spans="3:3" x14ac:dyDescent="0.25">
      <c r="C134" s="60"/>
    </row>
    <row r="135" spans="3:3" x14ac:dyDescent="0.25">
      <c r="C135" s="60"/>
    </row>
    <row r="136" spans="3:3" x14ac:dyDescent="0.25">
      <c r="C136" s="60"/>
    </row>
    <row r="137" spans="3:3" x14ac:dyDescent="0.25">
      <c r="C137" s="60"/>
    </row>
    <row r="138" spans="3:3" x14ac:dyDescent="0.25">
      <c r="C138" s="60"/>
    </row>
    <row r="139" spans="3:3" x14ac:dyDescent="0.25">
      <c r="C139" s="60"/>
    </row>
    <row r="140" spans="3:3" x14ac:dyDescent="0.25">
      <c r="C140" s="60"/>
    </row>
    <row r="141" spans="3:3" x14ac:dyDescent="0.25">
      <c r="C141" s="60"/>
    </row>
    <row r="142" spans="3:3" x14ac:dyDescent="0.25">
      <c r="C142" s="60"/>
    </row>
    <row r="143" spans="3:3" x14ac:dyDescent="0.25">
      <c r="C143" s="60"/>
    </row>
    <row r="144" spans="3:3" x14ac:dyDescent="0.25">
      <c r="C144" s="60"/>
    </row>
    <row r="145" spans="3:3" x14ac:dyDescent="0.25">
      <c r="C145" s="60"/>
    </row>
    <row r="146" spans="3:3" x14ac:dyDescent="0.25">
      <c r="C146" s="60"/>
    </row>
    <row r="147" spans="3:3" x14ac:dyDescent="0.25">
      <c r="C147" s="60"/>
    </row>
    <row r="148" spans="3:3" x14ac:dyDescent="0.25">
      <c r="C148" s="60"/>
    </row>
    <row r="149" spans="3:3" x14ac:dyDescent="0.25">
      <c r="C149" s="60"/>
    </row>
    <row r="150" spans="3:3" x14ac:dyDescent="0.25">
      <c r="C150" s="60"/>
    </row>
    <row r="151" spans="3:3" x14ac:dyDescent="0.25">
      <c r="C151" s="60"/>
    </row>
    <row r="152" spans="3:3" x14ac:dyDescent="0.25">
      <c r="C152" s="60"/>
    </row>
    <row r="153" spans="3:3" x14ac:dyDescent="0.25">
      <c r="C153" s="60"/>
    </row>
    <row r="154" spans="3:3" x14ac:dyDescent="0.25">
      <c r="C154" s="60"/>
    </row>
    <row r="155" spans="3:3" x14ac:dyDescent="0.25">
      <c r="C155" s="60"/>
    </row>
    <row r="156" spans="3:3" x14ac:dyDescent="0.25">
      <c r="C156" s="60"/>
    </row>
    <row r="157" spans="3:3" x14ac:dyDescent="0.25">
      <c r="C157" s="60"/>
    </row>
    <row r="158" spans="3:3" x14ac:dyDescent="0.25">
      <c r="C158" s="60"/>
    </row>
    <row r="159" spans="3:3" x14ac:dyDescent="0.25">
      <c r="C159" s="60"/>
    </row>
    <row r="160" spans="3:3" x14ac:dyDescent="0.25">
      <c r="C160" s="60"/>
    </row>
    <row r="161" spans="3:3" x14ac:dyDescent="0.25">
      <c r="C161" s="60"/>
    </row>
    <row r="162" spans="3:3" x14ac:dyDescent="0.25">
      <c r="C162" s="60"/>
    </row>
    <row r="163" spans="3:3" x14ac:dyDescent="0.25">
      <c r="C163" s="60"/>
    </row>
    <row r="164" spans="3:3" x14ac:dyDescent="0.25">
      <c r="C164" s="60"/>
    </row>
    <row r="165" spans="3:3" x14ac:dyDescent="0.25">
      <c r="C165" s="60"/>
    </row>
    <row r="166" spans="3:3" x14ac:dyDescent="0.25">
      <c r="C166" s="60"/>
    </row>
    <row r="167" spans="3:3" x14ac:dyDescent="0.25">
      <c r="C167" s="60"/>
    </row>
    <row r="168" spans="3:3" x14ac:dyDescent="0.25">
      <c r="C168" s="60"/>
    </row>
    <row r="169" spans="3:3" x14ac:dyDescent="0.25">
      <c r="C169" s="60"/>
    </row>
    <row r="170" spans="3:3" x14ac:dyDescent="0.25">
      <c r="C170" s="60"/>
    </row>
    <row r="171" spans="3:3" x14ac:dyDescent="0.25">
      <c r="C171" s="60"/>
    </row>
    <row r="172" spans="3:3" x14ac:dyDescent="0.25">
      <c r="C172" s="60"/>
    </row>
    <row r="173" spans="3:3" x14ac:dyDescent="0.25">
      <c r="C173" s="60"/>
    </row>
    <row r="174" spans="3:3" x14ac:dyDescent="0.25">
      <c r="C174" s="60"/>
    </row>
    <row r="175" spans="3:3" x14ac:dyDescent="0.25">
      <c r="C175" s="60"/>
    </row>
    <row r="176" spans="3:3" x14ac:dyDescent="0.25">
      <c r="C176" s="60"/>
    </row>
    <row r="177" spans="3:3" x14ac:dyDescent="0.25">
      <c r="C177" s="60"/>
    </row>
    <row r="178" spans="3:3" x14ac:dyDescent="0.25">
      <c r="C178" s="60"/>
    </row>
    <row r="179" spans="3:3" x14ac:dyDescent="0.25">
      <c r="C179" s="60"/>
    </row>
    <row r="180" spans="3:3" x14ac:dyDescent="0.25">
      <c r="C180" s="60"/>
    </row>
    <row r="181" spans="3:3" x14ac:dyDescent="0.25">
      <c r="C181" s="60"/>
    </row>
    <row r="182" spans="3:3" x14ac:dyDescent="0.25">
      <c r="C182" s="60"/>
    </row>
    <row r="183" spans="3:3" x14ac:dyDescent="0.25">
      <c r="C183" s="60"/>
    </row>
    <row r="184" spans="3:3" x14ac:dyDescent="0.25">
      <c r="C184" s="60"/>
    </row>
    <row r="185" spans="3:3" x14ac:dyDescent="0.25">
      <c r="C185" s="60"/>
    </row>
    <row r="186" spans="3:3" x14ac:dyDescent="0.25">
      <c r="C186" s="60"/>
    </row>
    <row r="187" spans="3:3" x14ac:dyDescent="0.25">
      <c r="C187" s="60"/>
    </row>
    <row r="188" spans="3:3" x14ac:dyDescent="0.25">
      <c r="C188" s="60"/>
    </row>
    <row r="189" spans="3:3" x14ac:dyDescent="0.25">
      <c r="C189" s="60"/>
    </row>
    <row r="190" spans="3:3" x14ac:dyDescent="0.25">
      <c r="C190" s="60"/>
    </row>
    <row r="191" spans="3:3" x14ac:dyDescent="0.25">
      <c r="C191" s="60"/>
    </row>
    <row r="192" spans="3:3" x14ac:dyDescent="0.25">
      <c r="C192" s="60"/>
    </row>
    <row r="193" spans="3:3" x14ac:dyDescent="0.25">
      <c r="C193" s="60"/>
    </row>
    <row r="194" spans="3:3" x14ac:dyDescent="0.25">
      <c r="C194" s="60"/>
    </row>
    <row r="195" spans="3:3" x14ac:dyDescent="0.25">
      <c r="C195" s="60"/>
    </row>
    <row r="196" spans="3:3" x14ac:dyDescent="0.25">
      <c r="C196" s="60"/>
    </row>
    <row r="197" spans="3:3" x14ac:dyDescent="0.25">
      <c r="C197" s="60"/>
    </row>
    <row r="198" spans="3:3" x14ac:dyDescent="0.25">
      <c r="C198" s="60"/>
    </row>
    <row r="199" spans="3:3" x14ac:dyDescent="0.25">
      <c r="C199" s="60"/>
    </row>
    <row r="200" spans="3:3" x14ac:dyDescent="0.25">
      <c r="C200" s="60"/>
    </row>
    <row r="201" spans="3:3" x14ac:dyDescent="0.25">
      <c r="C201" s="60"/>
    </row>
    <row r="202" spans="3:3" x14ac:dyDescent="0.25">
      <c r="C202" s="60"/>
    </row>
    <row r="203" spans="3:3" x14ac:dyDescent="0.25">
      <c r="C203" s="60"/>
    </row>
    <row r="204" spans="3:3" x14ac:dyDescent="0.25">
      <c r="C204" s="60"/>
    </row>
    <row r="205" spans="3:3" x14ac:dyDescent="0.25">
      <c r="C205" s="60"/>
    </row>
    <row r="206" spans="3:3" x14ac:dyDescent="0.25">
      <c r="C206" s="60"/>
    </row>
    <row r="207" spans="3:3" x14ac:dyDescent="0.25">
      <c r="C207" s="60"/>
    </row>
    <row r="208" spans="3:3" x14ac:dyDescent="0.25">
      <c r="C208" s="60"/>
    </row>
    <row r="209" spans="3:3" x14ac:dyDescent="0.25">
      <c r="C209" s="60"/>
    </row>
    <row r="210" spans="3:3" x14ac:dyDescent="0.25">
      <c r="C210" s="60"/>
    </row>
    <row r="211" spans="3:3" x14ac:dyDescent="0.25">
      <c r="C211" s="60"/>
    </row>
    <row r="212" spans="3:3" x14ac:dyDescent="0.25">
      <c r="C212" s="60"/>
    </row>
    <row r="213" spans="3:3" x14ac:dyDescent="0.25">
      <c r="C213" s="60"/>
    </row>
    <row r="214" spans="3:3" x14ac:dyDescent="0.25">
      <c r="C214" s="60"/>
    </row>
    <row r="215" spans="3:3" x14ac:dyDescent="0.25">
      <c r="C215" s="60"/>
    </row>
    <row r="216" spans="3:3" x14ac:dyDescent="0.25">
      <c r="C216" s="60"/>
    </row>
    <row r="217" spans="3:3" x14ac:dyDescent="0.25">
      <c r="C217" s="60"/>
    </row>
    <row r="218" spans="3:3" x14ac:dyDescent="0.25">
      <c r="C218" s="60"/>
    </row>
    <row r="219" spans="3:3" x14ac:dyDescent="0.25">
      <c r="C219" s="60"/>
    </row>
    <row r="220" spans="3:3" x14ac:dyDescent="0.25">
      <c r="C220" s="60"/>
    </row>
    <row r="221" spans="3:3" x14ac:dyDescent="0.25">
      <c r="C221" s="60"/>
    </row>
    <row r="222" spans="3:3" x14ac:dyDescent="0.25">
      <c r="C222" s="60"/>
    </row>
    <row r="223" spans="3:3" x14ac:dyDescent="0.25">
      <c r="C223" s="60"/>
    </row>
    <row r="224" spans="3:3" x14ac:dyDescent="0.25">
      <c r="C224" s="60"/>
    </row>
    <row r="225" spans="3:3" x14ac:dyDescent="0.25">
      <c r="C225" s="60"/>
    </row>
    <row r="226" spans="3:3" x14ac:dyDescent="0.25">
      <c r="C226" s="60"/>
    </row>
    <row r="227" spans="3:3" x14ac:dyDescent="0.25">
      <c r="C227" s="60"/>
    </row>
    <row r="228" spans="3:3" x14ac:dyDescent="0.25">
      <c r="C228" s="60"/>
    </row>
    <row r="229" spans="3:3" x14ac:dyDescent="0.25">
      <c r="C229" s="60"/>
    </row>
    <row r="230" spans="3:3" x14ac:dyDescent="0.25">
      <c r="C230" s="60"/>
    </row>
    <row r="231" spans="3:3" x14ac:dyDescent="0.25">
      <c r="C231" s="60"/>
    </row>
    <row r="232" spans="3:3" x14ac:dyDescent="0.25">
      <c r="C232" s="60"/>
    </row>
    <row r="233" spans="3:3" x14ac:dyDescent="0.25">
      <c r="C233" s="60"/>
    </row>
    <row r="234" spans="3:3" x14ac:dyDescent="0.25">
      <c r="C234" s="60"/>
    </row>
    <row r="235" spans="3:3" x14ac:dyDescent="0.25">
      <c r="C235" s="60"/>
    </row>
    <row r="236" spans="3:3" x14ac:dyDescent="0.25">
      <c r="C236" s="60"/>
    </row>
    <row r="237" spans="3:3" x14ac:dyDescent="0.25">
      <c r="C237" s="60"/>
    </row>
    <row r="238" spans="3:3" x14ac:dyDescent="0.25">
      <c r="C238" s="60"/>
    </row>
    <row r="239" spans="3:3" x14ac:dyDescent="0.25">
      <c r="C239" s="60"/>
    </row>
    <row r="240" spans="3:3" x14ac:dyDescent="0.25">
      <c r="C240" s="60"/>
    </row>
    <row r="241" spans="3:3" x14ac:dyDescent="0.25">
      <c r="C241" s="60"/>
    </row>
    <row r="242" spans="3:3" x14ac:dyDescent="0.25">
      <c r="C242" s="60"/>
    </row>
    <row r="243" spans="3:3" x14ac:dyDescent="0.25">
      <c r="C243" s="60"/>
    </row>
    <row r="244" spans="3:3" x14ac:dyDescent="0.25">
      <c r="C244" s="60"/>
    </row>
    <row r="245" spans="3:3" x14ac:dyDescent="0.25">
      <c r="C245" s="60"/>
    </row>
    <row r="246" spans="3:3" x14ac:dyDescent="0.25">
      <c r="C246" s="60"/>
    </row>
    <row r="247" spans="3:3" x14ac:dyDescent="0.25">
      <c r="C247" s="60"/>
    </row>
    <row r="248" spans="3:3" x14ac:dyDescent="0.25">
      <c r="C248" s="60"/>
    </row>
    <row r="249" spans="3:3" x14ac:dyDescent="0.25">
      <c r="C249" s="60"/>
    </row>
    <row r="250" spans="3:3" x14ac:dyDescent="0.25">
      <c r="C250" s="60"/>
    </row>
    <row r="251" spans="3:3" x14ac:dyDescent="0.25">
      <c r="C251" s="60"/>
    </row>
    <row r="252" spans="3:3" x14ac:dyDescent="0.25">
      <c r="C252" s="60"/>
    </row>
    <row r="253" spans="3:3" x14ac:dyDescent="0.25">
      <c r="C253" s="60"/>
    </row>
    <row r="254" spans="3:3" x14ac:dyDescent="0.25">
      <c r="C254" s="60"/>
    </row>
    <row r="255" spans="3:3" x14ac:dyDescent="0.25">
      <c r="C255" s="60"/>
    </row>
    <row r="256" spans="3:3" x14ac:dyDescent="0.25">
      <c r="C256" s="60"/>
    </row>
    <row r="257" spans="3:3" x14ac:dyDescent="0.25">
      <c r="C257" s="60"/>
    </row>
    <row r="258" spans="3:3" x14ac:dyDescent="0.25">
      <c r="C258" s="60"/>
    </row>
    <row r="259" spans="3:3" x14ac:dyDescent="0.25">
      <c r="C259" s="60"/>
    </row>
    <row r="260" spans="3:3" x14ac:dyDescent="0.25">
      <c r="C260" s="60"/>
    </row>
    <row r="261" spans="3:3" x14ac:dyDescent="0.25">
      <c r="C261" s="60"/>
    </row>
    <row r="262" spans="3:3" x14ac:dyDescent="0.25">
      <c r="C262" s="60"/>
    </row>
    <row r="263" spans="3:3" x14ac:dyDescent="0.25">
      <c r="C263" s="60"/>
    </row>
    <row r="264" spans="3:3" x14ac:dyDescent="0.25">
      <c r="C264" s="60"/>
    </row>
    <row r="265" spans="3:3" x14ac:dyDescent="0.25">
      <c r="C265" s="60"/>
    </row>
    <row r="266" spans="3:3" x14ac:dyDescent="0.25">
      <c r="C266" s="60"/>
    </row>
    <row r="267" spans="3:3" x14ac:dyDescent="0.25">
      <c r="C267" s="60"/>
    </row>
    <row r="268" spans="3:3" x14ac:dyDescent="0.25">
      <c r="C268" s="60"/>
    </row>
    <row r="269" spans="3:3" x14ac:dyDescent="0.25">
      <c r="C269" s="60"/>
    </row>
    <row r="270" spans="3:3" x14ac:dyDescent="0.25">
      <c r="C270" s="60"/>
    </row>
    <row r="271" spans="3:3" x14ac:dyDescent="0.25">
      <c r="C271" s="60"/>
    </row>
    <row r="272" spans="3:3" x14ac:dyDescent="0.25">
      <c r="C272" s="60"/>
    </row>
    <row r="273" spans="3:3" x14ac:dyDescent="0.25">
      <c r="C273" s="60"/>
    </row>
    <row r="274" spans="3:3" x14ac:dyDescent="0.25">
      <c r="C274" s="60"/>
    </row>
    <row r="275" spans="3:3" x14ac:dyDescent="0.25">
      <c r="C275" s="60"/>
    </row>
    <row r="276" spans="3:3" x14ac:dyDescent="0.25">
      <c r="C276" s="60"/>
    </row>
    <row r="277" spans="3:3" x14ac:dyDescent="0.25">
      <c r="C277" s="60"/>
    </row>
    <row r="278" spans="3:3" x14ac:dyDescent="0.25">
      <c r="C278" s="60"/>
    </row>
    <row r="279" spans="3:3" x14ac:dyDescent="0.25">
      <c r="C279" s="60"/>
    </row>
    <row r="280" spans="3:3" x14ac:dyDescent="0.25">
      <c r="C280" s="60"/>
    </row>
    <row r="281" spans="3:3" x14ac:dyDescent="0.25">
      <c r="C281" s="60"/>
    </row>
    <row r="282" spans="3:3" x14ac:dyDescent="0.25">
      <c r="C282" s="60"/>
    </row>
    <row r="283" spans="3:3" x14ac:dyDescent="0.25">
      <c r="C283" s="60"/>
    </row>
    <row r="284" spans="3:3" x14ac:dyDescent="0.25">
      <c r="C284" s="60"/>
    </row>
    <row r="285" spans="3:3" x14ac:dyDescent="0.25">
      <c r="C285" s="60"/>
    </row>
    <row r="286" spans="3:3" x14ac:dyDescent="0.25">
      <c r="C286" s="60"/>
    </row>
    <row r="287" spans="3:3" x14ac:dyDescent="0.25">
      <c r="C287" s="60"/>
    </row>
    <row r="288" spans="3:3" x14ac:dyDescent="0.25">
      <c r="C288" s="60"/>
    </row>
    <row r="289" spans="3:3" x14ac:dyDescent="0.25">
      <c r="C289" s="60"/>
    </row>
    <row r="290" spans="3:3" x14ac:dyDescent="0.25">
      <c r="C290" s="60"/>
    </row>
    <row r="291" spans="3:3" x14ac:dyDescent="0.25">
      <c r="C291" s="60"/>
    </row>
    <row r="292" spans="3:3" x14ac:dyDescent="0.25">
      <c r="C292" s="60"/>
    </row>
    <row r="293" spans="3:3" x14ac:dyDescent="0.25">
      <c r="C293" s="60"/>
    </row>
    <row r="294" spans="3:3" x14ac:dyDescent="0.25">
      <c r="C294" s="60"/>
    </row>
    <row r="295" spans="3:3" x14ac:dyDescent="0.25">
      <c r="C295" s="60"/>
    </row>
    <row r="296" spans="3:3" x14ac:dyDescent="0.25">
      <c r="C296" s="60"/>
    </row>
    <row r="297" spans="3:3" x14ac:dyDescent="0.25">
      <c r="C297" s="60"/>
    </row>
    <row r="298" spans="3:3" x14ac:dyDescent="0.25">
      <c r="C298" s="60"/>
    </row>
    <row r="299" spans="3:3" x14ac:dyDescent="0.25">
      <c r="C299" s="60"/>
    </row>
    <row r="300" spans="3:3" x14ac:dyDescent="0.25">
      <c r="C300" s="60"/>
    </row>
    <row r="301" spans="3:3" x14ac:dyDescent="0.25">
      <c r="C301" s="60"/>
    </row>
    <row r="302" spans="3:3" x14ac:dyDescent="0.25">
      <c r="C302" s="60"/>
    </row>
    <row r="303" spans="3:3" x14ac:dyDescent="0.25">
      <c r="C303" s="60"/>
    </row>
    <row r="304" spans="3:3" x14ac:dyDescent="0.25">
      <c r="C304" s="60"/>
    </row>
    <row r="305" spans="3:3" x14ac:dyDescent="0.25">
      <c r="C305" s="60"/>
    </row>
    <row r="306" spans="3:3" x14ac:dyDescent="0.25">
      <c r="C306" s="60"/>
    </row>
    <row r="307" spans="3:3" x14ac:dyDescent="0.25">
      <c r="C307" s="60"/>
    </row>
    <row r="308" spans="3:3" x14ac:dyDescent="0.25">
      <c r="C308" s="60"/>
    </row>
    <row r="309" spans="3:3" x14ac:dyDescent="0.25">
      <c r="C309" s="60"/>
    </row>
    <row r="310" spans="3:3" x14ac:dyDescent="0.25">
      <c r="C310" s="60"/>
    </row>
    <row r="311" spans="3:3" x14ac:dyDescent="0.25">
      <c r="C311" s="60"/>
    </row>
    <row r="312" spans="3:3" x14ac:dyDescent="0.25">
      <c r="C312" s="60"/>
    </row>
    <row r="313" spans="3:3" x14ac:dyDescent="0.25">
      <c r="C313" s="60"/>
    </row>
    <row r="314" spans="3:3" x14ac:dyDescent="0.25">
      <c r="C314" s="60"/>
    </row>
    <row r="315" spans="3:3" x14ac:dyDescent="0.25">
      <c r="C315" s="60"/>
    </row>
    <row r="316" spans="3:3" x14ac:dyDescent="0.25">
      <c r="C316" s="60"/>
    </row>
    <row r="317" spans="3:3" x14ac:dyDescent="0.25">
      <c r="C317" s="60"/>
    </row>
    <row r="318" spans="3:3" x14ac:dyDescent="0.25">
      <c r="C318" s="60"/>
    </row>
    <row r="319" spans="3:3" x14ac:dyDescent="0.25">
      <c r="C319" s="60"/>
    </row>
    <row r="320" spans="3:3" x14ac:dyDescent="0.25">
      <c r="C320" s="60"/>
    </row>
    <row r="321" spans="3:3" x14ac:dyDescent="0.25">
      <c r="C321" s="60"/>
    </row>
    <row r="322" spans="3:3" x14ac:dyDescent="0.25">
      <c r="C322" s="60"/>
    </row>
    <row r="323" spans="3:3" x14ac:dyDescent="0.25">
      <c r="C323" s="60"/>
    </row>
    <row r="324" spans="3:3" x14ac:dyDescent="0.25">
      <c r="C324" s="60"/>
    </row>
    <row r="325" spans="3:3" x14ac:dyDescent="0.25">
      <c r="C325" s="60"/>
    </row>
    <row r="326" spans="3:3" x14ac:dyDescent="0.25">
      <c r="C326" s="60"/>
    </row>
    <row r="327" spans="3:3" x14ac:dyDescent="0.25">
      <c r="C327" s="60"/>
    </row>
    <row r="328" spans="3:3" x14ac:dyDescent="0.25">
      <c r="C328" s="60"/>
    </row>
    <row r="329" spans="3:3" x14ac:dyDescent="0.25">
      <c r="C329" s="60"/>
    </row>
    <row r="330" spans="3:3" x14ac:dyDescent="0.25">
      <c r="C330" s="60"/>
    </row>
    <row r="331" spans="3:3" x14ac:dyDescent="0.25">
      <c r="C331" s="60"/>
    </row>
    <row r="332" spans="3:3" x14ac:dyDescent="0.25">
      <c r="C332" s="60"/>
    </row>
    <row r="333" spans="3:3" x14ac:dyDescent="0.25">
      <c r="C333" s="60"/>
    </row>
    <row r="334" spans="3:3" x14ac:dyDescent="0.25">
      <c r="C334" s="60"/>
    </row>
    <row r="335" spans="3:3" x14ac:dyDescent="0.25">
      <c r="C335" s="60"/>
    </row>
    <row r="336" spans="3:3" x14ac:dyDescent="0.25">
      <c r="C336" s="60"/>
    </row>
    <row r="337" spans="3:3" x14ac:dyDescent="0.25">
      <c r="C337" s="60"/>
    </row>
    <row r="338" spans="3:3" x14ac:dyDescent="0.25">
      <c r="C338" s="60"/>
    </row>
    <row r="339" spans="3:3" x14ac:dyDescent="0.25">
      <c r="C339" s="60"/>
    </row>
    <row r="340" spans="3:3" x14ac:dyDescent="0.25">
      <c r="C340" s="60"/>
    </row>
    <row r="341" spans="3:3" x14ac:dyDescent="0.25">
      <c r="C341" s="60"/>
    </row>
    <row r="342" spans="3:3" x14ac:dyDescent="0.25">
      <c r="C342" s="60"/>
    </row>
    <row r="343" spans="3:3" x14ac:dyDescent="0.25">
      <c r="C343" s="60"/>
    </row>
    <row r="344" spans="3:3" x14ac:dyDescent="0.25">
      <c r="C344" s="60"/>
    </row>
    <row r="345" spans="3:3" x14ac:dyDescent="0.25">
      <c r="C345" s="60"/>
    </row>
    <row r="346" spans="3:3" x14ac:dyDescent="0.25">
      <c r="C346" s="60"/>
    </row>
    <row r="347" spans="3:3" x14ac:dyDescent="0.25">
      <c r="C347" s="60"/>
    </row>
    <row r="348" spans="3:3" x14ac:dyDescent="0.25">
      <c r="C348" s="60"/>
    </row>
    <row r="349" spans="3:3" x14ac:dyDescent="0.25">
      <c r="C349" s="60"/>
    </row>
    <row r="350" spans="3:3" x14ac:dyDescent="0.25">
      <c r="C350" s="60"/>
    </row>
    <row r="351" spans="3:3" x14ac:dyDescent="0.25">
      <c r="C351" s="60"/>
    </row>
    <row r="352" spans="3:3" x14ac:dyDescent="0.25">
      <c r="C352" s="60"/>
    </row>
    <row r="353" spans="3:3" x14ac:dyDescent="0.25">
      <c r="C353" s="60"/>
    </row>
    <row r="354" spans="3:3" x14ac:dyDescent="0.25">
      <c r="C354" s="60"/>
    </row>
    <row r="355" spans="3:3" x14ac:dyDescent="0.25">
      <c r="C355" s="60"/>
    </row>
    <row r="356" spans="3:3" x14ac:dyDescent="0.25">
      <c r="C356" s="60"/>
    </row>
    <row r="357" spans="3:3" x14ac:dyDescent="0.25">
      <c r="C357" s="60"/>
    </row>
    <row r="358" spans="3:3" x14ac:dyDescent="0.25">
      <c r="C358" s="60"/>
    </row>
    <row r="359" spans="3:3" x14ac:dyDescent="0.25">
      <c r="C359" s="60"/>
    </row>
    <row r="360" spans="3:3" x14ac:dyDescent="0.25">
      <c r="C360" s="60"/>
    </row>
    <row r="361" spans="3:3" x14ac:dyDescent="0.25">
      <c r="C361" s="60"/>
    </row>
    <row r="362" spans="3:3" x14ac:dyDescent="0.25">
      <c r="C362" s="60"/>
    </row>
    <row r="363" spans="3:3" x14ac:dyDescent="0.25">
      <c r="C363" s="60"/>
    </row>
    <row r="364" spans="3:3" x14ac:dyDescent="0.25">
      <c r="C364" s="60"/>
    </row>
    <row r="365" spans="3:3" x14ac:dyDescent="0.25">
      <c r="C365" s="60"/>
    </row>
    <row r="366" spans="3:3" x14ac:dyDescent="0.25">
      <c r="C366" s="60"/>
    </row>
    <row r="367" spans="3:3" x14ac:dyDescent="0.25">
      <c r="C367" s="60"/>
    </row>
    <row r="368" spans="3:3" x14ac:dyDescent="0.25">
      <c r="C368" s="60"/>
    </row>
    <row r="369" spans="3:3" x14ac:dyDescent="0.25">
      <c r="C369" s="60"/>
    </row>
    <row r="370" spans="3:3" x14ac:dyDescent="0.25">
      <c r="C370" s="60"/>
    </row>
    <row r="371" spans="3:3" x14ac:dyDescent="0.25">
      <c r="C371" s="60"/>
    </row>
    <row r="372" spans="3:3" x14ac:dyDescent="0.25">
      <c r="C372" s="60"/>
    </row>
    <row r="373" spans="3:3" x14ac:dyDescent="0.25">
      <c r="C373" s="60"/>
    </row>
    <row r="374" spans="3:3" x14ac:dyDescent="0.25">
      <c r="C374" s="60"/>
    </row>
    <row r="375" spans="3:3" x14ac:dyDescent="0.25">
      <c r="C375" s="60"/>
    </row>
    <row r="376" spans="3:3" x14ac:dyDescent="0.25">
      <c r="C376" s="60"/>
    </row>
    <row r="377" spans="3:3" x14ac:dyDescent="0.25">
      <c r="C377" s="60"/>
    </row>
    <row r="378" spans="3:3" x14ac:dyDescent="0.25">
      <c r="C378" s="60"/>
    </row>
    <row r="379" spans="3:3" x14ac:dyDescent="0.25">
      <c r="C379" s="60"/>
    </row>
    <row r="380" spans="3:3" x14ac:dyDescent="0.25">
      <c r="C380" s="60"/>
    </row>
    <row r="381" spans="3:3" x14ac:dyDescent="0.25">
      <c r="C381" s="60"/>
    </row>
    <row r="382" spans="3:3" x14ac:dyDescent="0.25">
      <c r="C382" s="60"/>
    </row>
    <row r="383" spans="3:3" x14ac:dyDescent="0.25">
      <c r="C383" s="60"/>
    </row>
    <row r="384" spans="3:3" x14ac:dyDescent="0.25">
      <c r="C384" s="60"/>
    </row>
    <row r="385" spans="3:3" x14ac:dyDescent="0.25">
      <c r="C385" s="60"/>
    </row>
    <row r="386" spans="3:3" x14ac:dyDescent="0.25">
      <c r="C386" s="60"/>
    </row>
    <row r="387" spans="3:3" x14ac:dyDescent="0.25">
      <c r="C387" s="60"/>
    </row>
    <row r="388" spans="3:3" x14ac:dyDescent="0.25">
      <c r="C388" s="60"/>
    </row>
    <row r="389" spans="3:3" x14ac:dyDescent="0.25">
      <c r="C389" s="60"/>
    </row>
    <row r="390" spans="3:3" x14ac:dyDescent="0.25">
      <c r="C390" s="60"/>
    </row>
    <row r="391" spans="3:3" x14ac:dyDescent="0.25">
      <c r="C391" s="60"/>
    </row>
    <row r="392" spans="3:3" x14ac:dyDescent="0.25">
      <c r="C392" s="60"/>
    </row>
    <row r="393" spans="3:3" x14ac:dyDescent="0.25">
      <c r="C393" s="60"/>
    </row>
    <row r="394" spans="3:3" x14ac:dyDescent="0.25">
      <c r="C394" s="60"/>
    </row>
    <row r="395" spans="3:3" x14ac:dyDescent="0.25">
      <c r="C395" s="60"/>
    </row>
    <row r="396" spans="3:3" x14ac:dyDescent="0.25">
      <c r="C396" s="60"/>
    </row>
    <row r="397" spans="3:3" x14ac:dyDescent="0.25">
      <c r="C397" s="60"/>
    </row>
    <row r="398" spans="3:3" x14ac:dyDescent="0.25">
      <c r="C398" s="60"/>
    </row>
    <row r="399" spans="3:3" x14ac:dyDescent="0.25">
      <c r="C399" s="60"/>
    </row>
    <row r="400" spans="3:3" x14ac:dyDescent="0.25">
      <c r="C400" s="60"/>
    </row>
    <row r="401" spans="3:3" x14ac:dyDescent="0.25">
      <c r="C401" s="60"/>
    </row>
    <row r="402" spans="3:3" x14ac:dyDescent="0.25">
      <c r="C402" s="60"/>
    </row>
    <row r="403" spans="3:3" x14ac:dyDescent="0.25">
      <c r="C403" s="60"/>
    </row>
    <row r="404" spans="3:3" x14ac:dyDescent="0.25">
      <c r="C404" s="60"/>
    </row>
    <row r="405" spans="3:3" x14ac:dyDescent="0.25">
      <c r="C405" s="60"/>
    </row>
    <row r="406" spans="3:3" x14ac:dyDescent="0.25">
      <c r="C406" s="60"/>
    </row>
    <row r="407" spans="3:3" x14ac:dyDescent="0.25">
      <c r="C407" s="60"/>
    </row>
    <row r="408" spans="3:3" x14ac:dyDescent="0.25">
      <c r="C408" s="60"/>
    </row>
    <row r="409" spans="3:3" x14ac:dyDescent="0.25">
      <c r="C409" s="60"/>
    </row>
    <row r="410" spans="3:3" x14ac:dyDescent="0.25">
      <c r="C410" s="60"/>
    </row>
    <row r="411" spans="3:3" x14ac:dyDescent="0.25">
      <c r="C411" s="60"/>
    </row>
    <row r="412" spans="3:3" x14ac:dyDescent="0.25">
      <c r="C412" s="60"/>
    </row>
    <row r="413" spans="3:3" x14ac:dyDescent="0.25">
      <c r="C413" s="60"/>
    </row>
    <row r="414" spans="3:3" x14ac:dyDescent="0.25">
      <c r="C414" s="60"/>
    </row>
    <row r="415" spans="3:3" x14ac:dyDescent="0.25">
      <c r="C415" s="60"/>
    </row>
    <row r="416" spans="3:3" x14ac:dyDescent="0.25">
      <c r="C416" s="60"/>
    </row>
    <row r="417" spans="3:3" x14ac:dyDescent="0.25">
      <c r="C417" s="60"/>
    </row>
    <row r="418" spans="3:3" x14ac:dyDescent="0.25">
      <c r="C418" s="60"/>
    </row>
    <row r="419" spans="3:3" x14ac:dyDescent="0.25">
      <c r="C419" s="60"/>
    </row>
    <row r="420" spans="3:3" x14ac:dyDescent="0.25">
      <c r="C420" s="60"/>
    </row>
    <row r="421" spans="3:3" x14ac:dyDescent="0.25">
      <c r="C421" s="60"/>
    </row>
    <row r="422" spans="3:3" x14ac:dyDescent="0.25">
      <c r="C422" s="60"/>
    </row>
    <row r="423" spans="3:3" x14ac:dyDescent="0.25">
      <c r="C423" s="60"/>
    </row>
    <row r="424" spans="3:3" x14ac:dyDescent="0.25">
      <c r="C424" s="60"/>
    </row>
    <row r="425" spans="3:3" x14ac:dyDescent="0.25">
      <c r="C425" s="60"/>
    </row>
    <row r="426" spans="3:3" x14ac:dyDescent="0.25">
      <c r="C426" s="60"/>
    </row>
    <row r="427" spans="3:3" x14ac:dyDescent="0.25">
      <c r="C427" s="60"/>
    </row>
    <row r="428" spans="3:3" x14ac:dyDescent="0.25">
      <c r="C428" s="60"/>
    </row>
    <row r="429" spans="3:3" x14ac:dyDescent="0.25">
      <c r="C429" s="60"/>
    </row>
    <row r="430" spans="3:3" x14ac:dyDescent="0.25">
      <c r="C430" s="60"/>
    </row>
    <row r="431" spans="3:3" x14ac:dyDescent="0.25">
      <c r="C431" s="60"/>
    </row>
    <row r="432" spans="3:3" x14ac:dyDescent="0.25">
      <c r="C432" s="60"/>
    </row>
    <row r="433" spans="3:3" x14ac:dyDescent="0.25">
      <c r="C433" s="60"/>
    </row>
    <row r="434" spans="3:3" x14ac:dyDescent="0.25">
      <c r="C434" s="60"/>
    </row>
    <row r="435" spans="3:3" x14ac:dyDescent="0.25">
      <c r="C435" s="60"/>
    </row>
    <row r="436" spans="3:3" x14ac:dyDescent="0.25">
      <c r="C436" s="60"/>
    </row>
    <row r="437" spans="3:3" x14ac:dyDescent="0.25">
      <c r="C437" s="60"/>
    </row>
    <row r="438" spans="3:3" x14ac:dyDescent="0.25">
      <c r="C438" s="60"/>
    </row>
    <row r="439" spans="3:3" x14ac:dyDescent="0.25">
      <c r="C439" s="60"/>
    </row>
    <row r="440" spans="3:3" x14ac:dyDescent="0.25">
      <c r="C440" s="60"/>
    </row>
    <row r="441" spans="3:3" x14ac:dyDescent="0.25">
      <c r="C441" s="60"/>
    </row>
    <row r="442" spans="3:3" x14ac:dyDescent="0.25">
      <c r="C442" s="60"/>
    </row>
    <row r="443" spans="3:3" x14ac:dyDescent="0.25">
      <c r="C443" s="60"/>
    </row>
    <row r="444" spans="3:3" x14ac:dyDescent="0.25">
      <c r="C444" s="60"/>
    </row>
    <row r="445" spans="3:3" x14ac:dyDescent="0.25">
      <c r="C445" s="60"/>
    </row>
    <row r="446" spans="3:3" x14ac:dyDescent="0.25">
      <c r="C446" s="60"/>
    </row>
    <row r="447" spans="3:3" x14ac:dyDescent="0.25">
      <c r="C447" s="60"/>
    </row>
    <row r="448" spans="3:3" x14ac:dyDescent="0.25">
      <c r="C448" s="60"/>
    </row>
    <row r="449" spans="3:3" x14ac:dyDescent="0.25">
      <c r="C449" s="60"/>
    </row>
    <row r="450" spans="3:3" x14ac:dyDescent="0.25">
      <c r="C450" s="60"/>
    </row>
    <row r="451" spans="3:3" x14ac:dyDescent="0.25">
      <c r="C451" s="60"/>
    </row>
    <row r="452" spans="3:3" x14ac:dyDescent="0.25">
      <c r="C452" s="60"/>
    </row>
    <row r="453" spans="3:3" x14ac:dyDescent="0.25">
      <c r="C453" s="60"/>
    </row>
    <row r="454" spans="3:3" x14ac:dyDescent="0.25">
      <c r="C454" s="60"/>
    </row>
    <row r="455" spans="3:3" x14ac:dyDescent="0.25">
      <c r="C455" s="60"/>
    </row>
    <row r="456" spans="3:3" x14ac:dyDescent="0.25">
      <c r="C456" s="60"/>
    </row>
    <row r="457" spans="3:3" x14ac:dyDescent="0.25">
      <c r="C457" s="60"/>
    </row>
    <row r="458" spans="3:3" x14ac:dyDescent="0.25">
      <c r="C458" s="60"/>
    </row>
    <row r="459" spans="3:3" x14ac:dyDescent="0.25">
      <c r="C459" s="60"/>
    </row>
    <row r="460" spans="3:3" x14ac:dyDescent="0.25">
      <c r="C460" s="60"/>
    </row>
    <row r="461" spans="3:3" x14ac:dyDescent="0.25">
      <c r="C461" s="60"/>
    </row>
    <row r="462" spans="3:3" x14ac:dyDescent="0.25">
      <c r="C462" s="60"/>
    </row>
    <row r="463" spans="3:3" x14ac:dyDescent="0.25">
      <c r="C463" s="60"/>
    </row>
    <row r="464" spans="3:3" x14ac:dyDescent="0.25">
      <c r="C464" s="60"/>
    </row>
    <row r="465" spans="3:3" x14ac:dyDescent="0.25">
      <c r="C465" s="60"/>
    </row>
    <row r="466" spans="3:3" x14ac:dyDescent="0.25">
      <c r="C466" s="60"/>
    </row>
    <row r="467" spans="3:3" x14ac:dyDescent="0.25">
      <c r="C467" s="60"/>
    </row>
    <row r="468" spans="3:3" x14ac:dyDescent="0.25">
      <c r="C468" s="60"/>
    </row>
    <row r="469" spans="3:3" x14ac:dyDescent="0.25">
      <c r="C469" s="60"/>
    </row>
    <row r="470" spans="3:3" x14ac:dyDescent="0.25">
      <c r="C470" s="60"/>
    </row>
    <row r="471" spans="3:3" x14ac:dyDescent="0.25">
      <c r="C471" s="60"/>
    </row>
    <row r="472" spans="3:3" x14ac:dyDescent="0.25">
      <c r="C472" s="60"/>
    </row>
    <row r="473" spans="3:3" x14ac:dyDescent="0.25">
      <c r="C473" s="60"/>
    </row>
    <row r="474" spans="3:3" x14ac:dyDescent="0.25">
      <c r="C474" s="60"/>
    </row>
    <row r="475" spans="3:3" x14ac:dyDescent="0.25">
      <c r="C475" s="60"/>
    </row>
    <row r="476" spans="3:3" x14ac:dyDescent="0.25">
      <c r="C476" s="60"/>
    </row>
    <row r="477" spans="3:3" x14ac:dyDescent="0.25">
      <c r="C477" s="60"/>
    </row>
    <row r="478" spans="3:3" x14ac:dyDescent="0.25">
      <c r="C478" s="60"/>
    </row>
    <row r="479" spans="3:3" x14ac:dyDescent="0.25">
      <c r="C479" s="60"/>
    </row>
    <row r="480" spans="3:3" x14ac:dyDescent="0.25">
      <c r="C480" s="60"/>
    </row>
    <row r="481" spans="3:3" x14ac:dyDescent="0.25">
      <c r="C481" s="60"/>
    </row>
    <row r="482" spans="3:3" x14ac:dyDescent="0.25">
      <c r="C482" s="60"/>
    </row>
    <row r="483" spans="3:3" x14ac:dyDescent="0.25">
      <c r="C483" s="60"/>
    </row>
    <row r="484" spans="3:3" x14ac:dyDescent="0.25">
      <c r="C484" s="60"/>
    </row>
    <row r="485" spans="3:3" x14ac:dyDescent="0.25">
      <c r="C485" s="60"/>
    </row>
    <row r="486" spans="3:3" x14ac:dyDescent="0.25">
      <c r="C486" s="60"/>
    </row>
    <row r="487" spans="3:3" x14ac:dyDescent="0.25">
      <c r="C487" s="60"/>
    </row>
    <row r="488" spans="3:3" x14ac:dyDescent="0.25">
      <c r="C488" s="60"/>
    </row>
    <row r="489" spans="3:3" x14ac:dyDescent="0.25">
      <c r="C489" s="60"/>
    </row>
    <row r="490" spans="3:3" x14ac:dyDescent="0.25">
      <c r="C490" s="60"/>
    </row>
    <row r="491" spans="3:3" x14ac:dyDescent="0.25">
      <c r="C491" s="60"/>
    </row>
    <row r="492" spans="3:3" x14ac:dyDescent="0.25">
      <c r="C492" s="60"/>
    </row>
    <row r="493" spans="3:3" x14ac:dyDescent="0.25">
      <c r="C493" s="60"/>
    </row>
    <row r="494" spans="3:3" x14ac:dyDescent="0.25">
      <c r="C494" s="60"/>
    </row>
    <row r="495" spans="3:3" x14ac:dyDescent="0.25">
      <c r="C495" s="60"/>
    </row>
    <row r="496" spans="3:3" x14ac:dyDescent="0.25">
      <c r="C496" s="60"/>
    </row>
    <row r="497" spans="3:3" x14ac:dyDescent="0.25">
      <c r="C497" s="60"/>
    </row>
    <row r="498" spans="3:3" x14ac:dyDescent="0.25">
      <c r="C498" s="60"/>
    </row>
    <row r="499" spans="3:3" x14ac:dyDescent="0.25">
      <c r="C499" s="60"/>
    </row>
    <row r="500" spans="3:3" x14ac:dyDescent="0.25">
      <c r="C500" s="60"/>
    </row>
    <row r="501" spans="3:3" x14ac:dyDescent="0.25">
      <c r="C501" s="60"/>
    </row>
    <row r="502" spans="3:3" x14ac:dyDescent="0.25">
      <c r="C502" s="60"/>
    </row>
    <row r="503" spans="3:3" x14ac:dyDescent="0.25">
      <c r="C503" s="60"/>
    </row>
    <row r="504" spans="3:3" x14ac:dyDescent="0.25">
      <c r="C504" s="60"/>
    </row>
    <row r="505" spans="3:3" x14ac:dyDescent="0.25">
      <c r="C505" s="60"/>
    </row>
    <row r="506" spans="3:3" x14ac:dyDescent="0.25">
      <c r="C506" s="60"/>
    </row>
    <row r="507" spans="3:3" x14ac:dyDescent="0.25">
      <c r="C507" s="60"/>
    </row>
    <row r="508" spans="3:3" x14ac:dyDescent="0.25">
      <c r="C508" s="60"/>
    </row>
    <row r="509" spans="3:3" x14ac:dyDescent="0.25">
      <c r="C509" s="60"/>
    </row>
    <row r="510" spans="3:3" x14ac:dyDescent="0.25">
      <c r="C510" s="60"/>
    </row>
    <row r="511" spans="3:3" x14ac:dyDescent="0.25">
      <c r="C511" s="60"/>
    </row>
    <row r="512" spans="3:3" x14ac:dyDescent="0.25">
      <c r="C512" s="60"/>
    </row>
    <row r="513" spans="3:3" x14ac:dyDescent="0.25">
      <c r="C513" s="60"/>
    </row>
    <row r="514" spans="3:3" x14ac:dyDescent="0.25">
      <c r="C514" s="60"/>
    </row>
    <row r="515" spans="3:3" x14ac:dyDescent="0.25">
      <c r="C515" s="60"/>
    </row>
    <row r="516" spans="3:3" x14ac:dyDescent="0.25">
      <c r="C516" s="60"/>
    </row>
    <row r="517" spans="3:3" x14ac:dyDescent="0.25">
      <c r="C517" s="60"/>
    </row>
    <row r="518" spans="3:3" x14ac:dyDescent="0.25">
      <c r="C518" s="60"/>
    </row>
    <row r="519" spans="3:3" x14ac:dyDescent="0.25">
      <c r="C519" s="60"/>
    </row>
    <row r="520" spans="3:3" x14ac:dyDescent="0.25">
      <c r="C520" s="60"/>
    </row>
    <row r="521" spans="3:3" x14ac:dyDescent="0.25">
      <c r="C521" s="60"/>
    </row>
    <row r="522" spans="3:3" x14ac:dyDescent="0.25">
      <c r="C522" s="60"/>
    </row>
    <row r="523" spans="3:3" x14ac:dyDescent="0.25">
      <c r="C523" s="60"/>
    </row>
    <row r="524" spans="3:3" x14ac:dyDescent="0.25">
      <c r="C524" s="60"/>
    </row>
    <row r="525" spans="3:3" x14ac:dyDescent="0.25">
      <c r="C525" s="60"/>
    </row>
    <row r="526" spans="3:3" x14ac:dyDescent="0.25">
      <c r="C526" s="60"/>
    </row>
    <row r="527" spans="3:3" x14ac:dyDescent="0.25">
      <c r="C527" s="60"/>
    </row>
    <row r="528" spans="3:3" x14ac:dyDescent="0.25">
      <c r="C528" s="60"/>
    </row>
    <row r="529" spans="3:3" x14ac:dyDescent="0.25">
      <c r="C529" s="60"/>
    </row>
    <row r="530" spans="3:3" x14ac:dyDescent="0.25">
      <c r="C530" s="60"/>
    </row>
    <row r="531" spans="3:3" x14ac:dyDescent="0.25">
      <c r="C531" s="60"/>
    </row>
    <row r="532" spans="3:3" x14ac:dyDescent="0.25">
      <c r="C532" s="60"/>
    </row>
    <row r="533" spans="3:3" x14ac:dyDescent="0.25">
      <c r="C533" s="60"/>
    </row>
    <row r="534" spans="3:3" x14ac:dyDescent="0.25">
      <c r="C534" s="60"/>
    </row>
    <row r="535" spans="3:3" x14ac:dyDescent="0.25">
      <c r="C535" s="60"/>
    </row>
    <row r="536" spans="3:3" x14ac:dyDescent="0.25">
      <c r="C536" s="60"/>
    </row>
    <row r="537" spans="3:3" x14ac:dyDescent="0.25">
      <c r="C537" s="60"/>
    </row>
    <row r="538" spans="3:3" x14ac:dyDescent="0.25">
      <c r="C538" s="60"/>
    </row>
    <row r="539" spans="3:3" x14ac:dyDescent="0.25">
      <c r="C539" s="60"/>
    </row>
    <row r="540" spans="3:3" x14ac:dyDescent="0.25">
      <c r="C540" s="60"/>
    </row>
    <row r="541" spans="3:3" x14ac:dyDescent="0.25">
      <c r="C541" s="60"/>
    </row>
    <row r="542" spans="3:3" x14ac:dyDescent="0.25">
      <c r="C542" s="60"/>
    </row>
    <row r="543" spans="3:3" x14ac:dyDescent="0.25">
      <c r="C543" s="60"/>
    </row>
    <row r="544" spans="3:3" x14ac:dyDescent="0.25">
      <c r="C544" s="60"/>
    </row>
    <row r="545" spans="3:3" x14ac:dyDescent="0.25">
      <c r="C545" s="60"/>
    </row>
    <row r="546" spans="3:3" x14ac:dyDescent="0.25">
      <c r="C546" s="60"/>
    </row>
    <row r="547" spans="3:3" x14ac:dyDescent="0.25">
      <c r="C547" s="60"/>
    </row>
    <row r="548" spans="3:3" x14ac:dyDescent="0.25">
      <c r="C548" s="60"/>
    </row>
    <row r="549" spans="3:3" x14ac:dyDescent="0.25">
      <c r="C549" s="60"/>
    </row>
    <row r="550" spans="3:3" x14ac:dyDescent="0.25">
      <c r="C550" s="60"/>
    </row>
    <row r="551" spans="3:3" x14ac:dyDescent="0.25">
      <c r="C551" s="60"/>
    </row>
    <row r="552" spans="3:3" x14ac:dyDescent="0.25">
      <c r="C552" s="60"/>
    </row>
    <row r="553" spans="3:3" x14ac:dyDescent="0.25">
      <c r="C553" s="60"/>
    </row>
    <row r="554" spans="3:3" x14ac:dyDescent="0.25">
      <c r="C554" s="60"/>
    </row>
    <row r="555" spans="3:3" x14ac:dyDescent="0.25">
      <c r="C555" s="60"/>
    </row>
    <row r="556" spans="3:3" x14ac:dyDescent="0.25">
      <c r="C556" s="60"/>
    </row>
    <row r="557" spans="3:3" x14ac:dyDescent="0.25">
      <c r="C557" s="60"/>
    </row>
    <row r="558" spans="3:3" x14ac:dyDescent="0.25">
      <c r="C558" s="60"/>
    </row>
    <row r="559" spans="3:3" x14ac:dyDescent="0.25">
      <c r="C559" s="60"/>
    </row>
    <row r="560" spans="3:3" x14ac:dyDescent="0.25">
      <c r="C560" s="60"/>
    </row>
    <row r="561" spans="3:3" x14ac:dyDescent="0.25">
      <c r="C561" s="60"/>
    </row>
    <row r="562" spans="3:3" x14ac:dyDescent="0.25">
      <c r="C562" s="60"/>
    </row>
    <row r="563" spans="3:3" x14ac:dyDescent="0.25">
      <c r="C563" s="60"/>
    </row>
    <row r="564" spans="3:3" x14ac:dyDescent="0.25">
      <c r="C564" s="60"/>
    </row>
    <row r="565" spans="3:3" x14ac:dyDescent="0.25">
      <c r="C565" s="60"/>
    </row>
    <row r="566" spans="3:3" x14ac:dyDescent="0.25">
      <c r="C566" s="60"/>
    </row>
    <row r="567" spans="3:3" x14ac:dyDescent="0.25">
      <c r="C567" s="60"/>
    </row>
    <row r="568" spans="3:3" x14ac:dyDescent="0.25">
      <c r="C568" s="60"/>
    </row>
    <row r="569" spans="3:3" x14ac:dyDescent="0.25">
      <c r="C569" s="60"/>
    </row>
    <row r="570" spans="3:3" x14ac:dyDescent="0.25">
      <c r="C570" s="60"/>
    </row>
    <row r="571" spans="3:3" x14ac:dyDescent="0.25">
      <c r="C571" s="60"/>
    </row>
    <row r="572" spans="3:3" x14ac:dyDescent="0.25">
      <c r="C572" s="60"/>
    </row>
    <row r="573" spans="3:3" x14ac:dyDescent="0.25">
      <c r="C573" s="60"/>
    </row>
    <row r="574" spans="3:3" x14ac:dyDescent="0.25">
      <c r="C574" s="60"/>
    </row>
    <row r="575" spans="3:3" x14ac:dyDescent="0.25">
      <c r="C575" s="60"/>
    </row>
    <row r="576" spans="3:3" x14ac:dyDescent="0.25">
      <c r="C576" s="60"/>
    </row>
    <row r="577" spans="3:3" x14ac:dyDescent="0.25">
      <c r="C577" s="60"/>
    </row>
    <row r="578" spans="3:3" x14ac:dyDescent="0.25">
      <c r="C578" s="60"/>
    </row>
    <row r="579" spans="3:3" x14ac:dyDescent="0.25">
      <c r="C579" s="60"/>
    </row>
    <row r="580" spans="3:3" x14ac:dyDescent="0.25">
      <c r="C580" s="60"/>
    </row>
    <row r="581" spans="3:3" x14ac:dyDescent="0.25">
      <c r="C581" s="60"/>
    </row>
    <row r="582" spans="3:3" x14ac:dyDescent="0.25">
      <c r="C582" s="60"/>
    </row>
    <row r="583" spans="3:3" x14ac:dyDescent="0.25">
      <c r="C583" s="60"/>
    </row>
    <row r="584" spans="3:3" x14ac:dyDescent="0.25">
      <c r="C584" s="60"/>
    </row>
    <row r="585" spans="3:3" x14ac:dyDescent="0.25">
      <c r="C585" s="60"/>
    </row>
    <row r="586" spans="3:3" x14ac:dyDescent="0.25">
      <c r="C586" s="60"/>
    </row>
    <row r="587" spans="3:3" x14ac:dyDescent="0.25">
      <c r="C587" s="60"/>
    </row>
    <row r="588" spans="3:3" x14ac:dyDescent="0.25">
      <c r="C588" s="60"/>
    </row>
    <row r="589" spans="3:3" x14ac:dyDescent="0.25">
      <c r="C589" s="60"/>
    </row>
    <row r="590" spans="3:3" x14ac:dyDescent="0.25">
      <c r="C590" s="60"/>
    </row>
    <row r="591" spans="3:3" x14ac:dyDescent="0.25">
      <c r="C591" s="60"/>
    </row>
    <row r="592" spans="3:3" x14ac:dyDescent="0.25">
      <c r="C592" s="60"/>
    </row>
    <row r="593" spans="3:3" x14ac:dyDescent="0.25">
      <c r="C593" s="60"/>
    </row>
    <row r="594" spans="3:3" x14ac:dyDescent="0.25">
      <c r="C594" s="60"/>
    </row>
    <row r="595" spans="3:3" x14ac:dyDescent="0.25">
      <c r="C595" s="60"/>
    </row>
    <row r="596" spans="3:3" x14ac:dyDescent="0.25">
      <c r="C596" s="60"/>
    </row>
    <row r="597" spans="3:3" x14ac:dyDescent="0.25">
      <c r="C597" s="60"/>
    </row>
    <row r="598" spans="3:3" x14ac:dyDescent="0.25">
      <c r="C598" s="60"/>
    </row>
    <row r="599" spans="3:3" x14ac:dyDescent="0.25">
      <c r="C599" s="60"/>
    </row>
    <row r="600" spans="3:3" x14ac:dyDescent="0.25">
      <c r="C600" s="60"/>
    </row>
    <row r="601" spans="3:3" x14ac:dyDescent="0.25">
      <c r="C601" s="60"/>
    </row>
    <row r="602" spans="3:3" x14ac:dyDescent="0.25">
      <c r="C602" s="60"/>
    </row>
    <row r="603" spans="3:3" x14ac:dyDescent="0.25">
      <c r="C603" s="60"/>
    </row>
    <row r="604" spans="3:3" x14ac:dyDescent="0.25">
      <c r="C604" s="60"/>
    </row>
    <row r="605" spans="3:3" x14ac:dyDescent="0.25">
      <c r="C605" s="60"/>
    </row>
    <row r="606" spans="3:3" x14ac:dyDescent="0.25">
      <c r="C606" s="60"/>
    </row>
    <row r="607" spans="3:3" x14ac:dyDescent="0.25">
      <c r="C607" s="60"/>
    </row>
    <row r="608" spans="3:3" x14ac:dyDescent="0.25">
      <c r="C608" s="60"/>
    </row>
    <row r="609" spans="3:3" x14ac:dyDescent="0.25">
      <c r="C609" s="60"/>
    </row>
    <row r="610" spans="3:3" x14ac:dyDescent="0.25">
      <c r="C610" s="60"/>
    </row>
    <row r="611" spans="3:3" x14ac:dyDescent="0.25">
      <c r="C611" s="60"/>
    </row>
    <row r="612" spans="3:3" x14ac:dyDescent="0.25">
      <c r="C612" s="60"/>
    </row>
    <row r="613" spans="3:3" x14ac:dyDescent="0.25">
      <c r="C613" s="60"/>
    </row>
    <row r="614" spans="3:3" x14ac:dyDescent="0.25">
      <c r="C614" s="60"/>
    </row>
    <row r="615" spans="3:3" x14ac:dyDescent="0.25">
      <c r="C615" s="60"/>
    </row>
    <row r="616" spans="3:3" x14ac:dyDescent="0.25">
      <c r="C616" s="60"/>
    </row>
    <row r="617" spans="3:3" x14ac:dyDescent="0.25">
      <c r="C617" s="60"/>
    </row>
    <row r="618" spans="3:3" x14ac:dyDescent="0.25">
      <c r="C618" s="60"/>
    </row>
    <row r="619" spans="3:3" x14ac:dyDescent="0.25">
      <c r="C619" s="60"/>
    </row>
    <row r="620" spans="3:3" x14ac:dyDescent="0.25">
      <c r="C620" s="60"/>
    </row>
    <row r="621" spans="3:3" x14ac:dyDescent="0.25">
      <c r="C621" s="60"/>
    </row>
    <row r="622" spans="3:3" x14ac:dyDescent="0.25">
      <c r="C622" s="60"/>
    </row>
    <row r="623" spans="3:3" x14ac:dyDescent="0.25">
      <c r="C623" s="60"/>
    </row>
    <row r="624" spans="3:3" x14ac:dyDescent="0.25">
      <c r="C624" s="60"/>
    </row>
    <row r="625" spans="3:3" x14ac:dyDescent="0.25">
      <c r="C625" s="60"/>
    </row>
    <row r="626" spans="3:3" x14ac:dyDescent="0.25">
      <c r="C626" s="60"/>
    </row>
    <row r="627" spans="3:3" x14ac:dyDescent="0.25">
      <c r="C627" s="60"/>
    </row>
    <row r="628" spans="3:3" x14ac:dyDescent="0.25">
      <c r="C628" s="60"/>
    </row>
    <row r="629" spans="3:3" x14ac:dyDescent="0.25">
      <c r="C629" s="60"/>
    </row>
    <row r="630" spans="3:3" x14ac:dyDescent="0.25">
      <c r="C630" s="60"/>
    </row>
    <row r="631" spans="3:3" x14ac:dyDescent="0.25">
      <c r="C631" s="60"/>
    </row>
    <row r="632" spans="3:3" x14ac:dyDescent="0.25">
      <c r="C632" s="60"/>
    </row>
    <row r="633" spans="3:3" x14ac:dyDescent="0.25">
      <c r="C633" s="60"/>
    </row>
    <row r="634" spans="3:3" x14ac:dyDescent="0.25">
      <c r="C634" s="60"/>
    </row>
    <row r="635" spans="3:3" x14ac:dyDescent="0.25">
      <c r="C635" s="60"/>
    </row>
    <row r="636" spans="3:3" x14ac:dyDescent="0.25">
      <c r="C636" s="60"/>
    </row>
    <row r="637" spans="3:3" x14ac:dyDescent="0.25">
      <c r="C637" s="60"/>
    </row>
    <row r="638" spans="3:3" x14ac:dyDescent="0.25">
      <c r="C638" s="60"/>
    </row>
    <row r="639" spans="3:3" x14ac:dyDescent="0.25">
      <c r="C639" s="60"/>
    </row>
    <row r="640" spans="3:3" x14ac:dyDescent="0.25">
      <c r="C640" s="60"/>
    </row>
    <row r="641" spans="3:3" x14ac:dyDescent="0.25">
      <c r="C641" s="60"/>
    </row>
    <row r="642" spans="3:3" x14ac:dyDescent="0.25">
      <c r="C642" s="60"/>
    </row>
    <row r="643" spans="3:3" x14ac:dyDescent="0.25">
      <c r="C643" s="60"/>
    </row>
    <row r="644" spans="3:3" x14ac:dyDescent="0.25">
      <c r="C644" s="60"/>
    </row>
    <row r="645" spans="3:3" x14ac:dyDescent="0.25">
      <c r="C645" s="60"/>
    </row>
    <row r="646" spans="3:3" x14ac:dyDescent="0.25">
      <c r="C646" s="60"/>
    </row>
    <row r="647" spans="3:3" x14ac:dyDescent="0.25">
      <c r="C647" s="60"/>
    </row>
    <row r="648" spans="3:3" x14ac:dyDescent="0.25">
      <c r="C648" s="60"/>
    </row>
    <row r="649" spans="3:3" x14ac:dyDescent="0.25">
      <c r="C649" s="60"/>
    </row>
    <row r="650" spans="3:3" x14ac:dyDescent="0.25">
      <c r="C650" s="60"/>
    </row>
    <row r="651" spans="3:3" x14ac:dyDescent="0.25">
      <c r="C651" s="60"/>
    </row>
    <row r="652" spans="3:3" x14ac:dyDescent="0.25">
      <c r="C652" s="60"/>
    </row>
    <row r="653" spans="3:3" x14ac:dyDescent="0.25">
      <c r="C653" s="60"/>
    </row>
    <row r="654" spans="3:3" x14ac:dyDescent="0.25">
      <c r="C654" s="60"/>
    </row>
    <row r="655" spans="3:3" x14ac:dyDescent="0.25">
      <c r="C655" s="60"/>
    </row>
    <row r="656" spans="3:3" x14ac:dyDescent="0.25">
      <c r="C656" s="60"/>
    </row>
    <row r="657" spans="3:3" x14ac:dyDescent="0.25">
      <c r="C657" s="60"/>
    </row>
    <row r="658" spans="3:3" x14ac:dyDescent="0.25">
      <c r="C658" s="60"/>
    </row>
    <row r="659" spans="3:3" x14ac:dyDescent="0.25">
      <c r="C659" s="60"/>
    </row>
    <row r="660" spans="3:3" x14ac:dyDescent="0.25">
      <c r="C660" s="60"/>
    </row>
    <row r="661" spans="3:3" x14ac:dyDescent="0.25">
      <c r="C661" s="60"/>
    </row>
    <row r="662" spans="3:3" x14ac:dyDescent="0.25">
      <c r="C662" s="60"/>
    </row>
    <row r="663" spans="3:3" x14ac:dyDescent="0.25">
      <c r="C663" s="60"/>
    </row>
    <row r="664" spans="3:3" x14ac:dyDescent="0.25">
      <c r="C664" s="60"/>
    </row>
    <row r="665" spans="3:3" x14ac:dyDescent="0.25">
      <c r="C665" s="60"/>
    </row>
    <row r="666" spans="3:3" x14ac:dyDescent="0.25">
      <c r="C666" s="60"/>
    </row>
    <row r="667" spans="3:3" x14ac:dyDescent="0.25">
      <c r="C667" s="60"/>
    </row>
    <row r="668" spans="3:3" x14ac:dyDescent="0.25">
      <c r="C668" s="60"/>
    </row>
    <row r="669" spans="3:3" x14ac:dyDescent="0.25">
      <c r="C669" s="60"/>
    </row>
    <row r="670" spans="3:3" x14ac:dyDescent="0.25">
      <c r="C670" s="60"/>
    </row>
    <row r="671" spans="3:3" x14ac:dyDescent="0.25">
      <c r="C671" s="60"/>
    </row>
    <row r="672" spans="3:3" x14ac:dyDescent="0.25">
      <c r="C672" s="60"/>
    </row>
    <row r="673" spans="3:3" x14ac:dyDescent="0.25">
      <c r="C673" s="60"/>
    </row>
    <row r="674" spans="3:3" x14ac:dyDescent="0.25">
      <c r="C674" s="60"/>
    </row>
    <row r="675" spans="3:3" x14ac:dyDescent="0.25">
      <c r="C675" s="60"/>
    </row>
    <row r="676" spans="3:3" x14ac:dyDescent="0.25">
      <c r="C676" s="60"/>
    </row>
    <row r="677" spans="3:3" x14ac:dyDescent="0.25">
      <c r="C677" s="60"/>
    </row>
    <row r="678" spans="3:3" x14ac:dyDescent="0.25">
      <c r="C678" s="60"/>
    </row>
    <row r="679" spans="3:3" x14ac:dyDescent="0.25">
      <c r="C679" s="60"/>
    </row>
    <row r="680" spans="3:3" x14ac:dyDescent="0.25">
      <c r="C680" s="60"/>
    </row>
    <row r="681" spans="3:3" x14ac:dyDescent="0.25">
      <c r="C681" s="60"/>
    </row>
    <row r="682" spans="3:3" x14ac:dyDescent="0.25">
      <c r="C682" s="60"/>
    </row>
    <row r="683" spans="3:3" x14ac:dyDescent="0.25">
      <c r="C683" s="60"/>
    </row>
    <row r="684" spans="3:3" x14ac:dyDescent="0.25">
      <c r="C684" s="60"/>
    </row>
    <row r="685" spans="3:3" x14ac:dyDescent="0.25">
      <c r="C685" s="60"/>
    </row>
    <row r="686" spans="3:3" x14ac:dyDescent="0.25">
      <c r="C686" s="60"/>
    </row>
    <row r="687" spans="3:3" x14ac:dyDescent="0.25">
      <c r="C687" s="60"/>
    </row>
    <row r="688" spans="3:3" x14ac:dyDescent="0.25">
      <c r="C688" s="60"/>
    </row>
    <row r="689" spans="3:3" x14ac:dyDescent="0.25">
      <c r="C689" s="60"/>
    </row>
    <row r="690" spans="3:3" x14ac:dyDescent="0.25">
      <c r="C690" s="60"/>
    </row>
    <row r="691" spans="3:3" x14ac:dyDescent="0.25">
      <c r="C691" s="60"/>
    </row>
    <row r="692" spans="3:3" x14ac:dyDescent="0.25">
      <c r="C692" s="60"/>
    </row>
    <row r="693" spans="3:3" x14ac:dyDescent="0.25">
      <c r="C693" s="60"/>
    </row>
    <row r="694" spans="3:3" x14ac:dyDescent="0.25">
      <c r="C694" s="60"/>
    </row>
    <row r="695" spans="3:3" x14ac:dyDescent="0.25">
      <c r="C695" s="60"/>
    </row>
    <row r="696" spans="3:3" x14ac:dyDescent="0.25">
      <c r="C696" s="60"/>
    </row>
    <row r="697" spans="3:3" x14ac:dyDescent="0.25">
      <c r="C697" s="60"/>
    </row>
    <row r="698" spans="3:3" x14ac:dyDescent="0.25">
      <c r="C698" s="60"/>
    </row>
    <row r="699" spans="3:3" x14ac:dyDescent="0.25">
      <c r="C699" s="60"/>
    </row>
    <row r="700" spans="3:3" x14ac:dyDescent="0.25">
      <c r="C700" s="60"/>
    </row>
    <row r="701" spans="3:3" x14ac:dyDescent="0.25">
      <c r="C701" s="60"/>
    </row>
    <row r="702" spans="3:3" x14ac:dyDescent="0.25">
      <c r="C702" s="60"/>
    </row>
    <row r="703" spans="3:3" x14ac:dyDescent="0.25">
      <c r="C703" s="60"/>
    </row>
    <row r="704" spans="3:3" x14ac:dyDescent="0.25">
      <c r="C704" s="60"/>
    </row>
    <row r="705" spans="3:3" x14ac:dyDescent="0.25">
      <c r="C705" s="60"/>
    </row>
    <row r="706" spans="3:3" x14ac:dyDescent="0.25">
      <c r="C706" s="60"/>
    </row>
    <row r="707" spans="3:3" x14ac:dyDescent="0.25">
      <c r="C707" s="60"/>
    </row>
    <row r="708" spans="3:3" x14ac:dyDescent="0.25">
      <c r="C708" s="60"/>
    </row>
    <row r="709" spans="3:3" x14ac:dyDescent="0.25">
      <c r="C709" s="60"/>
    </row>
    <row r="710" spans="3:3" x14ac:dyDescent="0.25">
      <c r="C710" s="60"/>
    </row>
    <row r="711" spans="3:3" x14ac:dyDescent="0.25">
      <c r="C711" s="60"/>
    </row>
    <row r="712" spans="3:3" x14ac:dyDescent="0.25">
      <c r="C712" s="60"/>
    </row>
    <row r="713" spans="3:3" x14ac:dyDescent="0.25">
      <c r="C713" s="60"/>
    </row>
    <row r="714" spans="3:3" x14ac:dyDescent="0.25">
      <c r="C714" s="60"/>
    </row>
    <row r="715" spans="3:3" x14ac:dyDescent="0.25">
      <c r="C715" s="60"/>
    </row>
    <row r="716" spans="3:3" x14ac:dyDescent="0.25">
      <c r="C716" s="60"/>
    </row>
    <row r="717" spans="3:3" x14ac:dyDescent="0.25">
      <c r="C717" s="60"/>
    </row>
    <row r="718" spans="3:3" x14ac:dyDescent="0.25">
      <c r="C718" s="60"/>
    </row>
    <row r="719" spans="3:3" x14ac:dyDescent="0.25">
      <c r="C719" s="60"/>
    </row>
    <row r="720" spans="3:3" x14ac:dyDescent="0.25">
      <c r="C720" s="60"/>
    </row>
    <row r="721" spans="3:3" x14ac:dyDescent="0.25">
      <c r="C721" s="60"/>
    </row>
    <row r="722" spans="3:3" x14ac:dyDescent="0.25">
      <c r="C722" s="60"/>
    </row>
    <row r="723" spans="3:3" x14ac:dyDescent="0.25">
      <c r="C723" s="60"/>
    </row>
    <row r="724" spans="3:3" x14ac:dyDescent="0.25">
      <c r="C724" s="60"/>
    </row>
    <row r="725" spans="3:3" x14ac:dyDescent="0.25">
      <c r="C725" s="60"/>
    </row>
    <row r="726" spans="3:3" x14ac:dyDescent="0.25">
      <c r="C726" s="60"/>
    </row>
    <row r="727" spans="3:3" x14ac:dyDescent="0.25">
      <c r="C727" s="60"/>
    </row>
    <row r="728" spans="3:3" x14ac:dyDescent="0.25">
      <c r="C728" s="60"/>
    </row>
    <row r="729" spans="3:3" x14ac:dyDescent="0.25">
      <c r="C729" s="60"/>
    </row>
    <row r="730" spans="3:3" x14ac:dyDescent="0.25">
      <c r="C730" s="60"/>
    </row>
    <row r="731" spans="3:3" x14ac:dyDescent="0.25">
      <c r="C731" s="60"/>
    </row>
    <row r="732" spans="3:3" x14ac:dyDescent="0.25">
      <c r="C732" s="60"/>
    </row>
    <row r="733" spans="3:3" x14ac:dyDescent="0.25">
      <c r="C733" s="60"/>
    </row>
    <row r="734" spans="3:3" x14ac:dyDescent="0.25">
      <c r="C734" s="60"/>
    </row>
    <row r="735" spans="3:3" x14ac:dyDescent="0.25">
      <c r="C735" s="60"/>
    </row>
    <row r="736" spans="3:3" x14ac:dyDescent="0.25">
      <c r="C736" s="60"/>
    </row>
    <row r="737" spans="3:3" x14ac:dyDescent="0.25">
      <c r="C737" s="60"/>
    </row>
    <row r="738" spans="3:3" x14ac:dyDescent="0.25">
      <c r="C738" s="60"/>
    </row>
    <row r="739" spans="3:3" x14ac:dyDescent="0.25">
      <c r="C739" s="60"/>
    </row>
    <row r="740" spans="3:3" x14ac:dyDescent="0.25">
      <c r="C740" s="60"/>
    </row>
    <row r="741" spans="3:3" x14ac:dyDescent="0.25">
      <c r="C741" s="60"/>
    </row>
    <row r="742" spans="3:3" x14ac:dyDescent="0.25">
      <c r="C742" s="60"/>
    </row>
    <row r="743" spans="3:3" x14ac:dyDescent="0.25">
      <c r="C743" s="60"/>
    </row>
    <row r="744" spans="3:3" x14ac:dyDescent="0.25">
      <c r="C744" s="60"/>
    </row>
    <row r="745" spans="3:3" x14ac:dyDescent="0.25">
      <c r="C745" s="60"/>
    </row>
    <row r="746" spans="3:3" x14ac:dyDescent="0.25">
      <c r="C746" s="60"/>
    </row>
    <row r="747" spans="3:3" x14ac:dyDescent="0.25">
      <c r="C747" s="60"/>
    </row>
    <row r="748" spans="3:3" x14ac:dyDescent="0.25">
      <c r="C748" s="60"/>
    </row>
    <row r="749" spans="3:3" x14ac:dyDescent="0.25">
      <c r="C749" s="60"/>
    </row>
    <row r="750" spans="3:3" x14ac:dyDescent="0.25">
      <c r="C750" s="60"/>
    </row>
    <row r="751" spans="3:3" x14ac:dyDescent="0.25">
      <c r="C751" s="60"/>
    </row>
    <row r="752" spans="3:3" x14ac:dyDescent="0.25">
      <c r="C752" s="60"/>
    </row>
    <row r="753" spans="3:3" x14ac:dyDescent="0.25">
      <c r="C753" s="60"/>
    </row>
    <row r="754" spans="3:3" x14ac:dyDescent="0.25">
      <c r="C754" s="60"/>
    </row>
    <row r="755" spans="3:3" x14ac:dyDescent="0.25">
      <c r="C755" s="60"/>
    </row>
    <row r="756" spans="3:3" x14ac:dyDescent="0.25">
      <c r="C756" s="60"/>
    </row>
    <row r="757" spans="3:3" x14ac:dyDescent="0.25">
      <c r="C757" s="60"/>
    </row>
    <row r="758" spans="3:3" x14ac:dyDescent="0.25">
      <c r="C758" s="60"/>
    </row>
    <row r="759" spans="3:3" x14ac:dyDescent="0.25">
      <c r="C759" s="60"/>
    </row>
    <row r="760" spans="3:3" x14ac:dyDescent="0.25">
      <c r="C760" s="60"/>
    </row>
    <row r="761" spans="3:3" x14ac:dyDescent="0.25">
      <c r="C761" s="60"/>
    </row>
    <row r="762" spans="3:3" x14ac:dyDescent="0.25">
      <c r="C762" s="60"/>
    </row>
    <row r="763" spans="3:3" x14ac:dyDescent="0.25">
      <c r="C763" s="60"/>
    </row>
    <row r="764" spans="3:3" x14ac:dyDescent="0.25">
      <c r="C764" s="60"/>
    </row>
    <row r="765" spans="3:3" x14ac:dyDescent="0.25">
      <c r="C765" s="60"/>
    </row>
    <row r="766" spans="3:3" x14ac:dyDescent="0.25">
      <c r="C766" s="60"/>
    </row>
    <row r="767" spans="3:3" x14ac:dyDescent="0.25">
      <c r="C767" s="60"/>
    </row>
    <row r="768" spans="3:3" x14ac:dyDescent="0.25">
      <c r="C768" s="60"/>
    </row>
    <row r="769" spans="3:3" x14ac:dyDescent="0.25">
      <c r="C769" s="60"/>
    </row>
    <row r="770" spans="3:3" x14ac:dyDescent="0.25">
      <c r="C770" s="60"/>
    </row>
    <row r="771" spans="3:3" x14ac:dyDescent="0.25">
      <c r="C771" s="60"/>
    </row>
    <row r="772" spans="3:3" x14ac:dyDescent="0.25">
      <c r="C772" s="60"/>
    </row>
    <row r="773" spans="3:3" x14ac:dyDescent="0.25">
      <c r="C773" s="60"/>
    </row>
    <row r="774" spans="3:3" x14ac:dyDescent="0.25">
      <c r="C774" s="60"/>
    </row>
    <row r="775" spans="3:3" x14ac:dyDescent="0.25">
      <c r="C775" s="60"/>
    </row>
    <row r="776" spans="3:3" x14ac:dyDescent="0.25">
      <c r="C776" s="60"/>
    </row>
    <row r="777" spans="3:3" x14ac:dyDescent="0.25">
      <c r="C777" s="60"/>
    </row>
    <row r="778" spans="3:3" x14ac:dyDescent="0.25">
      <c r="C778" s="60"/>
    </row>
    <row r="779" spans="3:3" x14ac:dyDescent="0.25">
      <c r="C779" s="60"/>
    </row>
    <row r="780" spans="3:3" x14ac:dyDescent="0.25">
      <c r="C780" s="60"/>
    </row>
    <row r="781" spans="3:3" x14ac:dyDescent="0.25">
      <c r="C781" s="60"/>
    </row>
    <row r="782" spans="3:3" x14ac:dyDescent="0.25">
      <c r="C782" s="60"/>
    </row>
    <row r="783" spans="3:3" x14ac:dyDescent="0.25">
      <c r="C783" s="60"/>
    </row>
    <row r="784" spans="3:3" x14ac:dyDescent="0.25">
      <c r="C784" s="60"/>
    </row>
    <row r="785" spans="3:3" x14ac:dyDescent="0.25">
      <c r="C785" s="60"/>
    </row>
    <row r="786" spans="3:3" x14ac:dyDescent="0.25">
      <c r="C786" s="60"/>
    </row>
    <row r="787" spans="3:3" x14ac:dyDescent="0.25">
      <c r="C787" s="60"/>
    </row>
    <row r="788" spans="3:3" x14ac:dyDescent="0.25">
      <c r="C788" s="60"/>
    </row>
    <row r="789" spans="3:3" x14ac:dyDescent="0.25">
      <c r="C789" s="60"/>
    </row>
    <row r="790" spans="3:3" x14ac:dyDescent="0.25">
      <c r="C790" s="60"/>
    </row>
    <row r="791" spans="3:3" x14ac:dyDescent="0.25">
      <c r="C791" s="60"/>
    </row>
    <row r="792" spans="3:3" x14ac:dyDescent="0.25">
      <c r="C792" s="60"/>
    </row>
    <row r="793" spans="3:3" x14ac:dyDescent="0.25">
      <c r="C793" s="60"/>
    </row>
    <row r="794" spans="3:3" x14ac:dyDescent="0.25">
      <c r="C794" s="60"/>
    </row>
    <row r="795" spans="3:3" x14ac:dyDescent="0.25">
      <c r="C795" s="60"/>
    </row>
    <row r="796" spans="3:3" x14ac:dyDescent="0.25">
      <c r="C796" s="60"/>
    </row>
    <row r="797" spans="3:3" x14ac:dyDescent="0.25">
      <c r="C797" s="60"/>
    </row>
    <row r="798" spans="3:3" x14ac:dyDescent="0.25">
      <c r="C798" s="60"/>
    </row>
    <row r="799" spans="3:3" x14ac:dyDescent="0.25">
      <c r="C799" s="60"/>
    </row>
    <row r="800" spans="3:3" x14ac:dyDescent="0.25">
      <c r="C800" s="60"/>
    </row>
    <row r="801" spans="3:3" x14ac:dyDescent="0.25">
      <c r="C801" s="60"/>
    </row>
    <row r="802" spans="3:3" x14ac:dyDescent="0.25">
      <c r="C802" s="60"/>
    </row>
    <row r="803" spans="3:3" x14ac:dyDescent="0.25">
      <c r="C803" s="60"/>
    </row>
    <row r="804" spans="3:3" x14ac:dyDescent="0.25">
      <c r="C804" s="60"/>
    </row>
    <row r="805" spans="3:3" x14ac:dyDescent="0.25">
      <c r="C805" s="60"/>
    </row>
    <row r="806" spans="3:3" x14ac:dyDescent="0.25">
      <c r="C806" s="60"/>
    </row>
    <row r="807" spans="3:3" x14ac:dyDescent="0.25">
      <c r="C807" s="60"/>
    </row>
    <row r="808" spans="3:3" x14ac:dyDescent="0.25">
      <c r="C808" s="60"/>
    </row>
    <row r="809" spans="3:3" x14ac:dyDescent="0.25">
      <c r="C809" s="60"/>
    </row>
    <row r="810" spans="3:3" x14ac:dyDescent="0.25">
      <c r="C810" s="60"/>
    </row>
    <row r="811" spans="3:3" x14ac:dyDescent="0.25">
      <c r="C811" s="60"/>
    </row>
    <row r="812" spans="3:3" x14ac:dyDescent="0.25">
      <c r="C812" s="60"/>
    </row>
    <row r="813" spans="3:3" x14ac:dyDescent="0.25">
      <c r="C813" s="60"/>
    </row>
    <row r="814" spans="3:3" x14ac:dyDescent="0.25">
      <c r="C814" s="60"/>
    </row>
    <row r="815" spans="3:3" x14ac:dyDescent="0.25">
      <c r="C815" s="60"/>
    </row>
    <row r="816" spans="3:3" x14ac:dyDescent="0.25">
      <c r="C816" s="60"/>
    </row>
    <row r="817" spans="3:3" x14ac:dyDescent="0.25">
      <c r="C817" s="60"/>
    </row>
    <row r="818" spans="3:3" x14ac:dyDescent="0.25">
      <c r="C818" s="60"/>
    </row>
    <row r="819" spans="3:3" x14ac:dyDescent="0.25">
      <c r="C819" s="60"/>
    </row>
    <row r="820" spans="3:3" x14ac:dyDescent="0.25">
      <c r="C820" s="60"/>
    </row>
    <row r="821" spans="3:3" x14ac:dyDescent="0.25">
      <c r="C821" s="60"/>
    </row>
    <row r="822" spans="3:3" x14ac:dyDescent="0.25">
      <c r="C822" s="60"/>
    </row>
    <row r="823" spans="3:3" x14ac:dyDescent="0.25">
      <c r="C823" s="60"/>
    </row>
    <row r="824" spans="3:3" x14ac:dyDescent="0.25">
      <c r="C824" s="60"/>
    </row>
    <row r="825" spans="3:3" x14ac:dyDescent="0.25">
      <c r="C825" s="60"/>
    </row>
    <row r="826" spans="3:3" x14ac:dyDescent="0.25">
      <c r="C826" s="60"/>
    </row>
    <row r="827" spans="3:3" x14ac:dyDescent="0.25">
      <c r="C827" s="60"/>
    </row>
    <row r="828" spans="3:3" x14ac:dyDescent="0.25">
      <c r="C828" s="60"/>
    </row>
    <row r="829" spans="3:3" x14ac:dyDescent="0.25">
      <c r="C829" s="60"/>
    </row>
    <row r="830" spans="3:3" x14ac:dyDescent="0.25">
      <c r="C830" s="60"/>
    </row>
    <row r="831" spans="3:3" x14ac:dyDescent="0.25">
      <c r="C831" s="60"/>
    </row>
    <row r="832" spans="3:3" x14ac:dyDescent="0.25">
      <c r="C832" s="60"/>
    </row>
    <row r="833" spans="3:3" x14ac:dyDescent="0.25">
      <c r="C833" s="60"/>
    </row>
    <row r="834" spans="3:3" x14ac:dyDescent="0.25">
      <c r="C834" s="60"/>
    </row>
    <row r="835" spans="3:3" x14ac:dyDescent="0.25">
      <c r="C835" s="60"/>
    </row>
    <row r="836" spans="3:3" x14ac:dyDescent="0.25">
      <c r="C836" s="60"/>
    </row>
    <row r="837" spans="3:3" x14ac:dyDescent="0.25">
      <c r="C837" s="60"/>
    </row>
    <row r="838" spans="3:3" x14ac:dyDescent="0.25">
      <c r="C838" s="60"/>
    </row>
    <row r="839" spans="3:3" x14ac:dyDescent="0.25">
      <c r="C839" s="60"/>
    </row>
    <row r="840" spans="3:3" x14ac:dyDescent="0.25">
      <c r="C840" s="60"/>
    </row>
    <row r="841" spans="3:3" x14ac:dyDescent="0.25">
      <c r="C841" s="60"/>
    </row>
    <row r="842" spans="3:3" x14ac:dyDescent="0.25">
      <c r="C842" s="60"/>
    </row>
    <row r="843" spans="3:3" x14ac:dyDescent="0.25">
      <c r="C843" s="60"/>
    </row>
    <row r="844" spans="3:3" x14ac:dyDescent="0.25">
      <c r="C844" s="60"/>
    </row>
    <row r="845" spans="3:3" x14ac:dyDescent="0.25">
      <c r="C845" s="60"/>
    </row>
    <row r="846" spans="3:3" x14ac:dyDescent="0.25">
      <c r="C846" s="60"/>
    </row>
    <row r="847" spans="3:3" x14ac:dyDescent="0.25">
      <c r="C847" s="60"/>
    </row>
    <row r="848" spans="3:3" x14ac:dyDescent="0.25">
      <c r="C848" s="60"/>
    </row>
    <row r="849" spans="3:3" x14ac:dyDescent="0.25">
      <c r="C849" s="60"/>
    </row>
    <row r="850" spans="3:3" x14ac:dyDescent="0.25">
      <c r="C850" s="60"/>
    </row>
    <row r="851" spans="3:3" x14ac:dyDescent="0.25">
      <c r="C851" s="60"/>
    </row>
    <row r="852" spans="3:3" x14ac:dyDescent="0.25">
      <c r="C852" s="60"/>
    </row>
    <row r="853" spans="3:3" x14ac:dyDescent="0.25">
      <c r="C853" s="60"/>
    </row>
    <row r="854" spans="3:3" x14ac:dyDescent="0.25">
      <c r="C854" s="60"/>
    </row>
    <row r="855" spans="3:3" x14ac:dyDescent="0.25">
      <c r="C855" s="60"/>
    </row>
    <row r="856" spans="3:3" x14ac:dyDescent="0.25">
      <c r="C856" s="60"/>
    </row>
    <row r="857" spans="3:3" x14ac:dyDescent="0.25">
      <c r="C857" s="60"/>
    </row>
    <row r="858" spans="3:3" x14ac:dyDescent="0.25">
      <c r="C858" s="60"/>
    </row>
    <row r="859" spans="3:3" x14ac:dyDescent="0.25">
      <c r="C859" s="60"/>
    </row>
    <row r="860" spans="3:3" x14ac:dyDescent="0.25">
      <c r="C860" s="60"/>
    </row>
    <row r="861" spans="3:3" x14ac:dyDescent="0.25">
      <c r="C861" s="60"/>
    </row>
    <row r="862" spans="3:3" x14ac:dyDescent="0.25">
      <c r="C862" s="60"/>
    </row>
    <row r="863" spans="3:3" x14ac:dyDescent="0.25">
      <c r="C863" s="60"/>
    </row>
    <row r="864" spans="3:3" x14ac:dyDescent="0.25">
      <c r="C864" s="60"/>
    </row>
    <row r="865" spans="3:3" x14ac:dyDescent="0.25">
      <c r="C865" s="60"/>
    </row>
    <row r="866" spans="3:3" x14ac:dyDescent="0.25">
      <c r="C866" s="60"/>
    </row>
    <row r="867" spans="3:3" x14ac:dyDescent="0.25">
      <c r="C867" s="60"/>
    </row>
    <row r="868" spans="3:3" x14ac:dyDescent="0.25">
      <c r="C868" s="60"/>
    </row>
    <row r="869" spans="3:3" x14ac:dyDescent="0.25">
      <c r="C869" s="60"/>
    </row>
    <row r="870" spans="3:3" x14ac:dyDescent="0.25">
      <c r="C870" s="60"/>
    </row>
    <row r="871" spans="3:3" x14ac:dyDescent="0.25">
      <c r="C871" s="60"/>
    </row>
    <row r="872" spans="3:3" x14ac:dyDescent="0.25">
      <c r="C872" s="60"/>
    </row>
    <row r="873" spans="3:3" x14ac:dyDescent="0.25">
      <c r="C873" s="60"/>
    </row>
    <row r="874" spans="3:3" x14ac:dyDescent="0.25">
      <c r="C874" s="60"/>
    </row>
    <row r="875" spans="3:3" x14ac:dyDescent="0.25">
      <c r="C875" s="60"/>
    </row>
    <row r="876" spans="3:3" x14ac:dyDescent="0.25">
      <c r="C876" s="60"/>
    </row>
    <row r="877" spans="3:3" x14ac:dyDescent="0.25">
      <c r="C877" s="60"/>
    </row>
    <row r="878" spans="3:3" x14ac:dyDescent="0.25">
      <c r="C878" s="60"/>
    </row>
    <row r="879" spans="3:3" x14ac:dyDescent="0.25">
      <c r="C879" s="60"/>
    </row>
    <row r="880" spans="3:3" x14ac:dyDescent="0.25">
      <c r="C880" s="60"/>
    </row>
    <row r="881" spans="3:3" x14ac:dyDescent="0.25">
      <c r="C881" s="60"/>
    </row>
    <row r="882" spans="3:3" x14ac:dyDescent="0.25">
      <c r="C882" s="60"/>
    </row>
    <row r="883" spans="3:3" x14ac:dyDescent="0.25">
      <c r="C883" s="60"/>
    </row>
    <row r="884" spans="3:3" x14ac:dyDescent="0.25">
      <c r="C884" s="60"/>
    </row>
    <row r="885" spans="3:3" x14ac:dyDescent="0.25">
      <c r="C885" s="60"/>
    </row>
    <row r="886" spans="3:3" x14ac:dyDescent="0.25">
      <c r="C886" s="60"/>
    </row>
    <row r="887" spans="3:3" x14ac:dyDescent="0.25">
      <c r="C887" s="60"/>
    </row>
    <row r="888" spans="3:3" x14ac:dyDescent="0.25">
      <c r="C888" s="60"/>
    </row>
    <row r="889" spans="3:3" x14ac:dyDescent="0.25">
      <c r="C889" s="60"/>
    </row>
    <row r="890" spans="3:3" x14ac:dyDescent="0.25">
      <c r="C890" s="60"/>
    </row>
    <row r="891" spans="3:3" x14ac:dyDescent="0.25">
      <c r="C891" s="60"/>
    </row>
    <row r="892" spans="3:3" x14ac:dyDescent="0.25">
      <c r="C892" s="60"/>
    </row>
    <row r="893" spans="3:3" x14ac:dyDescent="0.25">
      <c r="C893" s="60"/>
    </row>
    <row r="894" spans="3:3" x14ac:dyDescent="0.25">
      <c r="C894" s="60"/>
    </row>
    <row r="895" spans="3:3" x14ac:dyDescent="0.25">
      <c r="C895" s="60"/>
    </row>
    <row r="896" spans="3:3" x14ac:dyDescent="0.25">
      <c r="C896" s="60"/>
    </row>
    <row r="897" spans="3:3" x14ac:dyDescent="0.25">
      <c r="C897" s="60"/>
    </row>
    <row r="898" spans="3:3" x14ac:dyDescent="0.25">
      <c r="C898" s="60"/>
    </row>
    <row r="899" spans="3:3" x14ac:dyDescent="0.25">
      <c r="C899" s="60"/>
    </row>
    <row r="900" spans="3:3" x14ac:dyDescent="0.25">
      <c r="C900" s="60"/>
    </row>
    <row r="901" spans="3:3" x14ac:dyDescent="0.25">
      <c r="C901" s="60"/>
    </row>
    <row r="902" spans="3:3" x14ac:dyDescent="0.25">
      <c r="C902" s="60"/>
    </row>
    <row r="903" spans="3:3" x14ac:dyDescent="0.25">
      <c r="C903" s="60"/>
    </row>
    <row r="904" spans="3:3" x14ac:dyDescent="0.25">
      <c r="C904" s="60"/>
    </row>
    <row r="905" spans="3:3" x14ac:dyDescent="0.25">
      <c r="C905" s="60"/>
    </row>
    <row r="906" spans="3:3" x14ac:dyDescent="0.25">
      <c r="C906" s="60"/>
    </row>
    <row r="907" spans="3:3" x14ac:dyDescent="0.25">
      <c r="C907" s="60"/>
    </row>
    <row r="908" spans="3:3" x14ac:dyDescent="0.25">
      <c r="C908" s="60"/>
    </row>
    <row r="909" spans="3:3" x14ac:dyDescent="0.25">
      <c r="C909" s="60"/>
    </row>
    <row r="910" spans="3:3" x14ac:dyDescent="0.25">
      <c r="C910" s="60"/>
    </row>
    <row r="911" spans="3:3" x14ac:dyDescent="0.25">
      <c r="C911" s="60"/>
    </row>
    <row r="912" spans="3:3" x14ac:dyDescent="0.25">
      <c r="C912" s="60"/>
    </row>
    <row r="913" spans="3:3" x14ac:dyDescent="0.25">
      <c r="C913" s="60"/>
    </row>
    <row r="914" spans="3:3" x14ac:dyDescent="0.25">
      <c r="C914" s="60"/>
    </row>
    <row r="915" spans="3:3" x14ac:dyDescent="0.25">
      <c r="C915" s="60"/>
    </row>
    <row r="916" spans="3:3" x14ac:dyDescent="0.25">
      <c r="C916" s="60"/>
    </row>
    <row r="917" spans="3:3" x14ac:dyDescent="0.25">
      <c r="C917" s="60"/>
    </row>
    <row r="918" spans="3:3" x14ac:dyDescent="0.25">
      <c r="C918" s="60"/>
    </row>
    <row r="919" spans="3:3" x14ac:dyDescent="0.25">
      <c r="C919" s="60"/>
    </row>
    <row r="920" spans="3:3" x14ac:dyDescent="0.25">
      <c r="C920" s="60"/>
    </row>
    <row r="921" spans="3:3" x14ac:dyDescent="0.25">
      <c r="C921" s="60"/>
    </row>
    <row r="922" spans="3:3" x14ac:dyDescent="0.25">
      <c r="C922" s="60"/>
    </row>
    <row r="923" spans="3:3" x14ac:dyDescent="0.25">
      <c r="C923" s="60"/>
    </row>
    <row r="924" spans="3:3" x14ac:dyDescent="0.25">
      <c r="C924" s="60"/>
    </row>
    <row r="925" spans="3:3" x14ac:dyDescent="0.25">
      <c r="C925" s="60"/>
    </row>
    <row r="926" spans="3:3" x14ac:dyDescent="0.25">
      <c r="C926" s="60"/>
    </row>
    <row r="927" spans="3:3" x14ac:dyDescent="0.25">
      <c r="C927" s="60"/>
    </row>
    <row r="928" spans="3:3" x14ac:dyDescent="0.25">
      <c r="C928" s="60"/>
    </row>
    <row r="929" spans="3:3" x14ac:dyDescent="0.25">
      <c r="C929" s="60"/>
    </row>
    <row r="930" spans="3:3" x14ac:dyDescent="0.25">
      <c r="C930" s="60"/>
    </row>
    <row r="931" spans="3:3" x14ac:dyDescent="0.25">
      <c r="C931" s="60"/>
    </row>
    <row r="932" spans="3:3" x14ac:dyDescent="0.25">
      <c r="C932" s="60"/>
    </row>
    <row r="933" spans="3:3" x14ac:dyDescent="0.25">
      <c r="C933" s="60"/>
    </row>
    <row r="934" spans="3:3" x14ac:dyDescent="0.25">
      <c r="C934" s="60"/>
    </row>
    <row r="935" spans="3:3" x14ac:dyDescent="0.25">
      <c r="C935" s="60"/>
    </row>
    <row r="936" spans="3:3" x14ac:dyDescent="0.25">
      <c r="C936" s="60"/>
    </row>
    <row r="937" spans="3:3" x14ac:dyDescent="0.25">
      <c r="C937" s="60"/>
    </row>
    <row r="938" spans="3:3" x14ac:dyDescent="0.25">
      <c r="C938" s="60"/>
    </row>
    <row r="939" spans="3:3" x14ac:dyDescent="0.25">
      <c r="C939" s="60"/>
    </row>
    <row r="940" spans="3:3" x14ac:dyDescent="0.25">
      <c r="C940" s="60"/>
    </row>
    <row r="941" spans="3:3" x14ac:dyDescent="0.25">
      <c r="C941" s="60"/>
    </row>
    <row r="942" spans="3:3" x14ac:dyDescent="0.25">
      <c r="C942" s="60"/>
    </row>
    <row r="943" spans="3:3" x14ac:dyDescent="0.25">
      <c r="C943" s="60"/>
    </row>
    <row r="944" spans="3:3" x14ac:dyDescent="0.25">
      <c r="C944" s="60"/>
    </row>
    <row r="945" spans="3:3" x14ac:dyDescent="0.25">
      <c r="C945" s="60"/>
    </row>
    <row r="946" spans="3:3" x14ac:dyDescent="0.25">
      <c r="C946" s="60"/>
    </row>
    <row r="947" spans="3:3" x14ac:dyDescent="0.25">
      <c r="C947" s="60"/>
    </row>
    <row r="948" spans="3:3" x14ac:dyDescent="0.25">
      <c r="C948" s="60"/>
    </row>
    <row r="949" spans="3:3" x14ac:dyDescent="0.25">
      <c r="C949" s="60"/>
    </row>
    <row r="950" spans="3:3" x14ac:dyDescent="0.25">
      <c r="C950" s="60"/>
    </row>
    <row r="951" spans="3:3" x14ac:dyDescent="0.25">
      <c r="C951" s="60"/>
    </row>
    <row r="952" spans="3:3" x14ac:dyDescent="0.25">
      <c r="C952" s="60"/>
    </row>
    <row r="953" spans="3:3" x14ac:dyDescent="0.25">
      <c r="C953" s="60"/>
    </row>
    <row r="954" spans="3:3" x14ac:dyDescent="0.25">
      <c r="C954" s="60"/>
    </row>
    <row r="955" spans="3:3" x14ac:dyDescent="0.25">
      <c r="C955" s="60"/>
    </row>
    <row r="956" spans="3:3" x14ac:dyDescent="0.25">
      <c r="C956" s="60"/>
    </row>
    <row r="957" spans="3:3" x14ac:dyDescent="0.25">
      <c r="C957" s="60"/>
    </row>
    <row r="958" spans="3:3" x14ac:dyDescent="0.25">
      <c r="C958" s="60"/>
    </row>
    <row r="959" spans="3:3" x14ac:dyDescent="0.25">
      <c r="C959" s="60"/>
    </row>
    <row r="960" spans="3:3" x14ac:dyDescent="0.25">
      <c r="C960" s="60"/>
    </row>
    <row r="961" spans="3:3" x14ac:dyDescent="0.25">
      <c r="C961" s="60"/>
    </row>
    <row r="962" spans="3:3" x14ac:dyDescent="0.25">
      <c r="C962" s="60"/>
    </row>
    <row r="963" spans="3:3" x14ac:dyDescent="0.25">
      <c r="C963" s="60"/>
    </row>
    <row r="964" spans="3:3" x14ac:dyDescent="0.25">
      <c r="C964" s="60"/>
    </row>
    <row r="965" spans="3:3" x14ac:dyDescent="0.25">
      <c r="C965" s="60"/>
    </row>
    <row r="966" spans="3:3" x14ac:dyDescent="0.25">
      <c r="C966" s="60"/>
    </row>
    <row r="967" spans="3:3" x14ac:dyDescent="0.25">
      <c r="C967" s="60"/>
    </row>
    <row r="968" spans="3:3" x14ac:dyDescent="0.25">
      <c r="C968" s="60"/>
    </row>
    <row r="969" spans="3:3" x14ac:dyDescent="0.25">
      <c r="C969" s="60"/>
    </row>
    <row r="970" spans="3:3" x14ac:dyDescent="0.25">
      <c r="C970" s="60"/>
    </row>
    <row r="971" spans="3:3" x14ac:dyDescent="0.25">
      <c r="C971" s="60"/>
    </row>
    <row r="972" spans="3:3" x14ac:dyDescent="0.25">
      <c r="C972" s="60"/>
    </row>
    <row r="973" spans="3:3" x14ac:dyDescent="0.25">
      <c r="C973" s="60"/>
    </row>
    <row r="974" spans="3:3" x14ac:dyDescent="0.25">
      <c r="C974" s="60"/>
    </row>
    <row r="975" spans="3:3" x14ac:dyDescent="0.25">
      <c r="C975" s="60"/>
    </row>
    <row r="976" spans="3:3" x14ac:dyDescent="0.25">
      <c r="C976" s="60"/>
    </row>
    <row r="977" spans="3:3" x14ac:dyDescent="0.25">
      <c r="C977" s="60"/>
    </row>
    <row r="978" spans="3:3" x14ac:dyDescent="0.25">
      <c r="C978" s="60"/>
    </row>
    <row r="979" spans="3:3" x14ac:dyDescent="0.25">
      <c r="C979" s="60"/>
    </row>
    <row r="980" spans="3:3" x14ac:dyDescent="0.25">
      <c r="C980" s="60"/>
    </row>
    <row r="981" spans="3:3" x14ac:dyDescent="0.25">
      <c r="C981" s="60"/>
    </row>
    <row r="982" spans="3:3" x14ac:dyDescent="0.25">
      <c r="C982" s="60"/>
    </row>
    <row r="983" spans="3:3" x14ac:dyDescent="0.25">
      <c r="C983" s="60"/>
    </row>
    <row r="984" spans="3:3" x14ac:dyDescent="0.25">
      <c r="C984" s="60"/>
    </row>
    <row r="985" spans="3:3" x14ac:dyDescent="0.25">
      <c r="C985" s="60"/>
    </row>
    <row r="986" spans="3:3" x14ac:dyDescent="0.25">
      <c r="C986" s="60"/>
    </row>
    <row r="987" spans="3:3" x14ac:dyDescent="0.25">
      <c r="C987" s="60"/>
    </row>
    <row r="988" spans="3:3" x14ac:dyDescent="0.25">
      <c r="C988" s="60"/>
    </row>
    <row r="989" spans="3:3" x14ac:dyDescent="0.25">
      <c r="C989" s="60"/>
    </row>
    <row r="990" spans="3:3" x14ac:dyDescent="0.25">
      <c r="C990" s="60"/>
    </row>
    <row r="991" spans="3:3" x14ac:dyDescent="0.25">
      <c r="C991" s="60"/>
    </row>
    <row r="992" spans="3:3" x14ac:dyDescent="0.25">
      <c r="C992" s="60"/>
    </row>
    <row r="993" spans="3:3" x14ac:dyDescent="0.25">
      <c r="C993" s="60"/>
    </row>
    <row r="994" spans="3:3" x14ac:dyDescent="0.25">
      <c r="C994" s="60"/>
    </row>
    <row r="995" spans="3:3" x14ac:dyDescent="0.25">
      <c r="C995" s="60"/>
    </row>
    <row r="996" spans="3:3" x14ac:dyDescent="0.25">
      <c r="C996" s="60"/>
    </row>
    <row r="997" spans="3:3" x14ac:dyDescent="0.25">
      <c r="C997" s="60"/>
    </row>
    <row r="998" spans="3:3" x14ac:dyDescent="0.25">
      <c r="C998" s="60"/>
    </row>
    <row r="999" spans="3:3" x14ac:dyDescent="0.25">
      <c r="C999" s="60"/>
    </row>
    <row r="1000" spans="3:3" x14ac:dyDescent="0.25">
      <c r="C1000" s="60"/>
    </row>
    <row r="1001" spans="3:3" x14ac:dyDescent="0.25">
      <c r="C1001" s="60"/>
    </row>
    <row r="1002" spans="3:3" x14ac:dyDescent="0.25">
      <c r="C1002" s="60"/>
    </row>
    <row r="1003" spans="3:3" x14ac:dyDescent="0.25">
      <c r="C1003" s="60"/>
    </row>
    <row r="1004" spans="3:3" x14ac:dyDescent="0.25">
      <c r="C1004" s="60"/>
    </row>
    <row r="1005" spans="3:3" x14ac:dyDescent="0.25">
      <c r="C1005" s="60"/>
    </row>
    <row r="1006" spans="3:3" x14ac:dyDescent="0.25">
      <c r="C1006" s="60"/>
    </row>
    <row r="1007" spans="3:3" x14ac:dyDescent="0.25">
      <c r="C1007" s="60"/>
    </row>
    <row r="1008" spans="3:3" x14ac:dyDescent="0.25">
      <c r="C1008" s="60"/>
    </row>
    <row r="1009" spans="3:3" x14ac:dyDescent="0.25">
      <c r="C1009" s="60"/>
    </row>
    <row r="1010" spans="3:3" x14ac:dyDescent="0.25">
      <c r="C1010" s="60"/>
    </row>
    <row r="1011" spans="3:3" x14ac:dyDescent="0.25">
      <c r="C1011" s="60"/>
    </row>
    <row r="1012" spans="3:3" x14ac:dyDescent="0.25">
      <c r="C1012" s="60"/>
    </row>
    <row r="1013" spans="3:3" x14ac:dyDescent="0.25">
      <c r="C1013" s="60"/>
    </row>
    <row r="1014" spans="3:3" x14ac:dyDescent="0.25">
      <c r="C1014" s="60"/>
    </row>
    <row r="1015" spans="3:3" x14ac:dyDescent="0.25">
      <c r="C1015" s="60"/>
    </row>
    <row r="1016" spans="3:3" x14ac:dyDescent="0.25">
      <c r="C1016" s="60"/>
    </row>
    <row r="1017" spans="3:3" x14ac:dyDescent="0.25">
      <c r="C1017" s="60"/>
    </row>
    <row r="1018" spans="3:3" x14ac:dyDescent="0.25">
      <c r="C1018" s="60"/>
    </row>
    <row r="1019" spans="3:3" x14ac:dyDescent="0.25">
      <c r="C1019" s="60"/>
    </row>
    <row r="1020" spans="3:3" x14ac:dyDescent="0.25">
      <c r="C1020" s="60"/>
    </row>
    <row r="1021" spans="3:3" x14ac:dyDescent="0.25">
      <c r="C1021" s="60"/>
    </row>
    <row r="1022" spans="3:3" x14ac:dyDescent="0.25">
      <c r="C1022" s="60"/>
    </row>
    <row r="1023" spans="3:3" x14ac:dyDescent="0.25">
      <c r="C1023" s="60"/>
    </row>
    <row r="1024" spans="3:3" x14ac:dyDescent="0.25">
      <c r="C1024" s="60"/>
    </row>
    <row r="1025" spans="3:3" x14ac:dyDescent="0.25">
      <c r="C1025" s="60"/>
    </row>
    <row r="1026" spans="3:3" x14ac:dyDescent="0.25">
      <c r="C1026" s="60"/>
    </row>
    <row r="1027" spans="3:3" x14ac:dyDescent="0.25">
      <c r="C1027" s="60"/>
    </row>
    <row r="1028" spans="3:3" x14ac:dyDescent="0.25">
      <c r="C1028" s="60"/>
    </row>
    <row r="1029" spans="3:3" x14ac:dyDescent="0.25">
      <c r="C1029" s="60"/>
    </row>
    <row r="1030" spans="3:3" x14ac:dyDescent="0.25">
      <c r="C1030" s="60"/>
    </row>
    <row r="1031" spans="3:3" x14ac:dyDescent="0.25">
      <c r="C1031" s="60"/>
    </row>
    <row r="1032" spans="3:3" x14ac:dyDescent="0.25">
      <c r="C1032" s="60"/>
    </row>
    <row r="1033" spans="3:3" x14ac:dyDescent="0.25">
      <c r="C1033" s="60"/>
    </row>
    <row r="1034" spans="3:3" x14ac:dyDescent="0.25">
      <c r="C1034" s="60"/>
    </row>
    <row r="1035" spans="3:3" x14ac:dyDescent="0.25">
      <c r="C1035" s="60"/>
    </row>
    <row r="1036" spans="3:3" x14ac:dyDescent="0.25">
      <c r="C1036" s="60"/>
    </row>
    <row r="1037" spans="3:3" x14ac:dyDescent="0.25">
      <c r="C1037" s="60"/>
    </row>
    <row r="1038" spans="3:3" x14ac:dyDescent="0.25">
      <c r="C1038" s="60"/>
    </row>
    <row r="1039" spans="3:3" x14ac:dyDescent="0.25">
      <c r="C1039" s="60"/>
    </row>
    <row r="1040" spans="3:3" x14ac:dyDescent="0.25">
      <c r="C1040" s="60"/>
    </row>
    <row r="1041" spans="3:3" x14ac:dyDescent="0.25">
      <c r="C1041" s="60"/>
    </row>
    <row r="1042" spans="3:3" x14ac:dyDescent="0.25">
      <c r="C1042" s="60"/>
    </row>
    <row r="1043" spans="3:3" x14ac:dyDescent="0.25">
      <c r="C1043" s="60"/>
    </row>
    <row r="1044" spans="3:3" x14ac:dyDescent="0.25">
      <c r="C1044" s="60"/>
    </row>
    <row r="1045" spans="3:3" x14ac:dyDescent="0.25">
      <c r="C1045" s="60"/>
    </row>
    <row r="1046" spans="3:3" x14ac:dyDescent="0.25">
      <c r="C1046" s="60"/>
    </row>
    <row r="1047" spans="3:3" x14ac:dyDescent="0.25">
      <c r="C1047" s="60"/>
    </row>
    <row r="1048" spans="3:3" x14ac:dyDescent="0.25">
      <c r="C1048" s="60"/>
    </row>
    <row r="1049" spans="3:3" x14ac:dyDescent="0.25">
      <c r="C1049" s="60"/>
    </row>
    <row r="1050" spans="3:3" x14ac:dyDescent="0.25">
      <c r="C1050" s="60"/>
    </row>
    <row r="1051" spans="3:3" x14ac:dyDescent="0.25">
      <c r="C1051" s="60"/>
    </row>
    <row r="1052" spans="3:3" x14ac:dyDescent="0.25">
      <c r="C1052" s="60"/>
    </row>
    <row r="1053" spans="3:3" x14ac:dyDescent="0.25">
      <c r="C1053" s="60"/>
    </row>
    <row r="1054" spans="3:3" x14ac:dyDescent="0.25">
      <c r="C1054" s="60"/>
    </row>
    <row r="1055" spans="3:3" x14ac:dyDescent="0.25">
      <c r="C1055" s="60"/>
    </row>
    <row r="1056" spans="3:3" x14ac:dyDescent="0.25">
      <c r="C1056" s="60"/>
    </row>
    <row r="1057" spans="3:3" x14ac:dyDescent="0.25">
      <c r="C1057" s="60"/>
    </row>
    <row r="1058" spans="3:3" x14ac:dyDescent="0.25">
      <c r="C1058" s="60"/>
    </row>
    <row r="1059" spans="3:3" x14ac:dyDescent="0.25">
      <c r="C1059" s="60"/>
    </row>
    <row r="1060" spans="3:3" x14ac:dyDescent="0.25">
      <c r="C1060" s="60"/>
    </row>
    <row r="1061" spans="3:3" x14ac:dyDescent="0.25">
      <c r="C1061" s="60"/>
    </row>
    <row r="1062" spans="3:3" x14ac:dyDescent="0.25">
      <c r="C1062" s="60"/>
    </row>
    <row r="1063" spans="3:3" x14ac:dyDescent="0.25">
      <c r="C1063" s="60"/>
    </row>
    <row r="1064" spans="3:3" x14ac:dyDescent="0.25">
      <c r="C1064" s="60"/>
    </row>
    <row r="1065" spans="3:3" x14ac:dyDescent="0.25">
      <c r="C1065" s="60"/>
    </row>
    <row r="1066" spans="3:3" x14ac:dyDescent="0.25">
      <c r="C1066" s="60"/>
    </row>
    <row r="1067" spans="3:3" x14ac:dyDescent="0.25">
      <c r="C1067" s="60"/>
    </row>
    <row r="1068" spans="3:3" x14ac:dyDescent="0.25">
      <c r="C1068" s="60"/>
    </row>
    <row r="1069" spans="3:3" x14ac:dyDescent="0.25">
      <c r="C1069" s="60"/>
    </row>
    <row r="1070" spans="3:3" x14ac:dyDescent="0.25">
      <c r="C1070" s="60"/>
    </row>
    <row r="1071" spans="3:3" x14ac:dyDescent="0.25">
      <c r="C1071" s="60"/>
    </row>
    <row r="1072" spans="3:3" x14ac:dyDescent="0.25">
      <c r="C1072" s="60"/>
    </row>
    <row r="1073" spans="3:3" x14ac:dyDescent="0.25">
      <c r="C1073" s="60"/>
    </row>
    <row r="1074" spans="3:3" x14ac:dyDescent="0.25">
      <c r="C1074" s="60"/>
    </row>
    <row r="1075" spans="3:3" x14ac:dyDescent="0.25">
      <c r="C1075" s="60"/>
    </row>
    <row r="1076" spans="3:3" x14ac:dyDescent="0.25">
      <c r="C1076" s="60"/>
    </row>
    <row r="1077" spans="3:3" x14ac:dyDescent="0.25">
      <c r="C1077" s="60"/>
    </row>
    <row r="1078" spans="3:3" x14ac:dyDescent="0.25">
      <c r="C1078" s="60"/>
    </row>
    <row r="1079" spans="3:3" x14ac:dyDescent="0.25">
      <c r="C1079" s="60"/>
    </row>
    <row r="1080" spans="3:3" x14ac:dyDescent="0.25">
      <c r="C1080" s="60"/>
    </row>
    <row r="1081" spans="3:3" x14ac:dyDescent="0.25">
      <c r="C1081" s="60"/>
    </row>
    <row r="1082" spans="3:3" x14ac:dyDescent="0.25">
      <c r="C1082" s="60"/>
    </row>
    <row r="1083" spans="3:3" x14ac:dyDescent="0.25">
      <c r="C1083" s="60"/>
    </row>
    <row r="1084" spans="3:3" x14ac:dyDescent="0.25">
      <c r="C1084" s="60"/>
    </row>
    <row r="1085" spans="3:3" x14ac:dyDescent="0.25">
      <c r="C1085" s="60"/>
    </row>
    <row r="1086" spans="3:3" x14ac:dyDescent="0.25">
      <c r="C1086" s="60"/>
    </row>
    <row r="1087" spans="3:3" x14ac:dyDescent="0.25">
      <c r="C1087" s="60"/>
    </row>
    <row r="1088" spans="3:3" x14ac:dyDescent="0.25">
      <c r="C1088" s="60"/>
    </row>
    <row r="1089" spans="3:3" x14ac:dyDescent="0.25">
      <c r="C1089" s="60"/>
    </row>
    <row r="1090" spans="3:3" x14ac:dyDescent="0.25">
      <c r="C1090" s="60"/>
    </row>
    <row r="1091" spans="3:3" x14ac:dyDescent="0.25">
      <c r="C1091" s="60"/>
    </row>
    <row r="1092" spans="3:3" x14ac:dyDescent="0.25">
      <c r="C1092" s="60"/>
    </row>
    <row r="1093" spans="3:3" x14ac:dyDescent="0.25">
      <c r="C1093" s="60"/>
    </row>
    <row r="1094" spans="3:3" x14ac:dyDescent="0.25">
      <c r="C1094" s="60"/>
    </row>
    <row r="1095" spans="3:3" x14ac:dyDescent="0.25">
      <c r="C1095" s="60"/>
    </row>
    <row r="1096" spans="3:3" x14ac:dyDescent="0.25">
      <c r="C1096" s="60"/>
    </row>
    <row r="1097" spans="3:3" x14ac:dyDescent="0.25">
      <c r="C1097" s="60"/>
    </row>
    <row r="1098" spans="3:3" x14ac:dyDescent="0.25">
      <c r="C1098" s="60"/>
    </row>
    <row r="1099" spans="3:3" x14ac:dyDescent="0.25">
      <c r="C1099" s="60"/>
    </row>
    <row r="1100" spans="3:3" x14ac:dyDescent="0.25">
      <c r="C1100" s="60"/>
    </row>
    <row r="1101" spans="3:3" x14ac:dyDescent="0.25">
      <c r="C1101" s="60"/>
    </row>
    <row r="1102" spans="3:3" x14ac:dyDescent="0.25">
      <c r="C1102" s="60"/>
    </row>
    <row r="1103" spans="3:3" x14ac:dyDescent="0.25">
      <c r="C1103" s="60"/>
    </row>
    <row r="1104" spans="3:3" x14ac:dyDescent="0.25">
      <c r="C1104" s="60"/>
    </row>
    <row r="1105" spans="3:3" x14ac:dyDescent="0.25">
      <c r="C1105" s="60"/>
    </row>
    <row r="1106" spans="3:3" x14ac:dyDescent="0.25">
      <c r="C1106" s="60"/>
    </row>
    <row r="1107" spans="3:3" x14ac:dyDescent="0.25">
      <c r="C1107" s="60"/>
    </row>
    <row r="1108" spans="3:3" x14ac:dyDescent="0.25">
      <c r="C1108" s="60"/>
    </row>
    <row r="1109" spans="3:3" x14ac:dyDescent="0.25">
      <c r="C1109" s="60"/>
    </row>
    <row r="1110" spans="3:3" x14ac:dyDescent="0.25">
      <c r="C1110" s="60"/>
    </row>
    <row r="1111" spans="3:3" x14ac:dyDescent="0.25">
      <c r="C1111" s="60"/>
    </row>
    <row r="1112" spans="3:3" x14ac:dyDescent="0.25">
      <c r="C1112" s="60"/>
    </row>
    <row r="1113" spans="3:3" x14ac:dyDescent="0.25">
      <c r="C1113" s="60"/>
    </row>
    <row r="1114" spans="3:3" x14ac:dyDescent="0.25">
      <c r="C1114" s="60"/>
    </row>
    <row r="1115" spans="3:3" x14ac:dyDescent="0.25">
      <c r="C1115" s="60"/>
    </row>
    <row r="1116" spans="3:3" x14ac:dyDescent="0.25">
      <c r="C1116" s="60"/>
    </row>
    <row r="1117" spans="3:3" x14ac:dyDescent="0.25">
      <c r="C1117" s="60"/>
    </row>
    <row r="1118" spans="3:3" x14ac:dyDescent="0.25">
      <c r="C1118" s="60"/>
    </row>
    <row r="1119" spans="3:3" x14ac:dyDescent="0.25">
      <c r="C1119" s="60"/>
    </row>
    <row r="1120" spans="3:3" x14ac:dyDescent="0.25">
      <c r="C1120" s="60"/>
    </row>
    <row r="1121" spans="3:3" x14ac:dyDescent="0.25">
      <c r="C1121" s="60"/>
    </row>
    <row r="1122" spans="3:3" x14ac:dyDescent="0.25">
      <c r="C1122" s="60"/>
    </row>
    <row r="1123" spans="3:3" x14ac:dyDescent="0.25">
      <c r="C1123" s="60"/>
    </row>
    <row r="1124" spans="3:3" x14ac:dyDescent="0.25">
      <c r="C1124" s="60"/>
    </row>
    <row r="1125" spans="3:3" x14ac:dyDescent="0.25">
      <c r="C1125" s="60"/>
    </row>
    <row r="1126" spans="3:3" x14ac:dyDescent="0.25">
      <c r="C1126" s="60"/>
    </row>
    <row r="1127" spans="3:3" x14ac:dyDescent="0.25">
      <c r="C1127" s="60"/>
    </row>
    <row r="1128" spans="3:3" x14ac:dyDescent="0.25">
      <c r="C1128" s="60"/>
    </row>
    <row r="1129" spans="3:3" x14ac:dyDescent="0.25">
      <c r="C1129" s="60"/>
    </row>
    <row r="1130" spans="3:3" x14ac:dyDescent="0.25">
      <c r="C1130" s="60"/>
    </row>
    <row r="1131" spans="3:3" x14ac:dyDescent="0.25">
      <c r="C1131" s="60"/>
    </row>
    <row r="1132" spans="3:3" x14ac:dyDescent="0.25">
      <c r="C1132" s="60"/>
    </row>
    <row r="1133" spans="3:3" x14ac:dyDescent="0.25">
      <c r="C1133" s="60"/>
    </row>
    <row r="1134" spans="3:3" x14ac:dyDescent="0.25">
      <c r="C1134" s="60"/>
    </row>
    <row r="1135" spans="3:3" x14ac:dyDescent="0.25">
      <c r="C1135" s="60"/>
    </row>
    <row r="1136" spans="3:3" x14ac:dyDescent="0.25">
      <c r="C1136" s="60"/>
    </row>
    <row r="1137" spans="3:3" x14ac:dyDescent="0.25">
      <c r="C1137" s="60"/>
    </row>
    <row r="1138" spans="3:3" x14ac:dyDescent="0.25">
      <c r="C1138" s="60"/>
    </row>
    <row r="1139" spans="3:3" x14ac:dyDescent="0.25">
      <c r="C1139" s="60"/>
    </row>
    <row r="1140" spans="3:3" x14ac:dyDescent="0.25">
      <c r="C1140" s="60"/>
    </row>
    <row r="1141" spans="3:3" x14ac:dyDescent="0.25">
      <c r="C1141" s="60"/>
    </row>
    <row r="1142" spans="3:3" x14ac:dyDescent="0.25">
      <c r="C1142" s="60"/>
    </row>
    <row r="1143" spans="3:3" x14ac:dyDescent="0.25">
      <c r="C1143" s="60"/>
    </row>
    <row r="1144" spans="3:3" x14ac:dyDescent="0.25">
      <c r="C1144" s="60"/>
    </row>
    <row r="1145" spans="3:3" x14ac:dyDescent="0.25">
      <c r="C1145" s="60"/>
    </row>
    <row r="1146" spans="3:3" x14ac:dyDescent="0.25">
      <c r="C1146" s="60"/>
    </row>
    <row r="1147" spans="3:3" x14ac:dyDescent="0.25">
      <c r="C1147" s="60"/>
    </row>
    <row r="1148" spans="3:3" x14ac:dyDescent="0.25">
      <c r="C1148" s="60"/>
    </row>
    <row r="1149" spans="3:3" x14ac:dyDescent="0.25">
      <c r="C1149" s="60"/>
    </row>
    <row r="1150" spans="3:3" x14ac:dyDescent="0.25">
      <c r="C1150" s="60"/>
    </row>
    <row r="1151" spans="3:3" x14ac:dyDescent="0.25">
      <c r="C1151" s="60"/>
    </row>
    <row r="1152" spans="3:3" x14ac:dyDescent="0.25">
      <c r="C1152" s="60"/>
    </row>
    <row r="1153" spans="3:3" x14ac:dyDescent="0.25">
      <c r="C1153" s="60"/>
    </row>
    <row r="1154" spans="3:3" x14ac:dyDescent="0.25">
      <c r="C1154" s="60"/>
    </row>
    <row r="1155" spans="3:3" x14ac:dyDescent="0.25">
      <c r="C1155" s="60"/>
    </row>
    <row r="1156" spans="3:3" x14ac:dyDescent="0.25">
      <c r="C1156" s="60"/>
    </row>
    <row r="1157" spans="3:3" x14ac:dyDescent="0.25">
      <c r="C1157" s="60"/>
    </row>
    <row r="1158" spans="3:3" x14ac:dyDescent="0.25">
      <c r="C1158" s="60"/>
    </row>
    <row r="1159" spans="3:3" x14ac:dyDescent="0.25">
      <c r="C1159" s="60"/>
    </row>
    <row r="1160" spans="3:3" x14ac:dyDescent="0.25">
      <c r="C1160" s="60"/>
    </row>
    <row r="1161" spans="3:3" x14ac:dyDescent="0.25">
      <c r="C1161" s="60"/>
    </row>
    <row r="1162" spans="3:3" x14ac:dyDescent="0.25">
      <c r="C1162" s="60"/>
    </row>
    <row r="1163" spans="3:3" x14ac:dyDescent="0.25">
      <c r="C1163" s="60"/>
    </row>
    <row r="1164" spans="3:3" x14ac:dyDescent="0.25">
      <c r="C1164" s="60"/>
    </row>
    <row r="1165" spans="3:3" x14ac:dyDescent="0.25">
      <c r="C1165" s="60"/>
    </row>
    <row r="1166" spans="3:3" x14ac:dyDescent="0.25">
      <c r="C1166" s="60"/>
    </row>
    <row r="1167" spans="3:3" x14ac:dyDescent="0.25">
      <c r="C1167" s="60"/>
    </row>
    <row r="1168" spans="3:3" x14ac:dyDescent="0.25">
      <c r="C1168" s="60"/>
    </row>
    <row r="1169" spans="3:3" x14ac:dyDescent="0.25">
      <c r="C1169" s="60"/>
    </row>
    <row r="1170" spans="3:3" x14ac:dyDescent="0.25">
      <c r="C1170" s="60"/>
    </row>
    <row r="1171" spans="3:3" x14ac:dyDescent="0.25">
      <c r="C1171" s="60"/>
    </row>
    <row r="1172" spans="3:3" x14ac:dyDescent="0.25">
      <c r="C1172" s="60"/>
    </row>
    <row r="1173" spans="3:3" x14ac:dyDescent="0.25">
      <c r="C1173" s="60"/>
    </row>
    <row r="1174" spans="3:3" x14ac:dyDescent="0.25">
      <c r="C1174" s="60"/>
    </row>
    <row r="1175" spans="3:3" x14ac:dyDescent="0.25">
      <c r="C1175" s="60"/>
    </row>
    <row r="1176" spans="3:3" x14ac:dyDescent="0.25">
      <c r="C1176" s="60"/>
    </row>
    <row r="1177" spans="3:3" x14ac:dyDescent="0.25">
      <c r="C1177" s="60"/>
    </row>
    <row r="1178" spans="3:3" x14ac:dyDescent="0.25">
      <c r="C1178" s="60"/>
    </row>
    <row r="1179" spans="3:3" x14ac:dyDescent="0.25">
      <c r="C1179" s="60"/>
    </row>
    <row r="1180" spans="3:3" x14ac:dyDescent="0.25">
      <c r="C1180" s="60"/>
    </row>
    <row r="1181" spans="3:3" x14ac:dyDescent="0.25">
      <c r="C1181" s="60"/>
    </row>
    <row r="1182" spans="3:3" x14ac:dyDescent="0.25">
      <c r="C1182" s="60"/>
    </row>
    <row r="1183" spans="3:3" x14ac:dyDescent="0.25">
      <c r="C1183" s="60"/>
    </row>
    <row r="1184" spans="3:3" x14ac:dyDescent="0.25">
      <c r="C1184" s="60"/>
    </row>
    <row r="1185" spans="3:3" x14ac:dyDescent="0.25">
      <c r="C1185" s="60"/>
    </row>
    <row r="1186" spans="3:3" x14ac:dyDescent="0.25">
      <c r="C1186" s="60"/>
    </row>
    <row r="1187" spans="3:3" x14ac:dyDescent="0.25">
      <c r="C1187" s="60"/>
    </row>
    <row r="1188" spans="3:3" x14ac:dyDescent="0.25">
      <c r="C1188" s="60"/>
    </row>
    <row r="1189" spans="3:3" x14ac:dyDescent="0.25">
      <c r="C1189" s="60"/>
    </row>
    <row r="1190" spans="3:3" x14ac:dyDescent="0.25">
      <c r="C1190" s="60"/>
    </row>
    <row r="1191" spans="3:3" x14ac:dyDescent="0.25">
      <c r="C1191" s="60"/>
    </row>
    <row r="1192" spans="3:3" x14ac:dyDescent="0.25">
      <c r="C1192" s="60"/>
    </row>
    <row r="1193" spans="3:3" x14ac:dyDescent="0.25">
      <c r="C1193" s="60"/>
    </row>
    <row r="1194" spans="3:3" x14ac:dyDescent="0.25">
      <c r="C1194" s="60"/>
    </row>
    <row r="1195" spans="3:3" x14ac:dyDescent="0.25">
      <c r="C1195" s="60"/>
    </row>
    <row r="1196" spans="3:3" x14ac:dyDescent="0.25">
      <c r="C1196" s="60"/>
    </row>
    <row r="1197" spans="3:3" x14ac:dyDescent="0.25">
      <c r="C1197" s="60"/>
    </row>
    <row r="1198" spans="3:3" x14ac:dyDescent="0.25">
      <c r="C1198" s="60"/>
    </row>
    <row r="1199" spans="3:3" x14ac:dyDescent="0.25">
      <c r="C1199" s="60"/>
    </row>
    <row r="1200" spans="3:3" x14ac:dyDescent="0.25">
      <c r="C1200" s="60"/>
    </row>
    <row r="1201" spans="3:3" x14ac:dyDescent="0.25">
      <c r="C1201" s="60"/>
    </row>
    <row r="1202" spans="3:3" x14ac:dyDescent="0.25">
      <c r="C1202" s="60"/>
    </row>
    <row r="1203" spans="3:3" x14ac:dyDescent="0.25">
      <c r="C1203" s="60"/>
    </row>
    <row r="1204" spans="3:3" x14ac:dyDescent="0.25">
      <c r="C1204" s="60"/>
    </row>
    <row r="1205" spans="3:3" x14ac:dyDescent="0.25">
      <c r="C1205" s="60"/>
    </row>
    <row r="1206" spans="3:3" x14ac:dyDescent="0.25">
      <c r="C1206" s="60"/>
    </row>
    <row r="1207" spans="3:3" x14ac:dyDescent="0.25">
      <c r="C1207" s="60"/>
    </row>
    <row r="1208" spans="3:3" x14ac:dyDescent="0.25">
      <c r="C1208" s="60"/>
    </row>
    <row r="1209" spans="3:3" x14ac:dyDescent="0.25">
      <c r="C1209" s="60"/>
    </row>
    <row r="1210" spans="3:3" x14ac:dyDescent="0.25">
      <c r="C1210" s="60"/>
    </row>
    <row r="1211" spans="3:3" x14ac:dyDescent="0.25">
      <c r="C1211" s="60"/>
    </row>
    <row r="1212" spans="3:3" x14ac:dyDescent="0.25">
      <c r="C1212" s="60"/>
    </row>
    <row r="1213" spans="3:3" x14ac:dyDescent="0.25">
      <c r="C1213" s="60"/>
    </row>
    <row r="1214" spans="3:3" x14ac:dyDescent="0.25">
      <c r="C1214" s="60"/>
    </row>
    <row r="1215" spans="3:3" x14ac:dyDescent="0.25">
      <c r="C1215" s="60"/>
    </row>
    <row r="1216" spans="3:3" x14ac:dyDescent="0.25">
      <c r="C1216" s="60"/>
    </row>
    <row r="1217" spans="3:3" x14ac:dyDescent="0.25">
      <c r="C1217" s="60"/>
    </row>
    <row r="1218" spans="3:3" x14ac:dyDescent="0.25">
      <c r="C1218" s="60"/>
    </row>
    <row r="1219" spans="3:3" x14ac:dyDescent="0.25">
      <c r="C1219" s="60"/>
    </row>
    <row r="1220" spans="3:3" x14ac:dyDescent="0.25">
      <c r="C1220" s="60"/>
    </row>
    <row r="1221" spans="3:3" x14ac:dyDescent="0.25">
      <c r="C1221" s="60"/>
    </row>
    <row r="1222" spans="3:3" x14ac:dyDescent="0.25">
      <c r="C1222" s="60"/>
    </row>
    <row r="1223" spans="3:3" x14ac:dyDescent="0.25">
      <c r="C1223" s="60"/>
    </row>
    <row r="1224" spans="3:3" x14ac:dyDescent="0.25">
      <c r="C1224" s="60"/>
    </row>
    <row r="1225" spans="3:3" x14ac:dyDescent="0.25">
      <c r="C1225" s="60"/>
    </row>
    <row r="1226" spans="3:3" x14ac:dyDescent="0.25">
      <c r="C1226" s="60"/>
    </row>
    <row r="1227" spans="3:3" x14ac:dyDescent="0.25">
      <c r="C1227" s="60"/>
    </row>
    <row r="1228" spans="3:3" x14ac:dyDescent="0.25">
      <c r="C1228" s="60"/>
    </row>
    <row r="1229" spans="3:3" x14ac:dyDescent="0.25">
      <c r="C1229" s="60"/>
    </row>
    <row r="1230" spans="3:3" x14ac:dyDescent="0.25">
      <c r="C1230" s="60"/>
    </row>
    <row r="1231" spans="3:3" x14ac:dyDescent="0.25">
      <c r="C1231" s="60"/>
    </row>
    <row r="1232" spans="3:3" x14ac:dyDescent="0.25">
      <c r="C1232" s="60"/>
    </row>
    <row r="1233" spans="3:3" x14ac:dyDescent="0.25">
      <c r="C1233" s="60"/>
    </row>
    <row r="1234" spans="3:3" x14ac:dyDescent="0.25">
      <c r="C1234" s="60"/>
    </row>
    <row r="1235" spans="3:3" x14ac:dyDescent="0.25">
      <c r="C1235" s="60"/>
    </row>
    <row r="1236" spans="3:3" x14ac:dyDescent="0.25">
      <c r="C1236" s="60"/>
    </row>
    <row r="1237" spans="3:3" x14ac:dyDescent="0.25">
      <c r="C1237" s="60"/>
    </row>
    <row r="1238" spans="3:3" x14ac:dyDescent="0.25">
      <c r="C1238" s="60"/>
    </row>
    <row r="1239" spans="3:3" x14ac:dyDescent="0.25">
      <c r="C1239" s="60"/>
    </row>
    <row r="1240" spans="3:3" x14ac:dyDescent="0.25">
      <c r="C1240" s="60"/>
    </row>
    <row r="1241" spans="3:3" x14ac:dyDescent="0.25">
      <c r="C1241" s="60"/>
    </row>
    <row r="1242" spans="3:3" x14ac:dyDescent="0.25">
      <c r="C1242" s="60"/>
    </row>
    <row r="1243" spans="3:3" x14ac:dyDescent="0.25">
      <c r="C1243" s="60"/>
    </row>
    <row r="1244" spans="3:3" x14ac:dyDescent="0.25">
      <c r="C1244" s="60"/>
    </row>
    <row r="1245" spans="3:3" x14ac:dyDescent="0.25">
      <c r="C1245" s="60"/>
    </row>
    <row r="1246" spans="3:3" x14ac:dyDescent="0.25">
      <c r="C1246" s="60"/>
    </row>
    <row r="1247" spans="3:3" x14ac:dyDescent="0.25">
      <c r="C1247" s="60"/>
    </row>
    <row r="1248" spans="3:3" x14ac:dyDescent="0.25">
      <c r="C1248" s="60"/>
    </row>
    <row r="1249" spans="3:3" x14ac:dyDescent="0.25">
      <c r="C1249" s="60"/>
    </row>
    <row r="1250" spans="3:3" x14ac:dyDescent="0.25">
      <c r="C1250" s="60"/>
    </row>
    <row r="1251" spans="3:3" x14ac:dyDescent="0.25">
      <c r="C1251" s="60"/>
    </row>
    <row r="1252" spans="3:3" x14ac:dyDescent="0.25">
      <c r="C1252" s="60"/>
    </row>
    <row r="1253" spans="3:3" x14ac:dyDescent="0.25">
      <c r="C1253" s="60"/>
    </row>
    <row r="1254" spans="3:3" x14ac:dyDescent="0.25">
      <c r="C1254" s="60"/>
    </row>
    <row r="1255" spans="3:3" x14ac:dyDescent="0.25">
      <c r="C1255" s="60"/>
    </row>
    <row r="1256" spans="3:3" x14ac:dyDescent="0.25">
      <c r="C1256" s="60"/>
    </row>
    <row r="1257" spans="3:3" x14ac:dyDescent="0.25">
      <c r="C1257" s="60"/>
    </row>
    <row r="1258" spans="3:3" x14ac:dyDescent="0.25">
      <c r="C1258" s="60"/>
    </row>
    <row r="1259" spans="3:3" x14ac:dyDescent="0.25">
      <c r="C1259" s="60"/>
    </row>
    <row r="1260" spans="3:3" x14ac:dyDescent="0.25">
      <c r="C1260" s="60"/>
    </row>
    <row r="1261" spans="3:3" x14ac:dyDescent="0.25">
      <c r="C1261" s="60"/>
    </row>
    <row r="1262" spans="3:3" x14ac:dyDescent="0.25">
      <c r="C1262" s="60"/>
    </row>
    <row r="1263" spans="3:3" x14ac:dyDescent="0.25">
      <c r="C1263" s="60"/>
    </row>
    <row r="1264" spans="3:3" x14ac:dyDescent="0.25">
      <c r="C1264" s="60"/>
    </row>
    <row r="1265" spans="3:3" x14ac:dyDescent="0.25">
      <c r="C1265" s="60"/>
    </row>
    <row r="1266" spans="3:3" x14ac:dyDescent="0.25">
      <c r="C1266" s="60"/>
    </row>
    <row r="1267" spans="3:3" x14ac:dyDescent="0.25">
      <c r="C1267" s="60"/>
    </row>
    <row r="1268" spans="3:3" x14ac:dyDescent="0.25">
      <c r="C1268" s="60"/>
    </row>
    <row r="1269" spans="3:3" x14ac:dyDescent="0.25">
      <c r="C1269" s="60"/>
    </row>
    <row r="1270" spans="3:3" x14ac:dyDescent="0.25">
      <c r="C1270" s="60"/>
    </row>
    <row r="1271" spans="3:3" x14ac:dyDescent="0.25">
      <c r="C1271" s="60"/>
    </row>
    <row r="1272" spans="3:3" x14ac:dyDescent="0.25">
      <c r="C1272" s="60"/>
    </row>
    <row r="1273" spans="3:3" x14ac:dyDescent="0.25">
      <c r="C1273" s="60"/>
    </row>
    <row r="1274" spans="3:3" x14ac:dyDescent="0.25">
      <c r="C1274" s="60"/>
    </row>
    <row r="1275" spans="3:3" x14ac:dyDescent="0.25">
      <c r="C1275" s="60"/>
    </row>
    <row r="1276" spans="3:3" x14ac:dyDescent="0.25">
      <c r="C1276" s="60"/>
    </row>
    <row r="1277" spans="3:3" x14ac:dyDescent="0.25">
      <c r="C1277" s="60"/>
    </row>
    <row r="1278" spans="3:3" x14ac:dyDescent="0.25">
      <c r="C1278" s="60"/>
    </row>
    <row r="1279" spans="3:3" x14ac:dyDescent="0.25">
      <c r="C1279" s="60"/>
    </row>
    <row r="1280" spans="3:3" x14ac:dyDescent="0.25">
      <c r="C1280" s="60"/>
    </row>
    <row r="1281" spans="3:3" x14ac:dyDescent="0.25">
      <c r="C1281" s="60"/>
    </row>
    <row r="1282" spans="3:3" x14ac:dyDescent="0.25">
      <c r="C1282" s="60"/>
    </row>
    <row r="1283" spans="3:3" x14ac:dyDescent="0.25">
      <c r="C1283" s="60"/>
    </row>
    <row r="1284" spans="3:3" x14ac:dyDescent="0.25">
      <c r="C1284" s="60"/>
    </row>
    <row r="1285" spans="3:3" x14ac:dyDescent="0.25">
      <c r="C1285" s="60"/>
    </row>
    <row r="1286" spans="3:3" x14ac:dyDescent="0.25">
      <c r="C1286" s="60"/>
    </row>
    <row r="1287" spans="3:3" x14ac:dyDescent="0.25">
      <c r="C1287" s="60"/>
    </row>
    <row r="1288" spans="3:3" x14ac:dyDescent="0.25">
      <c r="C1288" s="60"/>
    </row>
    <row r="1289" spans="3:3" x14ac:dyDescent="0.25">
      <c r="C1289" s="60"/>
    </row>
    <row r="1290" spans="3:3" x14ac:dyDescent="0.25">
      <c r="C1290" s="60"/>
    </row>
    <row r="1291" spans="3:3" x14ac:dyDescent="0.25">
      <c r="C1291" s="60"/>
    </row>
    <row r="1292" spans="3:3" x14ac:dyDescent="0.25">
      <c r="C1292" s="60"/>
    </row>
    <row r="1293" spans="3:3" x14ac:dyDescent="0.25">
      <c r="C1293" s="60"/>
    </row>
    <row r="1294" spans="3:3" x14ac:dyDescent="0.25">
      <c r="C1294" s="60"/>
    </row>
    <row r="1295" spans="3:3" x14ac:dyDescent="0.25">
      <c r="C1295" s="60"/>
    </row>
    <row r="1296" spans="3:3" x14ac:dyDescent="0.25">
      <c r="C1296" s="60"/>
    </row>
    <row r="1297" spans="3:3" x14ac:dyDescent="0.25">
      <c r="C1297" s="60"/>
    </row>
    <row r="1298" spans="3:3" x14ac:dyDescent="0.25">
      <c r="C1298" s="60"/>
    </row>
    <row r="1299" spans="3:3" x14ac:dyDescent="0.25">
      <c r="C1299" s="60"/>
    </row>
    <row r="1300" spans="3:3" x14ac:dyDescent="0.25">
      <c r="C1300" s="60"/>
    </row>
    <row r="1301" spans="3:3" x14ac:dyDescent="0.25">
      <c r="C1301" s="60"/>
    </row>
    <row r="1302" spans="3:3" x14ac:dyDescent="0.25">
      <c r="C1302" s="60"/>
    </row>
    <row r="1303" spans="3:3" x14ac:dyDescent="0.25">
      <c r="C1303" s="60"/>
    </row>
    <row r="1304" spans="3:3" x14ac:dyDescent="0.25">
      <c r="C1304" s="60"/>
    </row>
    <row r="1305" spans="3:3" x14ac:dyDescent="0.25">
      <c r="C1305" s="60"/>
    </row>
    <row r="1306" spans="3:3" x14ac:dyDescent="0.25">
      <c r="C1306" s="60"/>
    </row>
    <row r="1307" spans="3:3" x14ac:dyDescent="0.25">
      <c r="C1307" s="60"/>
    </row>
    <row r="1308" spans="3:3" x14ac:dyDescent="0.25">
      <c r="C1308" s="60"/>
    </row>
    <row r="1309" spans="3:3" x14ac:dyDescent="0.25">
      <c r="C1309" s="60"/>
    </row>
    <row r="1310" spans="3:3" x14ac:dyDescent="0.25">
      <c r="C1310" s="60"/>
    </row>
    <row r="1311" spans="3:3" x14ac:dyDescent="0.25">
      <c r="C1311" s="60"/>
    </row>
    <row r="1312" spans="3:3" x14ac:dyDescent="0.25">
      <c r="C1312" s="60"/>
    </row>
    <row r="1313" spans="3:3" x14ac:dyDescent="0.25">
      <c r="C1313" s="60"/>
    </row>
    <row r="1314" spans="3:3" x14ac:dyDescent="0.25">
      <c r="C1314" s="60"/>
    </row>
    <row r="1315" spans="3:3" x14ac:dyDescent="0.25">
      <c r="C1315" s="60"/>
    </row>
    <row r="1316" spans="3:3" x14ac:dyDescent="0.25">
      <c r="C1316" s="60"/>
    </row>
    <row r="1317" spans="3:3" x14ac:dyDescent="0.25">
      <c r="C1317" s="60"/>
    </row>
    <row r="1318" spans="3:3" x14ac:dyDescent="0.25">
      <c r="C1318" s="60"/>
    </row>
    <row r="1319" spans="3:3" x14ac:dyDescent="0.25">
      <c r="C1319" s="60"/>
    </row>
    <row r="1320" spans="3:3" x14ac:dyDescent="0.25">
      <c r="C1320" s="60"/>
    </row>
    <row r="1321" spans="3:3" x14ac:dyDescent="0.25">
      <c r="C1321" s="60"/>
    </row>
    <row r="1322" spans="3:3" x14ac:dyDescent="0.25">
      <c r="C1322" s="60"/>
    </row>
    <row r="1323" spans="3:3" x14ac:dyDescent="0.25">
      <c r="C1323" s="60"/>
    </row>
    <row r="1324" spans="3:3" x14ac:dyDescent="0.25">
      <c r="C1324" s="60"/>
    </row>
    <row r="1325" spans="3:3" x14ac:dyDescent="0.25">
      <c r="C1325" s="60"/>
    </row>
    <row r="1326" spans="3:3" x14ac:dyDescent="0.25">
      <c r="C1326" s="60"/>
    </row>
    <row r="1327" spans="3:3" x14ac:dyDescent="0.25">
      <c r="C1327" s="60"/>
    </row>
    <row r="1328" spans="3:3" x14ac:dyDescent="0.25">
      <c r="C1328" s="60"/>
    </row>
    <row r="1329" spans="3:3" x14ac:dyDescent="0.25">
      <c r="C1329" s="60"/>
    </row>
    <row r="1330" spans="3:3" x14ac:dyDescent="0.25">
      <c r="C1330" s="60"/>
    </row>
    <row r="1331" spans="3:3" x14ac:dyDescent="0.25">
      <c r="C1331" s="60"/>
    </row>
    <row r="1332" spans="3:3" x14ac:dyDescent="0.25">
      <c r="C1332" s="60"/>
    </row>
    <row r="1333" spans="3:3" x14ac:dyDescent="0.25">
      <c r="C1333" s="60"/>
    </row>
    <row r="1334" spans="3:3" x14ac:dyDescent="0.25">
      <c r="C1334" s="60"/>
    </row>
    <row r="1335" spans="3:3" x14ac:dyDescent="0.25">
      <c r="C1335" s="60"/>
    </row>
    <row r="1336" spans="3:3" x14ac:dyDescent="0.25">
      <c r="C1336" s="60"/>
    </row>
    <row r="1337" spans="3:3" x14ac:dyDescent="0.25">
      <c r="C1337" s="60"/>
    </row>
    <row r="1338" spans="3:3" x14ac:dyDescent="0.25">
      <c r="C1338" s="60"/>
    </row>
    <row r="1339" spans="3:3" x14ac:dyDescent="0.25">
      <c r="C1339" s="60"/>
    </row>
    <row r="1340" spans="3:3" x14ac:dyDescent="0.25">
      <c r="C1340" s="60"/>
    </row>
    <row r="1341" spans="3:3" x14ac:dyDescent="0.25">
      <c r="C1341" s="60"/>
    </row>
    <row r="1342" spans="3:3" x14ac:dyDescent="0.25">
      <c r="C1342" s="60"/>
    </row>
    <row r="1343" spans="3:3" x14ac:dyDescent="0.25">
      <c r="C1343" s="60"/>
    </row>
    <row r="1344" spans="3:3" x14ac:dyDescent="0.25">
      <c r="C1344" s="60"/>
    </row>
    <row r="1345" spans="3:3" x14ac:dyDescent="0.25">
      <c r="C1345" s="60"/>
    </row>
    <row r="1346" spans="3:3" x14ac:dyDescent="0.25">
      <c r="C1346" s="60"/>
    </row>
    <row r="1347" spans="3:3" x14ac:dyDescent="0.25">
      <c r="C1347" s="60"/>
    </row>
    <row r="1348" spans="3:3" x14ac:dyDescent="0.25">
      <c r="C1348" s="60"/>
    </row>
    <row r="1349" spans="3:3" x14ac:dyDescent="0.25">
      <c r="C1349" s="60"/>
    </row>
    <row r="1350" spans="3:3" x14ac:dyDescent="0.25">
      <c r="C1350" s="60"/>
    </row>
    <row r="1351" spans="3:3" x14ac:dyDescent="0.25">
      <c r="C1351" s="60"/>
    </row>
    <row r="1352" spans="3:3" x14ac:dyDescent="0.25">
      <c r="C1352" s="60"/>
    </row>
    <row r="1353" spans="3:3" x14ac:dyDescent="0.25">
      <c r="C1353" s="60"/>
    </row>
    <row r="1354" spans="3:3" x14ac:dyDescent="0.25">
      <c r="C1354" s="60"/>
    </row>
    <row r="1355" spans="3:3" x14ac:dyDescent="0.25">
      <c r="C1355" s="60"/>
    </row>
    <row r="1356" spans="3:3" x14ac:dyDescent="0.25">
      <c r="C1356" s="60"/>
    </row>
    <row r="1357" spans="3:3" x14ac:dyDescent="0.25">
      <c r="C1357" s="60"/>
    </row>
    <row r="1358" spans="3:3" x14ac:dyDescent="0.25">
      <c r="C1358" s="60"/>
    </row>
    <row r="1359" spans="3:3" x14ac:dyDescent="0.25">
      <c r="C1359" s="60"/>
    </row>
    <row r="1360" spans="3:3" x14ac:dyDescent="0.25">
      <c r="C1360" s="60"/>
    </row>
    <row r="1361" spans="3:3" x14ac:dyDescent="0.25">
      <c r="C1361" s="60"/>
    </row>
    <row r="1362" spans="3:3" x14ac:dyDescent="0.25">
      <c r="C1362" s="60"/>
    </row>
    <row r="1363" spans="3:3" x14ac:dyDescent="0.25">
      <c r="C1363" s="60"/>
    </row>
    <row r="1364" spans="3:3" x14ac:dyDescent="0.25">
      <c r="C1364" s="60"/>
    </row>
    <row r="1365" spans="3:3" x14ac:dyDescent="0.25">
      <c r="C1365" s="60"/>
    </row>
    <row r="1366" spans="3:3" x14ac:dyDescent="0.25">
      <c r="C1366" s="60"/>
    </row>
    <row r="1367" spans="3:3" x14ac:dyDescent="0.25">
      <c r="C1367" s="60"/>
    </row>
    <row r="1368" spans="3:3" x14ac:dyDescent="0.25">
      <c r="C1368" s="60"/>
    </row>
    <row r="1369" spans="3:3" x14ac:dyDescent="0.25">
      <c r="C1369" s="60"/>
    </row>
    <row r="1370" spans="3:3" x14ac:dyDescent="0.25">
      <c r="C1370" s="60"/>
    </row>
    <row r="1371" spans="3:3" x14ac:dyDescent="0.25">
      <c r="C1371" s="60"/>
    </row>
    <row r="1372" spans="3:3" x14ac:dyDescent="0.25">
      <c r="C1372" s="60"/>
    </row>
    <row r="1373" spans="3:3" x14ac:dyDescent="0.25">
      <c r="C1373" s="60"/>
    </row>
    <row r="1374" spans="3:3" x14ac:dyDescent="0.25">
      <c r="C1374" s="60"/>
    </row>
    <row r="1375" spans="3:3" x14ac:dyDescent="0.25">
      <c r="C1375" s="60"/>
    </row>
    <row r="1376" spans="3:3" x14ac:dyDescent="0.25">
      <c r="C1376" s="60"/>
    </row>
    <row r="1377" spans="3:3" x14ac:dyDescent="0.25">
      <c r="C1377" s="60"/>
    </row>
    <row r="1378" spans="3:3" x14ac:dyDescent="0.25">
      <c r="C1378" s="60"/>
    </row>
    <row r="1379" spans="3:3" x14ac:dyDescent="0.25">
      <c r="C1379" s="60"/>
    </row>
    <row r="1380" spans="3:3" x14ac:dyDescent="0.25">
      <c r="C1380" s="60"/>
    </row>
    <row r="1381" spans="3:3" x14ac:dyDescent="0.25">
      <c r="C1381" s="60"/>
    </row>
    <row r="1382" spans="3:3" x14ac:dyDescent="0.25">
      <c r="C1382" s="60"/>
    </row>
    <row r="1383" spans="3:3" x14ac:dyDescent="0.25">
      <c r="C1383" s="60"/>
    </row>
    <row r="1384" spans="3:3" x14ac:dyDescent="0.25">
      <c r="C1384" s="60"/>
    </row>
    <row r="1385" spans="3:3" x14ac:dyDescent="0.25">
      <c r="C1385" s="60"/>
    </row>
    <row r="1386" spans="3:3" x14ac:dyDescent="0.25">
      <c r="C1386" s="60"/>
    </row>
    <row r="1387" spans="3:3" x14ac:dyDescent="0.25">
      <c r="C1387" s="60"/>
    </row>
    <row r="1388" spans="3:3" x14ac:dyDescent="0.25">
      <c r="C1388" s="60"/>
    </row>
    <row r="1389" spans="3:3" x14ac:dyDescent="0.25">
      <c r="C1389" s="60"/>
    </row>
    <row r="1390" spans="3:3" x14ac:dyDescent="0.25">
      <c r="C1390" s="60"/>
    </row>
    <row r="1391" spans="3:3" x14ac:dyDescent="0.25">
      <c r="C1391" s="60"/>
    </row>
    <row r="1392" spans="3:3" x14ac:dyDescent="0.25">
      <c r="C1392" s="60"/>
    </row>
    <row r="1393" spans="3:3" x14ac:dyDescent="0.25">
      <c r="C1393" s="60"/>
    </row>
    <row r="1394" spans="3:3" x14ac:dyDescent="0.25">
      <c r="C1394" s="60"/>
    </row>
    <row r="1395" spans="3:3" x14ac:dyDescent="0.25">
      <c r="C1395" s="60"/>
    </row>
    <row r="1396" spans="3:3" x14ac:dyDescent="0.25">
      <c r="C1396" s="60"/>
    </row>
    <row r="1397" spans="3:3" x14ac:dyDescent="0.25">
      <c r="C1397" s="60"/>
    </row>
    <row r="1398" spans="3:3" x14ac:dyDescent="0.25">
      <c r="C1398" s="60"/>
    </row>
    <row r="1399" spans="3:3" x14ac:dyDescent="0.25">
      <c r="C1399" s="60"/>
    </row>
    <row r="1400" spans="3:3" x14ac:dyDescent="0.25">
      <c r="C1400" s="60"/>
    </row>
    <row r="1401" spans="3:3" x14ac:dyDescent="0.25">
      <c r="C1401" s="60"/>
    </row>
    <row r="1402" spans="3:3" x14ac:dyDescent="0.25">
      <c r="C1402" s="60"/>
    </row>
    <row r="1403" spans="3:3" x14ac:dyDescent="0.25">
      <c r="C1403" s="60"/>
    </row>
    <row r="1404" spans="3:3" x14ac:dyDescent="0.25">
      <c r="C1404" s="60"/>
    </row>
    <row r="1405" spans="3:3" x14ac:dyDescent="0.25">
      <c r="C1405" s="60"/>
    </row>
    <row r="1406" spans="3:3" x14ac:dyDescent="0.25">
      <c r="C1406" s="60"/>
    </row>
    <row r="1407" spans="3:3" x14ac:dyDescent="0.25">
      <c r="C1407" s="60"/>
    </row>
    <row r="1408" spans="3:3" x14ac:dyDescent="0.25">
      <c r="C1408" s="60"/>
    </row>
    <row r="1409" spans="3:3" x14ac:dyDescent="0.25">
      <c r="C1409" s="60"/>
    </row>
  </sheetData>
  <mergeCells count="263">
    <mergeCell ref="U6:Y6"/>
    <mergeCell ref="U8:Y9"/>
    <mergeCell ref="Q37:Q38"/>
    <mergeCell ref="D35:G35"/>
    <mergeCell ref="H35:K35"/>
    <mergeCell ref="L52:O52"/>
    <mergeCell ref="P47:P48"/>
    <mergeCell ref="Q47:Q48"/>
    <mergeCell ref="Q54:Q55"/>
    <mergeCell ref="L45:O45"/>
    <mergeCell ref="Q33:Q34"/>
    <mergeCell ref="P54:P55"/>
    <mergeCell ref="Q49:Q50"/>
    <mergeCell ref="D43:G43"/>
    <mergeCell ref="P33:P34"/>
    <mergeCell ref="Q41:Q42"/>
    <mergeCell ref="Q14:Q15"/>
    <mergeCell ref="D16:G16"/>
    <mergeCell ref="Q19:Q20"/>
    <mergeCell ref="H16:K16"/>
    <mergeCell ref="L16:O16"/>
    <mergeCell ref="Q23:Q24"/>
    <mergeCell ref="P23:P24"/>
    <mergeCell ref="Q21:Q22"/>
    <mergeCell ref="Q88:Q89"/>
    <mergeCell ref="D91:G91"/>
    <mergeCell ref="D56:G56"/>
    <mergeCell ref="H56:K56"/>
    <mergeCell ref="L56:O56"/>
    <mergeCell ref="L63:O63"/>
    <mergeCell ref="D57:G57"/>
    <mergeCell ref="H57:K57"/>
    <mergeCell ref="L57:O57"/>
    <mergeCell ref="Q58:Q59"/>
    <mergeCell ref="P58:P59"/>
    <mergeCell ref="P88:P89"/>
    <mergeCell ref="H91:K91"/>
    <mergeCell ref="L91:O91"/>
    <mergeCell ref="L85:O85"/>
    <mergeCell ref="D90:G90"/>
    <mergeCell ref="H90:K90"/>
    <mergeCell ref="L90:O90"/>
    <mergeCell ref="D84:G84"/>
    <mergeCell ref="H84:K84"/>
    <mergeCell ref="L84:O84"/>
    <mergeCell ref="H87:K87"/>
    <mergeCell ref="L87:O87"/>
    <mergeCell ref="D85:G85"/>
    <mergeCell ref="H82:K82"/>
    <mergeCell ref="L82:O82"/>
    <mergeCell ref="D96:G96"/>
    <mergeCell ref="H96:K96"/>
    <mergeCell ref="L96:O96"/>
    <mergeCell ref="D92:G92"/>
    <mergeCell ref="H92:K92"/>
    <mergeCell ref="L92:O92"/>
    <mergeCell ref="D93:G93"/>
    <mergeCell ref="H93:K93"/>
    <mergeCell ref="L93:O93"/>
    <mergeCell ref="D94:G94"/>
    <mergeCell ref="H94:K94"/>
    <mergeCell ref="L94:O94"/>
    <mergeCell ref="D95:G95"/>
    <mergeCell ref="H95:K95"/>
    <mergeCell ref="L95:O95"/>
    <mergeCell ref="D86:G86"/>
    <mergeCell ref="H86:K86"/>
    <mergeCell ref="L86:O86"/>
    <mergeCell ref="H85:K85"/>
    <mergeCell ref="A58:A59"/>
    <mergeCell ref="L35:O35"/>
    <mergeCell ref="L40:O40"/>
    <mergeCell ref="D83:G83"/>
    <mergeCell ref="H83:K83"/>
    <mergeCell ref="L83:O83"/>
    <mergeCell ref="Q74:Q75"/>
    <mergeCell ref="P76:P77"/>
    <mergeCell ref="B78:B79"/>
    <mergeCell ref="Q78:Q79"/>
    <mergeCell ref="P78:P79"/>
    <mergeCell ref="A78:A79"/>
    <mergeCell ref="B80:B81"/>
    <mergeCell ref="Q80:Q81"/>
    <mergeCell ref="P80:P81"/>
    <mergeCell ref="B76:B77"/>
    <mergeCell ref="Q76:Q77"/>
    <mergeCell ref="B74:B75"/>
    <mergeCell ref="P74:P75"/>
    <mergeCell ref="A71:A72"/>
    <mergeCell ref="B71:B72"/>
    <mergeCell ref="Q71:Q72"/>
    <mergeCell ref="P71:P72"/>
    <mergeCell ref="D82:G82"/>
    <mergeCell ref="A88:A89"/>
    <mergeCell ref="B88:B89"/>
    <mergeCell ref="A76:A77"/>
    <mergeCell ref="D87:G87"/>
    <mergeCell ref="D33:G33"/>
    <mergeCell ref="A37:A38"/>
    <mergeCell ref="B37:B38"/>
    <mergeCell ref="H33:K33"/>
    <mergeCell ref="L33:O33"/>
    <mergeCell ref="L62:O62"/>
    <mergeCell ref="B58:B59"/>
    <mergeCell ref="D73:G73"/>
    <mergeCell ref="H73:K73"/>
    <mergeCell ref="L73:O73"/>
    <mergeCell ref="A54:A55"/>
    <mergeCell ref="B54:B55"/>
    <mergeCell ref="A66:A67"/>
    <mergeCell ref="B66:B67"/>
    <mergeCell ref="A74:A75"/>
    <mergeCell ref="A80:A81"/>
    <mergeCell ref="A64:A65"/>
    <mergeCell ref="A33:A34"/>
    <mergeCell ref="B33:B34"/>
    <mergeCell ref="C33:C34"/>
    <mergeCell ref="Q4:Q5"/>
    <mergeCell ref="P4:P5"/>
    <mergeCell ref="C4:C5"/>
    <mergeCell ref="B7:B8"/>
    <mergeCell ref="P7:P8"/>
    <mergeCell ref="Q9:Q10"/>
    <mergeCell ref="P9:P10"/>
    <mergeCell ref="Q7:Q8"/>
    <mergeCell ref="A7:A8"/>
    <mergeCell ref="A9:A10"/>
    <mergeCell ref="B9:B10"/>
    <mergeCell ref="A4:A5"/>
    <mergeCell ref="B4:B5"/>
    <mergeCell ref="D4:G4"/>
    <mergeCell ref="H4:K4"/>
    <mergeCell ref="L4:O4"/>
    <mergeCell ref="A14:A15"/>
    <mergeCell ref="B14:B15"/>
    <mergeCell ref="D11:G11"/>
    <mergeCell ref="H11:K11"/>
    <mergeCell ref="L11:O11"/>
    <mergeCell ref="A12:A13"/>
    <mergeCell ref="L60:O60"/>
    <mergeCell ref="D68:G68"/>
    <mergeCell ref="D63:G63"/>
    <mergeCell ref="H63:K63"/>
    <mergeCell ref="L68:O68"/>
    <mergeCell ref="H68:K68"/>
    <mergeCell ref="Q66:Q67"/>
    <mergeCell ref="P66:P67"/>
    <mergeCell ref="L61:O61"/>
    <mergeCell ref="D62:G62"/>
    <mergeCell ref="H62:K62"/>
    <mergeCell ref="P64:P65"/>
    <mergeCell ref="D61:G61"/>
    <mergeCell ref="H61:K61"/>
    <mergeCell ref="D60:G60"/>
    <mergeCell ref="A1:R1"/>
    <mergeCell ref="R4:R5"/>
    <mergeCell ref="A2:R2"/>
    <mergeCell ref="A3:R3"/>
    <mergeCell ref="A98:H98"/>
    <mergeCell ref="L6:O6"/>
    <mergeCell ref="D6:G6"/>
    <mergeCell ref="H6:K6"/>
    <mergeCell ref="D53:G53"/>
    <mergeCell ref="H53:K53"/>
    <mergeCell ref="L53:O53"/>
    <mergeCell ref="D51:G51"/>
    <mergeCell ref="H51:K51"/>
    <mergeCell ref="L51:O51"/>
    <mergeCell ref="H46:K46"/>
    <mergeCell ref="L46:O46"/>
    <mergeCell ref="H43:K43"/>
    <mergeCell ref="L43:O43"/>
    <mergeCell ref="D39:G39"/>
    <mergeCell ref="H39:K39"/>
    <mergeCell ref="L39:O39"/>
    <mergeCell ref="B64:B65"/>
    <mergeCell ref="Q64:Q65"/>
    <mergeCell ref="H60:K60"/>
    <mergeCell ref="H52:K52"/>
    <mergeCell ref="B49:B50"/>
    <mergeCell ref="P37:P38"/>
    <mergeCell ref="B47:B48"/>
    <mergeCell ref="H40:K40"/>
    <mergeCell ref="D52:G52"/>
    <mergeCell ref="B25:B26"/>
    <mergeCell ref="P25:P26"/>
    <mergeCell ref="D27:G27"/>
    <mergeCell ref="H27:K27"/>
    <mergeCell ref="L27:O27"/>
    <mergeCell ref="D36:G36"/>
    <mergeCell ref="H36:K36"/>
    <mergeCell ref="L36:O36"/>
    <mergeCell ref="D46:G46"/>
    <mergeCell ref="D45:G45"/>
    <mergeCell ref="H44:K44"/>
    <mergeCell ref="L44:O44"/>
    <mergeCell ref="H45:K45"/>
    <mergeCell ref="B41:B42"/>
    <mergeCell ref="P41:P42"/>
    <mergeCell ref="A49:A50"/>
    <mergeCell ref="A25:A26"/>
    <mergeCell ref="A47:A48"/>
    <mergeCell ref="P49:P50"/>
    <mergeCell ref="D44:G44"/>
    <mergeCell ref="R7:R8"/>
    <mergeCell ref="B23:B24"/>
    <mergeCell ref="R9:R10"/>
    <mergeCell ref="R14:R15"/>
    <mergeCell ref="R19:R20"/>
    <mergeCell ref="R21:R22"/>
    <mergeCell ref="R33:R34"/>
    <mergeCell ref="R37:R38"/>
    <mergeCell ref="A41:A42"/>
    <mergeCell ref="A21:A22"/>
    <mergeCell ref="P14:P15"/>
    <mergeCell ref="P21:P22"/>
    <mergeCell ref="P19:P20"/>
    <mergeCell ref="B21:B22"/>
    <mergeCell ref="A19:A20"/>
    <mergeCell ref="B19:B20"/>
    <mergeCell ref="P30:P31"/>
    <mergeCell ref="Q30:Q31"/>
    <mergeCell ref="Q28:Q29"/>
    <mergeCell ref="A28:A29"/>
    <mergeCell ref="B28:B29"/>
    <mergeCell ref="P28:P29"/>
    <mergeCell ref="Q25:Q26"/>
    <mergeCell ref="A23:A24"/>
    <mergeCell ref="D40:G40"/>
    <mergeCell ref="R74:R75"/>
    <mergeCell ref="R76:R77"/>
    <mergeCell ref="R78:R79"/>
    <mergeCell ref="R80:R81"/>
    <mergeCell ref="R88:R89"/>
    <mergeCell ref="R54:R55"/>
    <mergeCell ref="R58:R59"/>
    <mergeCell ref="R64:R65"/>
    <mergeCell ref="R66:R67"/>
    <mergeCell ref="R71:R72"/>
    <mergeCell ref="A69:A70"/>
    <mergeCell ref="B69:B70"/>
    <mergeCell ref="P69:P70"/>
    <mergeCell ref="Q69:Q70"/>
    <mergeCell ref="R69:R70"/>
    <mergeCell ref="B12:B13"/>
    <mergeCell ref="P12:P13"/>
    <mergeCell ref="Q12:Q13"/>
    <mergeCell ref="R12:R13"/>
    <mergeCell ref="A17:A18"/>
    <mergeCell ref="B17:B18"/>
    <mergeCell ref="P17:P18"/>
    <mergeCell ref="Q17:Q18"/>
    <mergeCell ref="R17:R18"/>
    <mergeCell ref="R41:R42"/>
    <mergeCell ref="R47:R48"/>
    <mergeCell ref="R49:R50"/>
    <mergeCell ref="R23:R24"/>
    <mergeCell ref="R25:R26"/>
    <mergeCell ref="R28:R29"/>
    <mergeCell ref="A32:R32"/>
    <mergeCell ref="A30:A31"/>
    <mergeCell ref="B30:B31"/>
    <mergeCell ref="R30:R31"/>
  </mergeCells>
  <conditionalFormatting sqref="B4:B11 B14:B16 B19:B29">
    <cfRule type="cellIs" dxfId="22" priority="94" operator="equal">
      <formula>#REF!</formula>
    </cfRule>
  </conditionalFormatting>
  <conditionalFormatting sqref="B33:B34 B99:B1048576">
    <cfRule type="cellIs" dxfId="21" priority="97" operator="equal">
      <formula>#REF!</formula>
    </cfRule>
  </conditionalFormatting>
  <conditionalFormatting sqref="B36:B68 B71:B89">
    <cfRule type="cellIs" dxfId="20" priority="10" operator="equal">
      <formula>#REF!</formula>
    </cfRule>
  </conditionalFormatting>
  <conditionalFormatting sqref="B12:B13">
    <cfRule type="cellIs" dxfId="19" priority="6" operator="equal">
      <formula>#REF!</formula>
    </cfRule>
  </conditionalFormatting>
  <conditionalFormatting sqref="B17:B18">
    <cfRule type="cellIs" dxfId="18" priority="4" operator="equal">
      <formula>#REF!</formula>
    </cfRule>
  </conditionalFormatting>
  <conditionalFormatting sqref="B69:B70">
    <cfRule type="cellIs" dxfId="17" priority="2" operator="equal">
      <formula>#REF!</formula>
    </cfRule>
  </conditionalFormatting>
  <pageMargins left="4.4531250000000001E-2" right="0.28203125000000001" top="0.75" bottom="0.75" header="0.3" footer="0.3"/>
  <pageSetup scale="57" orientation="portrait" r:id="rId1"/>
  <extLst>
    <ext xmlns:x14="http://schemas.microsoft.com/office/spreadsheetml/2009/9/main" uri="{78C0D931-6437-407d-A8EE-F0AAD7539E65}">
      <x14:conditionalFormattings>
        <x14:conditionalFormatting xmlns:xm="http://schemas.microsoft.com/office/excel/2006/main">
          <x14:cfRule type="cellIs" priority="11" operator="equal" id="{08886F83-3676-468E-AAB0-DE45E72C28A3}">
            <xm:f>'مركز الاستشارات الدوائية '!#REF!</xm:f>
            <x14:dxf>
              <font>
                <color rgb="FF9C0006"/>
              </font>
              <fill>
                <patternFill>
                  <bgColor rgb="FFFFC7CE"/>
                </patternFill>
              </fill>
            </x14:dxf>
          </x14:cfRule>
          <xm:sqref>C6:C11 C14:C16 C19:C31</xm:sqref>
        </x14:conditionalFormatting>
        <x14:conditionalFormatting xmlns:xm="http://schemas.microsoft.com/office/excel/2006/main">
          <x14:cfRule type="cellIs" priority="8" operator="equal" id="{29B138CA-89CD-4B04-9C21-0E92A2534002}">
            <xm:f>'مركز الاستشارات الدوائية '!#REF!</xm:f>
            <x14:dxf>
              <font>
                <color rgb="FF9C0006"/>
              </font>
              <fill>
                <patternFill>
                  <bgColor rgb="FFFFC7CE"/>
                </patternFill>
              </fill>
            </x14:dxf>
          </x14:cfRule>
          <xm:sqref>C35:C68 C71:C97</xm:sqref>
        </x14:conditionalFormatting>
        <x14:conditionalFormatting xmlns:xm="http://schemas.microsoft.com/office/excel/2006/main">
          <x14:cfRule type="cellIs" priority="5" operator="equal" id="{DDBC3469-4D3A-4295-A38E-4D905EA9F2F5}">
            <xm:f>'مركز الاستشارات الدوائية '!#REF!</xm:f>
            <x14:dxf>
              <font>
                <color rgb="FF9C0006"/>
              </font>
              <fill>
                <patternFill>
                  <bgColor rgb="FFFFC7CE"/>
                </patternFill>
              </fill>
            </x14:dxf>
          </x14:cfRule>
          <xm:sqref>C12:C13</xm:sqref>
        </x14:conditionalFormatting>
        <x14:conditionalFormatting xmlns:xm="http://schemas.microsoft.com/office/excel/2006/main">
          <x14:cfRule type="cellIs" priority="3" operator="equal" id="{F918992E-1BBD-40AD-A028-8D033EE0A7AD}">
            <xm:f>'مركز الاستشارات الدوائية '!#REF!</xm:f>
            <x14:dxf>
              <font>
                <color rgb="FF9C0006"/>
              </font>
              <fill>
                <patternFill>
                  <bgColor rgb="FFFFC7CE"/>
                </patternFill>
              </fill>
            </x14:dxf>
          </x14:cfRule>
          <xm:sqref>C17:C18</xm:sqref>
        </x14:conditionalFormatting>
        <x14:conditionalFormatting xmlns:xm="http://schemas.microsoft.com/office/excel/2006/main">
          <x14:cfRule type="cellIs" priority="1" operator="equal" id="{7E420E0A-A2DF-469D-8A15-8AAA68694AF9}">
            <xm:f>'مركز الاستشارات الدوائية '!#REF!</xm:f>
            <x14:dxf>
              <font>
                <color rgb="FF9C0006"/>
              </font>
              <fill>
                <patternFill>
                  <bgColor rgb="FFFFC7CE"/>
                </patternFill>
              </fill>
            </x14:dxf>
          </x14:cfRule>
          <xm:sqref>C69:C70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U1399"/>
  <sheetViews>
    <sheetView showGridLines="0" rightToLeft="1" topLeftCell="A46" zoomScale="85" zoomScaleNormal="85" zoomScalePageLayoutView="85" workbookViewId="0">
      <selection activeCell="R56" sqref="R56:R57"/>
    </sheetView>
  </sheetViews>
  <sheetFormatPr defaultColWidth="8.85546875" defaultRowHeight="18.75" x14ac:dyDescent="0.45"/>
  <cols>
    <col min="1" max="1" width="8.85546875" style="3"/>
    <col min="2" max="2" width="37.7109375" style="14" customWidth="1"/>
    <col min="3" max="3" width="15.85546875" style="12" bestFit="1" customWidth="1"/>
    <col min="4" max="4" width="6.85546875" style="18" bestFit="1" customWidth="1"/>
    <col min="5" max="5" width="8.140625" style="4" bestFit="1" customWidth="1"/>
    <col min="6" max="6" width="7.85546875" style="4" bestFit="1" customWidth="1"/>
    <col min="7" max="7" width="7.28515625" style="4" bestFit="1" customWidth="1"/>
    <col min="8" max="8" width="6.85546875" style="4" bestFit="1" customWidth="1"/>
    <col min="9" max="9" width="8.140625" style="4" bestFit="1" customWidth="1"/>
    <col min="10" max="10" width="7.85546875" style="4" bestFit="1" customWidth="1"/>
    <col min="11" max="11" width="7.28515625" style="4" bestFit="1" customWidth="1"/>
    <col min="12" max="12" width="6.85546875" style="4" bestFit="1" customWidth="1"/>
    <col min="13" max="13" width="8.140625" style="4" bestFit="1" customWidth="1"/>
    <col min="14" max="14" width="7.85546875" style="4" bestFit="1" customWidth="1"/>
    <col min="15" max="15" width="7.28515625" style="4" bestFit="1" customWidth="1"/>
    <col min="16" max="16" width="8.5703125" style="4" bestFit="1" customWidth="1"/>
    <col min="17" max="17" width="42.42578125" style="4" bestFit="1" customWidth="1"/>
    <col min="18" max="18" width="30.5703125" style="88" customWidth="1"/>
    <col min="19" max="16384" width="8.85546875" style="2"/>
  </cols>
  <sheetData>
    <row r="1" spans="1:21" s="73" customFormat="1" ht="51" customHeight="1" x14ac:dyDescent="0.25">
      <c r="A1" s="129" t="s">
        <v>633</v>
      </c>
      <c r="B1" s="130"/>
      <c r="C1" s="130"/>
      <c r="D1" s="130"/>
      <c r="E1" s="130"/>
      <c r="F1" s="130"/>
      <c r="G1" s="130"/>
      <c r="H1" s="130"/>
      <c r="I1" s="130"/>
      <c r="J1" s="130"/>
      <c r="K1" s="130"/>
      <c r="L1" s="130"/>
      <c r="M1" s="130"/>
      <c r="N1" s="130"/>
      <c r="O1" s="130"/>
      <c r="P1" s="130"/>
      <c r="Q1" s="130"/>
      <c r="R1" s="130"/>
    </row>
    <row r="2" spans="1:21" s="1" customFormat="1" ht="19.5" customHeight="1" thickBot="1" x14ac:dyDescent="0.5">
      <c r="A2" s="133" t="s">
        <v>529</v>
      </c>
      <c r="B2" s="134"/>
      <c r="C2" s="134"/>
      <c r="D2" s="134"/>
      <c r="E2" s="134"/>
      <c r="F2" s="134"/>
      <c r="G2" s="134"/>
      <c r="H2" s="134"/>
      <c r="I2" s="134"/>
      <c r="J2" s="134"/>
      <c r="K2" s="134"/>
      <c r="L2" s="134"/>
      <c r="M2" s="134"/>
      <c r="N2" s="134"/>
      <c r="O2" s="134"/>
      <c r="P2" s="134"/>
      <c r="Q2" s="134"/>
      <c r="R2" s="134"/>
      <c r="S2" s="2"/>
      <c r="T2" s="2"/>
      <c r="U2" s="2"/>
    </row>
    <row r="3" spans="1:21" s="1" customFormat="1" ht="19.5" customHeight="1" thickBot="1" x14ac:dyDescent="0.5">
      <c r="A3" s="165" t="s">
        <v>4</v>
      </c>
      <c r="B3" s="167" t="s">
        <v>3</v>
      </c>
      <c r="C3" s="212" t="s">
        <v>406</v>
      </c>
      <c r="D3" s="169" t="s">
        <v>2</v>
      </c>
      <c r="E3" s="170"/>
      <c r="F3" s="170"/>
      <c r="G3" s="171"/>
      <c r="H3" s="169" t="s">
        <v>1</v>
      </c>
      <c r="I3" s="170"/>
      <c r="J3" s="170"/>
      <c r="K3" s="171"/>
      <c r="L3" s="169" t="s">
        <v>0</v>
      </c>
      <c r="M3" s="170"/>
      <c r="N3" s="170"/>
      <c r="O3" s="171"/>
      <c r="P3" s="167" t="s">
        <v>405</v>
      </c>
      <c r="Q3" s="167" t="s">
        <v>37</v>
      </c>
      <c r="R3" s="128" t="s">
        <v>632</v>
      </c>
      <c r="S3" s="2"/>
      <c r="T3" s="2"/>
      <c r="U3" s="2"/>
    </row>
    <row r="4" spans="1:21" s="1" customFormat="1" ht="19.5" customHeight="1" thickBot="1" x14ac:dyDescent="0.5">
      <c r="A4" s="166"/>
      <c r="B4" s="168"/>
      <c r="C4" s="213"/>
      <c r="D4" s="16" t="s">
        <v>8</v>
      </c>
      <c r="E4" s="17" t="s">
        <v>7</v>
      </c>
      <c r="F4" s="17" t="s">
        <v>6</v>
      </c>
      <c r="G4" s="17" t="s">
        <v>5</v>
      </c>
      <c r="H4" s="17" t="s">
        <v>8</v>
      </c>
      <c r="I4" s="17" t="s">
        <v>7</v>
      </c>
      <c r="J4" s="17" t="s">
        <v>6</v>
      </c>
      <c r="K4" s="17" t="s">
        <v>5</v>
      </c>
      <c r="L4" s="17" t="s">
        <v>8</v>
      </c>
      <c r="M4" s="17" t="s">
        <v>7</v>
      </c>
      <c r="N4" s="17" t="s">
        <v>6</v>
      </c>
      <c r="O4" s="17" t="s">
        <v>5</v>
      </c>
      <c r="P4" s="168"/>
      <c r="Q4" s="168"/>
      <c r="R4" s="128"/>
      <c r="S4" s="2"/>
      <c r="T4" s="2"/>
      <c r="U4" s="2"/>
    </row>
    <row r="5" spans="1:21" customFormat="1" ht="47.25" customHeight="1" thickBot="1" x14ac:dyDescent="0.3">
      <c r="A5" s="58" t="s">
        <v>345</v>
      </c>
      <c r="B5" s="19" t="s">
        <v>29</v>
      </c>
      <c r="C5" s="5" t="s">
        <v>414</v>
      </c>
      <c r="D5" s="211">
        <v>40000</v>
      </c>
      <c r="E5" s="208"/>
      <c r="F5" s="208"/>
      <c r="G5" s="209"/>
      <c r="H5" s="207">
        <f>D5-(D5*20/100)</f>
        <v>32000</v>
      </c>
      <c r="I5" s="208"/>
      <c r="J5" s="208"/>
      <c r="K5" s="209"/>
      <c r="L5" s="207">
        <f>D5-(D5*40/100)</f>
        <v>24000</v>
      </c>
      <c r="M5" s="208"/>
      <c r="N5" s="208"/>
      <c r="O5" s="209"/>
      <c r="P5" s="20" t="s">
        <v>9</v>
      </c>
      <c r="Q5" s="10" t="s">
        <v>69</v>
      </c>
      <c r="R5" s="74" t="s">
        <v>647</v>
      </c>
    </row>
    <row r="6" spans="1:21" s="15" customFormat="1" ht="18" customHeight="1" x14ac:dyDescent="0.45">
      <c r="A6" s="140" t="s">
        <v>347</v>
      </c>
      <c r="B6" s="142" t="s">
        <v>36</v>
      </c>
      <c r="C6" s="6" t="s">
        <v>415</v>
      </c>
      <c r="D6" s="10">
        <v>2000</v>
      </c>
      <c r="E6" s="11">
        <f>D6-(D6*10/100)</f>
        <v>1800</v>
      </c>
      <c r="F6" s="11">
        <f>D6-(D6*20/100)</f>
        <v>1600</v>
      </c>
      <c r="G6" s="11">
        <f>D6-(D6*30/100)</f>
        <v>1400</v>
      </c>
      <c r="H6" s="11">
        <f>D6-(D6*10/100)</f>
        <v>1800</v>
      </c>
      <c r="I6" s="11">
        <f>H6-(H6*10/100)</f>
        <v>1620</v>
      </c>
      <c r="J6" s="11">
        <f>H6-(H6*20/100)</f>
        <v>1440</v>
      </c>
      <c r="K6" s="11">
        <f>H6-(H6*30/100)</f>
        <v>1260</v>
      </c>
      <c r="L6" s="11">
        <f>D6-(D6*20/100)</f>
        <v>1600</v>
      </c>
      <c r="M6" s="11">
        <f>L6-(L6*10/100)</f>
        <v>1440</v>
      </c>
      <c r="N6" s="11">
        <f>L6-(L6*20/100)</f>
        <v>1280</v>
      </c>
      <c r="O6" s="11">
        <f>L6-(L6*30/100)</f>
        <v>1120</v>
      </c>
      <c r="P6" s="148" t="s">
        <v>10</v>
      </c>
      <c r="Q6" s="214" t="s">
        <v>69</v>
      </c>
      <c r="R6" s="181" t="s">
        <v>682</v>
      </c>
      <c r="S6"/>
      <c r="T6"/>
      <c r="U6"/>
    </row>
    <row r="7" spans="1:21" customFormat="1" ht="18.75" customHeight="1" thickBot="1" x14ac:dyDescent="0.3">
      <c r="A7" s="141"/>
      <c r="B7" s="143"/>
      <c r="C7" s="7" t="s">
        <v>416</v>
      </c>
      <c r="D7" s="11">
        <f t="shared" ref="D7:O7" si="0">D6*50/100</f>
        <v>1000</v>
      </c>
      <c r="E7" s="11">
        <f t="shared" si="0"/>
        <v>900</v>
      </c>
      <c r="F7" s="11">
        <f t="shared" si="0"/>
        <v>800</v>
      </c>
      <c r="G7" s="11">
        <f t="shared" si="0"/>
        <v>700</v>
      </c>
      <c r="H7" s="11">
        <f t="shared" si="0"/>
        <v>900</v>
      </c>
      <c r="I7" s="11">
        <f t="shared" si="0"/>
        <v>810</v>
      </c>
      <c r="J7" s="11">
        <f t="shared" si="0"/>
        <v>720</v>
      </c>
      <c r="K7" s="11">
        <f t="shared" si="0"/>
        <v>630</v>
      </c>
      <c r="L7" s="11">
        <f t="shared" si="0"/>
        <v>800</v>
      </c>
      <c r="M7" s="11">
        <f t="shared" si="0"/>
        <v>720</v>
      </c>
      <c r="N7" s="11">
        <f t="shared" si="0"/>
        <v>640</v>
      </c>
      <c r="O7" s="11">
        <f t="shared" si="0"/>
        <v>560</v>
      </c>
      <c r="P7" s="149"/>
      <c r="Q7" s="215"/>
      <c r="R7" s="181"/>
    </row>
    <row r="8" spans="1:21" customFormat="1" ht="47.25" customHeight="1" thickBot="1" x14ac:dyDescent="0.3">
      <c r="A8" s="58" t="s">
        <v>348</v>
      </c>
      <c r="B8" s="19" t="s">
        <v>75</v>
      </c>
      <c r="C8" s="5" t="s">
        <v>414</v>
      </c>
      <c r="D8" s="211">
        <v>30000</v>
      </c>
      <c r="E8" s="208"/>
      <c r="F8" s="208"/>
      <c r="G8" s="209"/>
      <c r="H8" s="207">
        <f>D8-(D8*20/100)</f>
        <v>24000</v>
      </c>
      <c r="I8" s="208"/>
      <c r="J8" s="208"/>
      <c r="K8" s="209"/>
      <c r="L8" s="207">
        <f>D8-(D8*40/100)</f>
        <v>18000</v>
      </c>
      <c r="M8" s="208"/>
      <c r="N8" s="208"/>
      <c r="O8" s="209"/>
      <c r="P8" s="20" t="s">
        <v>9</v>
      </c>
      <c r="Q8" s="10" t="s">
        <v>69</v>
      </c>
      <c r="R8" s="74" t="s">
        <v>638</v>
      </c>
    </row>
    <row r="9" spans="1:21" s="15" customFormat="1" ht="18" customHeight="1" x14ac:dyDescent="0.45">
      <c r="A9" s="140" t="s">
        <v>349</v>
      </c>
      <c r="B9" s="142" t="s">
        <v>74</v>
      </c>
      <c r="C9" s="6" t="s">
        <v>415</v>
      </c>
      <c r="D9" s="10">
        <v>2000</v>
      </c>
      <c r="E9" s="11">
        <f t="shared" ref="E9:E15" si="1">D9-(D9*10/100)</f>
        <v>1800</v>
      </c>
      <c r="F9" s="11">
        <f>D9-(D9*20/100)</f>
        <v>1600</v>
      </c>
      <c r="G9" s="11">
        <f>D9-(D9*30/100)</f>
        <v>1400</v>
      </c>
      <c r="H9" s="11">
        <f>D9-(D9*10/100)</f>
        <v>1800</v>
      </c>
      <c r="I9" s="11">
        <f>H9-(H9*10/100)</f>
        <v>1620</v>
      </c>
      <c r="J9" s="11">
        <f>H9-(H9*20/100)</f>
        <v>1440</v>
      </c>
      <c r="K9" s="11">
        <f>H9-(H9*30/100)</f>
        <v>1260</v>
      </c>
      <c r="L9" s="11">
        <f>D9-(D9*20/100)</f>
        <v>1600</v>
      </c>
      <c r="M9" s="11">
        <f>L9-(L9*10/100)</f>
        <v>1440</v>
      </c>
      <c r="N9" s="11">
        <f>L9-(L9*20/100)</f>
        <v>1280</v>
      </c>
      <c r="O9" s="11">
        <f>L9-(L9*30/100)</f>
        <v>1120</v>
      </c>
      <c r="P9" s="148" t="s">
        <v>10</v>
      </c>
      <c r="Q9" s="205" t="s">
        <v>69</v>
      </c>
      <c r="R9" s="210" t="s">
        <v>638</v>
      </c>
      <c r="S9"/>
      <c r="T9"/>
      <c r="U9"/>
    </row>
    <row r="10" spans="1:21" customFormat="1" ht="18.75" customHeight="1" thickBot="1" x14ac:dyDescent="0.3">
      <c r="A10" s="141"/>
      <c r="B10" s="143"/>
      <c r="C10" s="7" t="s">
        <v>416</v>
      </c>
      <c r="D10" s="11">
        <f t="shared" ref="D10:O10" si="2">D9*50/100</f>
        <v>1000</v>
      </c>
      <c r="E10" s="11">
        <f t="shared" si="2"/>
        <v>900</v>
      </c>
      <c r="F10" s="11">
        <f t="shared" si="2"/>
        <v>800</v>
      </c>
      <c r="G10" s="11">
        <f t="shared" si="2"/>
        <v>700</v>
      </c>
      <c r="H10" s="11">
        <f t="shared" si="2"/>
        <v>900</v>
      </c>
      <c r="I10" s="11">
        <f t="shared" si="2"/>
        <v>810</v>
      </c>
      <c r="J10" s="11">
        <f t="shared" si="2"/>
        <v>720</v>
      </c>
      <c r="K10" s="11">
        <f t="shared" si="2"/>
        <v>630</v>
      </c>
      <c r="L10" s="11">
        <f t="shared" si="2"/>
        <v>800</v>
      </c>
      <c r="M10" s="11">
        <f t="shared" si="2"/>
        <v>720</v>
      </c>
      <c r="N10" s="11">
        <f t="shared" si="2"/>
        <v>640</v>
      </c>
      <c r="O10" s="11">
        <f t="shared" si="2"/>
        <v>560</v>
      </c>
      <c r="P10" s="149"/>
      <c r="Q10" s="206"/>
      <c r="R10" s="210"/>
    </row>
    <row r="11" spans="1:21" s="15" customFormat="1" ht="18" customHeight="1" x14ac:dyDescent="0.45">
      <c r="A11" s="140" t="s">
        <v>350</v>
      </c>
      <c r="B11" s="142" t="s">
        <v>530</v>
      </c>
      <c r="C11" s="6" t="s">
        <v>415</v>
      </c>
      <c r="D11" s="10">
        <v>5000</v>
      </c>
      <c r="E11" s="11">
        <f>D11-(D11*10/100)</f>
        <v>4500</v>
      </c>
      <c r="F11" s="11">
        <f>D11-(D11*20/100)</f>
        <v>4000</v>
      </c>
      <c r="G11" s="11">
        <f>D11-(D11*30/100)</f>
        <v>3500</v>
      </c>
      <c r="H11" s="11">
        <f>D11-(D11*10/100)</f>
        <v>4500</v>
      </c>
      <c r="I11" s="11">
        <f>H11-(H11*10/100)</f>
        <v>4050</v>
      </c>
      <c r="J11" s="11">
        <f>H11-(H11*20/100)</f>
        <v>3600</v>
      </c>
      <c r="K11" s="11">
        <f>H11-(H11*30/100)</f>
        <v>3150</v>
      </c>
      <c r="L11" s="11">
        <f>D11-(D11*20/100)</f>
        <v>4000</v>
      </c>
      <c r="M11" s="11">
        <f>L11-(L11*10/100)</f>
        <v>3600</v>
      </c>
      <c r="N11" s="11">
        <f>L11-(L11*20/100)</f>
        <v>3200</v>
      </c>
      <c r="O11" s="11">
        <f>L11-(L11*30/100)</f>
        <v>2800</v>
      </c>
      <c r="P11" s="148" t="s">
        <v>10</v>
      </c>
      <c r="Q11" s="205" t="s">
        <v>55</v>
      </c>
      <c r="R11" s="181" t="s">
        <v>637</v>
      </c>
      <c r="S11"/>
      <c r="T11"/>
      <c r="U11"/>
    </row>
    <row r="12" spans="1:21" customFormat="1" ht="18.75" customHeight="1" thickBot="1" x14ac:dyDescent="0.3">
      <c r="A12" s="141"/>
      <c r="B12" s="143"/>
      <c r="C12" s="7" t="s">
        <v>416</v>
      </c>
      <c r="D12" s="11">
        <f t="shared" ref="D12:O12" si="3">D11*50/100</f>
        <v>2500</v>
      </c>
      <c r="E12" s="11">
        <f t="shared" si="3"/>
        <v>2250</v>
      </c>
      <c r="F12" s="11">
        <f t="shared" si="3"/>
        <v>2000</v>
      </c>
      <c r="G12" s="11">
        <f t="shared" si="3"/>
        <v>1750</v>
      </c>
      <c r="H12" s="11">
        <f t="shared" si="3"/>
        <v>2250</v>
      </c>
      <c r="I12" s="11">
        <f t="shared" si="3"/>
        <v>2025</v>
      </c>
      <c r="J12" s="11">
        <f t="shared" si="3"/>
        <v>1800</v>
      </c>
      <c r="K12" s="11">
        <f t="shared" si="3"/>
        <v>1575</v>
      </c>
      <c r="L12" s="11">
        <f t="shared" si="3"/>
        <v>2000</v>
      </c>
      <c r="M12" s="11">
        <f t="shared" si="3"/>
        <v>1800</v>
      </c>
      <c r="N12" s="11">
        <f t="shared" si="3"/>
        <v>1600</v>
      </c>
      <c r="O12" s="11">
        <f t="shared" si="3"/>
        <v>1400</v>
      </c>
      <c r="P12" s="149"/>
      <c r="Q12" s="206"/>
      <c r="R12" s="181"/>
    </row>
    <row r="13" spans="1:21" s="15" customFormat="1" ht="18" customHeight="1" x14ac:dyDescent="0.45">
      <c r="A13" s="140" t="s">
        <v>351</v>
      </c>
      <c r="B13" s="142" t="s">
        <v>22</v>
      </c>
      <c r="C13" s="6" t="s">
        <v>415</v>
      </c>
      <c r="D13" s="10">
        <v>5000</v>
      </c>
      <c r="E13" s="11">
        <f t="shared" si="1"/>
        <v>4500</v>
      </c>
      <c r="F13" s="11">
        <f>D13-(D13*20/100)</f>
        <v>4000</v>
      </c>
      <c r="G13" s="11">
        <f>D13-(D13*30/100)</f>
        <v>3500</v>
      </c>
      <c r="H13" s="11">
        <f>D13-(D13*10/100)</f>
        <v>4500</v>
      </c>
      <c r="I13" s="11">
        <f>H13-(H13*10/100)</f>
        <v>4050</v>
      </c>
      <c r="J13" s="11">
        <f>H13-(H13*20/100)</f>
        <v>3600</v>
      </c>
      <c r="K13" s="11">
        <f>H13-(H13*30/100)</f>
        <v>3150</v>
      </c>
      <c r="L13" s="11">
        <f>D13-(D13*20/100)</f>
        <v>4000</v>
      </c>
      <c r="M13" s="11">
        <f>L13-(L13*10/100)</f>
        <v>3600</v>
      </c>
      <c r="N13" s="11">
        <f>L13-(L13*20/100)</f>
        <v>3200</v>
      </c>
      <c r="O13" s="11">
        <f>L13-(L13*30/100)</f>
        <v>2800</v>
      </c>
      <c r="P13" s="148" t="s">
        <v>10</v>
      </c>
      <c r="Q13" s="205" t="s">
        <v>54</v>
      </c>
      <c r="R13" s="117" t="s">
        <v>648</v>
      </c>
      <c r="S13"/>
      <c r="T13"/>
      <c r="U13"/>
    </row>
    <row r="14" spans="1:21" customFormat="1" ht="18.75" customHeight="1" thickBot="1" x14ac:dyDescent="0.3">
      <c r="A14" s="141"/>
      <c r="B14" s="143"/>
      <c r="C14" s="7" t="s">
        <v>416</v>
      </c>
      <c r="D14" s="11">
        <f t="shared" ref="D14:O14" si="4">D13*50/100</f>
        <v>2500</v>
      </c>
      <c r="E14" s="11">
        <f t="shared" si="4"/>
        <v>2250</v>
      </c>
      <c r="F14" s="11">
        <f t="shared" si="4"/>
        <v>2000</v>
      </c>
      <c r="G14" s="11">
        <f t="shared" si="4"/>
        <v>1750</v>
      </c>
      <c r="H14" s="11">
        <f t="shared" si="4"/>
        <v>2250</v>
      </c>
      <c r="I14" s="11">
        <f t="shared" si="4"/>
        <v>2025</v>
      </c>
      <c r="J14" s="11">
        <f t="shared" si="4"/>
        <v>1800</v>
      </c>
      <c r="K14" s="11">
        <f t="shared" si="4"/>
        <v>1575</v>
      </c>
      <c r="L14" s="11">
        <f t="shared" si="4"/>
        <v>2000</v>
      </c>
      <c r="M14" s="11">
        <f t="shared" si="4"/>
        <v>1800</v>
      </c>
      <c r="N14" s="11">
        <f t="shared" si="4"/>
        <v>1600</v>
      </c>
      <c r="O14" s="11">
        <f t="shared" si="4"/>
        <v>1400</v>
      </c>
      <c r="P14" s="149"/>
      <c r="Q14" s="206"/>
      <c r="R14" s="117"/>
    </row>
    <row r="15" spans="1:21" s="15" customFormat="1" ht="18" customHeight="1" x14ac:dyDescent="0.45">
      <c r="A15" s="140" t="s">
        <v>352</v>
      </c>
      <c r="B15" s="142" t="s">
        <v>23</v>
      </c>
      <c r="C15" s="6" t="s">
        <v>415</v>
      </c>
      <c r="D15" s="10">
        <v>2000</v>
      </c>
      <c r="E15" s="11">
        <f t="shared" si="1"/>
        <v>1800</v>
      </c>
      <c r="F15" s="11">
        <f>D15-(D15*20/100)</f>
        <v>1600</v>
      </c>
      <c r="G15" s="11">
        <f>D15-(D15*30/100)</f>
        <v>1400</v>
      </c>
      <c r="H15" s="11">
        <f>D15-(D15*10/100)</f>
        <v>1800</v>
      </c>
      <c r="I15" s="11">
        <f>H15-(H15*10/100)</f>
        <v>1620</v>
      </c>
      <c r="J15" s="11">
        <f>H15-(H15*20/100)</f>
        <v>1440</v>
      </c>
      <c r="K15" s="11">
        <f>H15-(H15*30/100)</f>
        <v>1260</v>
      </c>
      <c r="L15" s="11">
        <f>D15-(D15*20/100)</f>
        <v>1600</v>
      </c>
      <c r="M15" s="11">
        <f>L15-(L15*10/100)</f>
        <v>1440</v>
      </c>
      <c r="N15" s="11">
        <f>L15-(L15*20/100)</f>
        <v>1280</v>
      </c>
      <c r="O15" s="11">
        <f>L15-(L15*30/100)</f>
        <v>1120</v>
      </c>
      <c r="P15" s="148" t="s">
        <v>10</v>
      </c>
      <c r="Q15" s="205" t="s">
        <v>54</v>
      </c>
      <c r="R15" s="117" t="s">
        <v>648</v>
      </c>
      <c r="S15"/>
      <c r="T15"/>
      <c r="U15"/>
    </row>
    <row r="16" spans="1:21" customFormat="1" ht="18.75" customHeight="1" thickBot="1" x14ac:dyDescent="0.3">
      <c r="A16" s="141"/>
      <c r="B16" s="143"/>
      <c r="C16" s="7" t="s">
        <v>416</v>
      </c>
      <c r="D16" s="11">
        <f t="shared" ref="D16:O16" si="5">D15*50/100</f>
        <v>1000</v>
      </c>
      <c r="E16" s="11">
        <f t="shared" si="5"/>
        <v>900</v>
      </c>
      <c r="F16" s="11">
        <f t="shared" si="5"/>
        <v>800</v>
      </c>
      <c r="G16" s="11">
        <f t="shared" si="5"/>
        <v>700</v>
      </c>
      <c r="H16" s="11">
        <f t="shared" si="5"/>
        <v>900</v>
      </c>
      <c r="I16" s="11">
        <f t="shared" si="5"/>
        <v>810</v>
      </c>
      <c r="J16" s="11">
        <f t="shared" si="5"/>
        <v>720</v>
      </c>
      <c r="K16" s="11">
        <f t="shared" si="5"/>
        <v>630</v>
      </c>
      <c r="L16" s="11">
        <f t="shared" si="5"/>
        <v>800</v>
      </c>
      <c r="M16" s="11">
        <f t="shared" si="5"/>
        <v>720</v>
      </c>
      <c r="N16" s="11">
        <f t="shared" si="5"/>
        <v>640</v>
      </c>
      <c r="O16" s="11">
        <f t="shared" si="5"/>
        <v>560</v>
      </c>
      <c r="P16" s="149"/>
      <c r="Q16" s="206"/>
      <c r="R16" s="117"/>
    </row>
    <row r="17" spans="1:21" s="15" customFormat="1" ht="18" customHeight="1" x14ac:dyDescent="0.45">
      <c r="A17" s="140" t="s">
        <v>353</v>
      </c>
      <c r="B17" s="142" t="s">
        <v>531</v>
      </c>
      <c r="C17" s="6" t="s">
        <v>415</v>
      </c>
      <c r="D17" s="10">
        <v>1000</v>
      </c>
      <c r="E17" s="11">
        <f>D17-(D17*10/100)</f>
        <v>900</v>
      </c>
      <c r="F17" s="11">
        <f>D17-(D17*20/100)</f>
        <v>800</v>
      </c>
      <c r="G17" s="11">
        <f>D17-(D17*30/100)</f>
        <v>700</v>
      </c>
      <c r="H17" s="11">
        <f>D17-(D17*10/100)</f>
        <v>900</v>
      </c>
      <c r="I17" s="11">
        <f>H17-(H17*10/100)</f>
        <v>810</v>
      </c>
      <c r="J17" s="11">
        <f>H17-(H17*20/100)</f>
        <v>720</v>
      </c>
      <c r="K17" s="11">
        <f>H17-(H17*30/100)</f>
        <v>630</v>
      </c>
      <c r="L17" s="11">
        <f>D17-(D17*20/100)</f>
        <v>800</v>
      </c>
      <c r="M17" s="11">
        <f>L17-(L17*10/100)</f>
        <v>720</v>
      </c>
      <c r="N17" s="11">
        <f>L17-(L17*20/100)</f>
        <v>640</v>
      </c>
      <c r="O17" s="11">
        <f>L17-(L17*30/100)</f>
        <v>560</v>
      </c>
      <c r="P17" s="148" t="s">
        <v>10</v>
      </c>
      <c r="Q17" s="205" t="s">
        <v>69</v>
      </c>
      <c r="R17" s="117" t="s">
        <v>639</v>
      </c>
      <c r="S17"/>
      <c r="T17"/>
      <c r="U17"/>
    </row>
    <row r="18" spans="1:21" customFormat="1" ht="18.75" customHeight="1" thickBot="1" x14ac:dyDescent="0.3">
      <c r="A18" s="141"/>
      <c r="B18" s="143"/>
      <c r="C18" s="7" t="s">
        <v>416</v>
      </c>
      <c r="D18" s="11">
        <f t="shared" ref="D18:O18" si="6">D17*50/100</f>
        <v>500</v>
      </c>
      <c r="E18" s="11">
        <f t="shared" si="6"/>
        <v>450</v>
      </c>
      <c r="F18" s="11">
        <f t="shared" si="6"/>
        <v>400</v>
      </c>
      <c r="G18" s="11">
        <f t="shared" si="6"/>
        <v>350</v>
      </c>
      <c r="H18" s="11">
        <f t="shared" si="6"/>
        <v>450</v>
      </c>
      <c r="I18" s="11">
        <f t="shared" si="6"/>
        <v>405</v>
      </c>
      <c r="J18" s="11">
        <f t="shared" si="6"/>
        <v>360</v>
      </c>
      <c r="K18" s="11">
        <f t="shared" si="6"/>
        <v>315</v>
      </c>
      <c r="L18" s="11">
        <f t="shared" si="6"/>
        <v>400</v>
      </c>
      <c r="M18" s="11">
        <f t="shared" si="6"/>
        <v>360</v>
      </c>
      <c r="N18" s="11">
        <f t="shared" si="6"/>
        <v>320</v>
      </c>
      <c r="O18" s="11">
        <f t="shared" si="6"/>
        <v>280</v>
      </c>
      <c r="P18" s="149"/>
      <c r="Q18" s="206"/>
      <c r="R18" s="117"/>
    </row>
    <row r="19" spans="1:21" s="15" customFormat="1" ht="19.5" customHeight="1" thickBot="1" x14ac:dyDescent="0.5">
      <c r="A19" s="133" t="s">
        <v>584</v>
      </c>
      <c r="B19" s="134"/>
      <c r="C19" s="134"/>
      <c r="D19" s="134"/>
      <c r="E19" s="134"/>
      <c r="F19" s="134"/>
      <c r="G19" s="134"/>
      <c r="H19" s="134"/>
      <c r="I19" s="134"/>
      <c r="J19" s="134"/>
      <c r="K19" s="134"/>
      <c r="L19" s="134"/>
      <c r="M19" s="134"/>
      <c r="N19" s="134"/>
      <c r="O19" s="134"/>
      <c r="P19" s="134"/>
      <c r="Q19" s="134"/>
      <c r="R19" s="134"/>
      <c r="S19" s="2"/>
      <c r="T19" s="2"/>
      <c r="U19" s="2"/>
    </row>
    <row r="20" spans="1:21" s="15" customFormat="1" ht="22.5" customHeight="1" thickBot="1" x14ac:dyDescent="0.5">
      <c r="A20" s="165" t="s">
        <v>4</v>
      </c>
      <c r="B20" s="167" t="s">
        <v>3</v>
      </c>
      <c r="C20" s="167" t="s">
        <v>406</v>
      </c>
      <c r="D20" s="169" t="s">
        <v>2</v>
      </c>
      <c r="E20" s="170"/>
      <c r="F20" s="170"/>
      <c r="G20" s="171"/>
      <c r="H20" s="169" t="s">
        <v>1</v>
      </c>
      <c r="I20" s="170"/>
      <c r="J20" s="170"/>
      <c r="K20" s="171"/>
      <c r="L20" s="169" t="s">
        <v>0</v>
      </c>
      <c r="M20" s="170"/>
      <c r="N20" s="170"/>
      <c r="O20" s="171"/>
      <c r="P20" s="167" t="s">
        <v>405</v>
      </c>
      <c r="Q20" s="167" t="s">
        <v>37</v>
      </c>
      <c r="R20" s="128" t="s">
        <v>632</v>
      </c>
      <c r="S20" s="2"/>
      <c r="T20" s="2"/>
      <c r="U20" s="2"/>
    </row>
    <row r="21" spans="1:21" s="15" customFormat="1" ht="18.75" customHeight="1" thickBot="1" x14ac:dyDescent="0.5">
      <c r="A21" s="166"/>
      <c r="B21" s="168"/>
      <c r="C21" s="216"/>
      <c r="D21" s="16" t="s">
        <v>8</v>
      </c>
      <c r="E21" s="17" t="s">
        <v>7</v>
      </c>
      <c r="F21" s="17" t="s">
        <v>6</v>
      </c>
      <c r="G21" s="17" t="s">
        <v>5</v>
      </c>
      <c r="H21" s="17" t="s">
        <v>8</v>
      </c>
      <c r="I21" s="17" t="s">
        <v>7</v>
      </c>
      <c r="J21" s="17" t="s">
        <v>6</v>
      </c>
      <c r="K21" s="17" t="s">
        <v>5</v>
      </c>
      <c r="L21" s="17" t="s">
        <v>8</v>
      </c>
      <c r="M21" s="17" t="s">
        <v>7</v>
      </c>
      <c r="N21" s="17" t="s">
        <v>6</v>
      </c>
      <c r="O21" s="17" t="s">
        <v>5</v>
      </c>
      <c r="P21" s="168"/>
      <c r="Q21" s="168"/>
      <c r="R21" s="128"/>
      <c r="S21" s="2"/>
      <c r="T21" s="2"/>
      <c r="U21" s="2"/>
    </row>
    <row r="22" spans="1:21" customFormat="1" ht="47.25" customHeight="1" thickBot="1" x14ac:dyDescent="0.3">
      <c r="A22" s="58" t="s">
        <v>354</v>
      </c>
      <c r="B22" s="19" t="s">
        <v>80</v>
      </c>
      <c r="C22" s="5" t="s">
        <v>414</v>
      </c>
      <c r="D22" s="211">
        <v>25000</v>
      </c>
      <c r="E22" s="208"/>
      <c r="F22" s="208"/>
      <c r="G22" s="209"/>
      <c r="H22" s="207">
        <f>D22-(D22*20/100)</f>
        <v>20000</v>
      </c>
      <c r="I22" s="208"/>
      <c r="J22" s="208"/>
      <c r="K22" s="209"/>
      <c r="L22" s="207">
        <f>D22-(D22*40/100)</f>
        <v>15000</v>
      </c>
      <c r="M22" s="208"/>
      <c r="N22" s="208"/>
      <c r="O22" s="209"/>
      <c r="P22" s="20" t="s">
        <v>9</v>
      </c>
      <c r="Q22" s="10" t="s">
        <v>58</v>
      </c>
      <c r="R22" s="74" t="s">
        <v>649</v>
      </c>
    </row>
    <row r="23" spans="1:21" customFormat="1" ht="47.25" customHeight="1" thickBot="1" x14ac:dyDescent="0.3">
      <c r="A23" s="58" t="s">
        <v>356</v>
      </c>
      <c r="B23" s="19" t="s">
        <v>563</v>
      </c>
      <c r="C23" s="5" t="s">
        <v>414</v>
      </c>
      <c r="D23" s="211">
        <v>50000</v>
      </c>
      <c r="E23" s="208"/>
      <c r="F23" s="208"/>
      <c r="G23" s="209"/>
      <c r="H23" s="207">
        <f>D23-(D23*20/100)</f>
        <v>40000</v>
      </c>
      <c r="I23" s="208"/>
      <c r="J23" s="208"/>
      <c r="K23" s="209"/>
      <c r="L23" s="207">
        <f>D23-(D23*40/100)</f>
        <v>30000</v>
      </c>
      <c r="M23" s="208"/>
      <c r="N23" s="208"/>
      <c r="O23" s="209"/>
      <c r="P23" s="20" t="s">
        <v>9</v>
      </c>
      <c r="Q23" s="10" t="s">
        <v>549</v>
      </c>
      <c r="R23" s="74" t="s">
        <v>650</v>
      </c>
    </row>
    <row r="24" spans="1:21" customFormat="1" ht="47.25" customHeight="1" thickBot="1" x14ac:dyDescent="0.3">
      <c r="A24" s="58" t="s">
        <v>357</v>
      </c>
      <c r="B24" s="22" t="s">
        <v>585</v>
      </c>
      <c r="C24" s="5" t="s">
        <v>414</v>
      </c>
      <c r="D24" s="211">
        <v>2000</v>
      </c>
      <c r="E24" s="208"/>
      <c r="F24" s="208"/>
      <c r="G24" s="209"/>
      <c r="H24" s="207">
        <f t="shared" ref="H24:H29" si="7">D24-(D24*20/100)</f>
        <v>1600</v>
      </c>
      <c r="I24" s="208"/>
      <c r="J24" s="208"/>
      <c r="K24" s="209"/>
      <c r="L24" s="207">
        <f t="shared" ref="L24:L29" si="8">D24-(D24*40/100)</f>
        <v>1200</v>
      </c>
      <c r="M24" s="208"/>
      <c r="N24" s="208"/>
      <c r="O24" s="209"/>
      <c r="P24" s="20" t="s">
        <v>9</v>
      </c>
      <c r="Q24" s="10" t="s">
        <v>440</v>
      </c>
      <c r="R24" s="81" t="s">
        <v>651</v>
      </c>
    </row>
    <row r="25" spans="1:21" customFormat="1" ht="47.25" customHeight="1" thickBot="1" x14ac:dyDescent="0.3">
      <c r="A25" s="58" t="s">
        <v>358</v>
      </c>
      <c r="B25" s="19" t="s">
        <v>19</v>
      </c>
      <c r="C25" s="5" t="s">
        <v>414</v>
      </c>
      <c r="D25" s="211">
        <v>20000</v>
      </c>
      <c r="E25" s="208"/>
      <c r="F25" s="208"/>
      <c r="G25" s="209"/>
      <c r="H25" s="207">
        <f t="shared" si="7"/>
        <v>16000</v>
      </c>
      <c r="I25" s="208"/>
      <c r="J25" s="208"/>
      <c r="K25" s="209"/>
      <c r="L25" s="207">
        <f t="shared" si="8"/>
        <v>12000</v>
      </c>
      <c r="M25" s="208"/>
      <c r="N25" s="208"/>
      <c r="O25" s="209"/>
      <c r="P25" s="20" t="s">
        <v>9</v>
      </c>
      <c r="Q25" s="10" t="s">
        <v>509</v>
      </c>
      <c r="R25" s="81" t="s">
        <v>652</v>
      </c>
    </row>
    <row r="26" spans="1:21" customFormat="1" ht="47.25" customHeight="1" thickBot="1" x14ac:dyDescent="0.3">
      <c r="A26" s="58" t="s">
        <v>359</v>
      </c>
      <c r="B26" s="19" t="s">
        <v>565</v>
      </c>
      <c r="C26" s="5" t="s">
        <v>414</v>
      </c>
      <c r="D26" s="211">
        <v>50000</v>
      </c>
      <c r="E26" s="208"/>
      <c r="F26" s="208"/>
      <c r="G26" s="209"/>
      <c r="H26" s="207">
        <f t="shared" si="7"/>
        <v>40000</v>
      </c>
      <c r="I26" s="208"/>
      <c r="J26" s="208"/>
      <c r="K26" s="209"/>
      <c r="L26" s="207">
        <f t="shared" si="8"/>
        <v>30000</v>
      </c>
      <c r="M26" s="208"/>
      <c r="N26" s="208"/>
      <c r="O26" s="209"/>
      <c r="P26" s="20" t="s">
        <v>9</v>
      </c>
      <c r="Q26" s="10" t="s">
        <v>442</v>
      </c>
      <c r="R26" s="81" t="s">
        <v>653</v>
      </c>
    </row>
    <row r="27" spans="1:21" customFormat="1" ht="47.25" customHeight="1" thickBot="1" x14ac:dyDescent="0.3">
      <c r="A27" s="58" t="s">
        <v>360</v>
      </c>
      <c r="B27" s="19" t="s">
        <v>532</v>
      </c>
      <c r="C27" s="5" t="s">
        <v>414</v>
      </c>
      <c r="D27" s="211">
        <v>15000</v>
      </c>
      <c r="E27" s="208"/>
      <c r="F27" s="208"/>
      <c r="G27" s="209"/>
      <c r="H27" s="207">
        <f t="shared" si="7"/>
        <v>12000</v>
      </c>
      <c r="I27" s="208"/>
      <c r="J27" s="208"/>
      <c r="K27" s="209"/>
      <c r="L27" s="207">
        <f t="shared" si="8"/>
        <v>9000</v>
      </c>
      <c r="M27" s="208"/>
      <c r="N27" s="208"/>
      <c r="O27" s="209"/>
      <c r="P27" s="20" t="s">
        <v>9</v>
      </c>
      <c r="Q27" s="10" t="s">
        <v>55</v>
      </c>
      <c r="R27" s="81" t="s">
        <v>676</v>
      </c>
    </row>
    <row r="28" spans="1:21" customFormat="1" ht="47.25" customHeight="1" thickBot="1" x14ac:dyDescent="0.3">
      <c r="A28" s="58" t="s">
        <v>361</v>
      </c>
      <c r="B28" s="19" t="s">
        <v>586</v>
      </c>
      <c r="C28" s="5" t="s">
        <v>414</v>
      </c>
      <c r="D28" s="211">
        <v>15000</v>
      </c>
      <c r="E28" s="208"/>
      <c r="F28" s="208"/>
      <c r="G28" s="209"/>
      <c r="H28" s="207">
        <f t="shared" si="7"/>
        <v>12000</v>
      </c>
      <c r="I28" s="208"/>
      <c r="J28" s="208"/>
      <c r="K28" s="209"/>
      <c r="L28" s="207">
        <f t="shared" si="8"/>
        <v>9000</v>
      </c>
      <c r="M28" s="208"/>
      <c r="N28" s="208"/>
      <c r="O28" s="209"/>
      <c r="P28" s="20" t="s">
        <v>9</v>
      </c>
      <c r="Q28" s="10" t="s">
        <v>55</v>
      </c>
      <c r="R28" s="81" t="s">
        <v>654</v>
      </c>
    </row>
    <row r="29" spans="1:21" customFormat="1" ht="47.25" customHeight="1" thickBot="1" x14ac:dyDescent="0.3">
      <c r="A29" s="58" t="s">
        <v>362</v>
      </c>
      <c r="B29" s="19" t="s">
        <v>566</v>
      </c>
      <c r="C29" s="5" t="s">
        <v>414</v>
      </c>
      <c r="D29" s="211">
        <v>30000</v>
      </c>
      <c r="E29" s="208"/>
      <c r="F29" s="208"/>
      <c r="G29" s="209"/>
      <c r="H29" s="207">
        <f t="shared" si="7"/>
        <v>24000</v>
      </c>
      <c r="I29" s="208"/>
      <c r="J29" s="208"/>
      <c r="K29" s="209"/>
      <c r="L29" s="207">
        <f t="shared" si="8"/>
        <v>18000</v>
      </c>
      <c r="M29" s="208"/>
      <c r="N29" s="208"/>
      <c r="O29" s="209"/>
      <c r="P29" s="20" t="s">
        <v>9</v>
      </c>
      <c r="Q29" s="10" t="s">
        <v>442</v>
      </c>
      <c r="R29" s="81" t="s">
        <v>655</v>
      </c>
    </row>
    <row r="30" spans="1:21" s="15" customFormat="1" ht="18" customHeight="1" x14ac:dyDescent="0.45">
      <c r="A30" s="140" t="s">
        <v>364</v>
      </c>
      <c r="B30" s="142" t="s">
        <v>444</v>
      </c>
      <c r="C30" s="6" t="s">
        <v>415</v>
      </c>
      <c r="D30" s="10">
        <v>3000</v>
      </c>
      <c r="E30" s="11">
        <f>D30-(D30*10/100)</f>
        <v>2700</v>
      </c>
      <c r="F30" s="11">
        <f>D30-(D30*20/100)</f>
        <v>2400</v>
      </c>
      <c r="G30" s="11">
        <f>D30-(D30*30/100)</f>
        <v>2100</v>
      </c>
      <c r="H30" s="11">
        <f>D30-(D30*10/100)</f>
        <v>2700</v>
      </c>
      <c r="I30" s="11">
        <f>H30-(H30*10/100)</f>
        <v>2430</v>
      </c>
      <c r="J30" s="11">
        <f>H30-(H30*20/100)</f>
        <v>2160</v>
      </c>
      <c r="K30" s="11">
        <f>H30-(H30*30/100)</f>
        <v>1890</v>
      </c>
      <c r="L30" s="11">
        <f>D30-(D30*20/100)</f>
        <v>2400</v>
      </c>
      <c r="M30" s="11">
        <f>L30-(L30*10/100)</f>
        <v>2160</v>
      </c>
      <c r="N30" s="11">
        <f>L30-(L30*20/100)</f>
        <v>1920</v>
      </c>
      <c r="O30" s="11">
        <f>L30-(L30*30/100)</f>
        <v>1680</v>
      </c>
      <c r="P30" s="148" t="s">
        <v>10</v>
      </c>
      <c r="Q30" s="205" t="s">
        <v>55</v>
      </c>
      <c r="R30" s="117" t="s">
        <v>656</v>
      </c>
      <c r="S30"/>
      <c r="T30"/>
      <c r="U30"/>
    </row>
    <row r="31" spans="1:21" customFormat="1" ht="18.75" customHeight="1" thickBot="1" x14ac:dyDescent="0.3">
      <c r="A31" s="141"/>
      <c r="B31" s="143"/>
      <c r="C31" s="7" t="s">
        <v>416</v>
      </c>
      <c r="D31" s="11">
        <f t="shared" ref="D31:O31" si="9">D30*50/100</f>
        <v>1500</v>
      </c>
      <c r="E31" s="11">
        <f t="shared" si="9"/>
        <v>1350</v>
      </c>
      <c r="F31" s="11">
        <f t="shared" si="9"/>
        <v>1200</v>
      </c>
      <c r="G31" s="11">
        <f t="shared" si="9"/>
        <v>1050</v>
      </c>
      <c r="H31" s="11">
        <f t="shared" si="9"/>
        <v>1350</v>
      </c>
      <c r="I31" s="11">
        <f t="shared" si="9"/>
        <v>1215</v>
      </c>
      <c r="J31" s="11">
        <f t="shared" si="9"/>
        <v>1080</v>
      </c>
      <c r="K31" s="11">
        <f t="shared" si="9"/>
        <v>945</v>
      </c>
      <c r="L31" s="11">
        <f t="shared" si="9"/>
        <v>1200</v>
      </c>
      <c r="M31" s="11">
        <f t="shared" si="9"/>
        <v>1080</v>
      </c>
      <c r="N31" s="11">
        <f t="shared" si="9"/>
        <v>960</v>
      </c>
      <c r="O31" s="11">
        <f t="shared" si="9"/>
        <v>840</v>
      </c>
      <c r="P31" s="149"/>
      <c r="Q31" s="206"/>
      <c r="R31" s="117"/>
    </row>
    <row r="32" spans="1:21" s="15" customFormat="1" ht="18" customHeight="1" x14ac:dyDescent="0.45">
      <c r="A32" s="140" t="s">
        <v>365</v>
      </c>
      <c r="B32" s="142" t="s">
        <v>27</v>
      </c>
      <c r="C32" s="6" t="s">
        <v>415</v>
      </c>
      <c r="D32" s="10">
        <v>3000</v>
      </c>
      <c r="E32" s="11">
        <f>D32-(D32*10/100)</f>
        <v>2700</v>
      </c>
      <c r="F32" s="11">
        <f>D32-(D32*20/100)</f>
        <v>2400</v>
      </c>
      <c r="G32" s="11">
        <f>D32-(D32*30/100)</f>
        <v>2100</v>
      </c>
      <c r="H32" s="11">
        <f>D32-(D32*10/100)</f>
        <v>2700</v>
      </c>
      <c r="I32" s="11">
        <f>H32-(H32*10/100)</f>
        <v>2430</v>
      </c>
      <c r="J32" s="11">
        <f>H32-(H32*20/100)</f>
        <v>2160</v>
      </c>
      <c r="K32" s="11">
        <f>H32-(H32*30/100)</f>
        <v>1890</v>
      </c>
      <c r="L32" s="11">
        <f>D32-(D32*20/100)</f>
        <v>2400</v>
      </c>
      <c r="M32" s="11">
        <f>L32-(L32*10/100)</f>
        <v>2160</v>
      </c>
      <c r="N32" s="11">
        <f>L32-(L32*20/100)</f>
        <v>1920</v>
      </c>
      <c r="O32" s="11">
        <f>L32-(L32*30/100)</f>
        <v>1680</v>
      </c>
      <c r="P32" s="148" t="s">
        <v>10</v>
      </c>
      <c r="Q32" s="205" t="s">
        <v>55</v>
      </c>
      <c r="R32" s="117" t="s">
        <v>656</v>
      </c>
      <c r="S32"/>
      <c r="T32"/>
      <c r="U32"/>
    </row>
    <row r="33" spans="1:21" customFormat="1" ht="18.75" customHeight="1" thickBot="1" x14ac:dyDescent="0.3">
      <c r="A33" s="141"/>
      <c r="B33" s="143"/>
      <c r="C33" s="7" t="s">
        <v>416</v>
      </c>
      <c r="D33" s="11">
        <f t="shared" ref="D33:O33" si="10">D32*50/100</f>
        <v>1500</v>
      </c>
      <c r="E33" s="11">
        <f t="shared" si="10"/>
        <v>1350</v>
      </c>
      <c r="F33" s="11">
        <f t="shared" si="10"/>
        <v>1200</v>
      </c>
      <c r="G33" s="11">
        <f t="shared" si="10"/>
        <v>1050</v>
      </c>
      <c r="H33" s="11">
        <f t="shared" si="10"/>
        <v>1350</v>
      </c>
      <c r="I33" s="11">
        <f t="shared" si="10"/>
        <v>1215</v>
      </c>
      <c r="J33" s="11">
        <f t="shared" si="10"/>
        <v>1080</v>
      </c>
      <c r="K33" s="11">
        <f t="shared" si="10"/>
        <v>945</v>
      </c>
      <c r="L33" s="11">
        <f t="shared" si="10"/>
        <v>1200</v>
      </c>
      <c r="M33" s="11">
        <f t="shared" si="10"/>
        <v>1080</v>
      </c>
      <c r="N33" s="11">
        <f t="shared" si="10"/>
        <v>960</v>
      </c>
      <c r="O33" s="11">
        <f t="shared" si="10"/>
        <v>840</v>
      </c>
      <c r="P33" s="149"/>
      <c r="Q33" s="206"/>
      <c r="R33" s="117"/>
    </row>
    <row r="34" spans="1:21" customFormat="1" ht="47.25" customHeight="1" thickBot="1" x14ac:dyDescent="0.3">
      <c r="A34" s="58" t="s">
        <v>366</v>
      </c>
      <c r="B34" s="19" t="s">
        <v>39</v>
      </c>
      <c r="C34" s="5" t="s">
        <v>414</v>
      </c>
      <c r="D34" s="211">
        <v>15000</v>
      </c>
      <c r="E34" s="208"/>
      <c r="F34" s="208"/>
      <c r="G34" s="209"/>
      <c r="H34" s="207">
        <f>D34-(D34*20/100)</f>
        <v>12000</v>
      </c>
      <c r="I34" s="208"/>
      <c r="J34" s="208"/>
      <c r="K34" s="209"/>
      <c r="L34" s="207">
        <f>D34-(D34*40/100)</f>
        <v>9000</v>
      </c>
      <c r="M34" s="208"/>
      <c r="N34" s="208"/>
      <c r="O34" s="209"/>
      <c r="P34" s="20" t="s">
        <v>9</v>
      </c>
      <c r="Q34" s="10" t="s">
        <v>83</v>
      </c>
      <c r="R34" s="81" t="s">
        <v>657</v>
      </c>
    </row>
    <row r="35" spans="1:21" customFormat="1" ht="47.25" customHeight="1" thickBot="1" x14ac:dyDescent="0.3">
      <c r="A35" s="58" t="s">
        <v>367</v>
      </c>
      <c r="B35" s="19" t="s">
        <v>567</v>
      </c>
      <c r="C35" s="5" t="s">
        <v>414</v>
      </c>
      <c r="D35" s="211">
        <v>15000</v>
      </c>
      <c r="E35" s="208"/>
      <c r="F35" s="208"/>
      <c r="G35" s="209"/>
      <c r="H35" s="207">
        <f>D35-(D35*20/100)</f>
        <v>12000</v>
      </c>
      <c r="I35" s="208"/>
      <c r="J35" s="208"/>
      <c r="K35" s="209"/>
      <c r="L35" s="207">
        <f>D35-(D35*40/100)</f>
        <v>9000</v>
      </c>
      <c r="M35" s="208"/>
      <c r="N35" s="208"/>
      <c r="O35" s="209"/>
      <c r="P35" s="20" t="s">
        <v>9</v>
      </c>
      <c r="Q35" s="10" t="s">
        <v>84</v>
      </c>
      <c r="R35" s="81" t="s">
        <v>657</v>
      </c>
    </row>
    <row r="36" spans="1:21" customFormat="1" ht="47.25" customHeight="1" thickBot="1" x14ac:dyDescent="0.3">
      <c r="A36" s="58" t="s">
        <v>368</v>
      </c>
      <c r="B36" s="19" t="s">
        <v>40</v>
      </c>
      <c r="C36" s="5" t="s">
        <v>414</v>
      </c>
      <c r="D36" s="211">
        <v>50000</v>
      </c>
      <c r="E36" s="208"/>
      <c r="F36" s="208"/>
      <c r="G36" s="209"/>
      <c r="H36" s="207">
        <f>D36-(D36*20/100)</f>
        <v>40000</v>
      </c>
      <c r="I36" s="208"/>
      <c r="J36" s="208"/>
      <c r="K36" s="209"/>
      <c r="L36" s="207">
        <f>D36-(D36*40/100)</f>
        <v>30000</v>
      </c>
      <c r="M36" s="208"/>
      <c r="N36" s="208"/>
      <c r="O36" s="209"/>
      <c r="P36" s="20" t="s">
        <v>9</v>
      </c>
      <c r="Q36" s="10" t="s">
        <v>442</v>
      </c>
      <c r="R36" s="81" t="s">
        <v>677</v>
      </c>
    </row>
    <row r="37" spans="1:21" s="15" customFormat="1" ht="18" customHeight="1" x14ac:dyDescent="0.45">
      <c r="A37" s="140" t="s">
        <v>369</v>
      </c>
      <c r="B37" s="142" t="s">
        <v>629</v>
      </c>
      <c r="C37" s="6" t="s">
        <v>415</v>
      </c>
      <c r="D37" s="10">
        <v>1000</v>
      </c>
      <c r="E37" s="11">
        <f>D37-(D37*10/100)</f>
        <v>900</v>
      </c>
      <c r="F37" s="11">
        <f>D37-(D37*20/100)</f>
        <v>800</v>
      </c>
      <c r="G37" s="11">
        <f>D37-(D37*30/100)</f>
        <v>700</v>
      </c>
      <c r="H37" s="11">
        <f>D37-(D37*10/100)</f>
        <v>900</v>
      </c>
      <c r="I37" s="11">
        <f>H37-(H37*10/100)</f>
        <v>810</v>
      </c>
      <c r="J37" s="11">
        <f>H37-(H37*20/100)</f>
        <v>720</v>
      </c>
      <c r="K37" s="11">
        <f>H37-(H37*30/100)</f>
        <v>630</v>
      </c>
      <c r="L37" s="11">
        <f>D37-(D37*20/100)</f>
        <v>800</v>
      </c>
      <c r="M37" s="11">
        <f>L37-(L37*10/100)</f>
        <v>720</v>
      </c>
      <c r="N37" s="11">
        <f>L37-(L37*20/100)</f>
        <v>640</v>
      </c>
      <c r="O37" s="11">
        <f>L37-(L37*30/100)</f>
        <v>560</v>
      </c>
      <c r="P37" s="148" t="s">
        <v>10</v>
      </c>
      <c r="Q37" s="205" t="s">
        <v>55</v>
      </c>
      <c r="R37" s="181" t="s">
        <v>637</v>
      </c>
      <c r="S37"/>
      <c r="T37"/>
      <c r="U37"/>
    </row>
    <row r="38" spans="1:21" customFormat="1" ht="18.75" customHeight="1" thickBot="1" x14ac:dyDescent="0.3">
      <c r="A38" s="141"/>
      <c r="B38" s="143"/>
      <c r="C38" s="7" t="s">
        <v>416</v>
      </c>
      <c r="D38" s="11">
        <f t="shared" ref="D38:O38" si="11">D37*50/100</f>
        <v>500</v>
      </c>
      <c r="E38" s="11">
        <f t="shared" si="11"/>
        <v>450</v>
      </c>
      <c r="F38" s="11">
        <f t="shared" si="11"/>
        <v>400</v>
      </c>
      <c r="G38" s="11">
        <f t="shared" si="11"/>
        <v>350</v>
      </c>
      <c r="H38" s="11">
        <f t="shared" si="11"/>
        <v>450</v>
      </c>
      <c r="I38" s="11">
        <f t="shared" si="11"/>
        <v>405</v>
      </c>
      <c r="J38" s="11">
        <f t="shared" si="11"/>
        <v>360</v>
      </c>
      <c r="K38" s="11">
        <f t="shared" si="11"/>
        <v>315</v>
      </c>
      <c r="L38" s="11">
        <f t="shared" si="11"/>
        <v>400</v>
      </c>
      <c r="M38" s="11">
        <f t="shared" si="11"/>
        <v>360</v>
      </c>
      <c r="N38" s="11">
        <f t="shared" si="11"/>
        <v>320</v>
      </c>
      <c r="O38" s="11">
        <f t="shared" si="11"/>
        <v>280</v>
      </c>
      <c r="P38" s="149"/>
      <c r="Q38" s="206"/>
      <c r="R38" s="181"/>
    </row>
    <row r="39" spans="1:21" customFormat="1" ht="47.25" customHeight="1" thickBot="1" x14ac:dyDescent="0.3">
      <c r="A39" s="58" t="s">
        <v>371</v>
      </c>
      <c r="B39" s="19" t="s">
        <v>447</v>
      </c>
      <c r="C39" s="5" t="s">
        <v>414</v>
      </c>
      <c r="D39" s="211">
        <v>2000</v>
      </c>
      <c r="E39" s="208"/>
      <c r="F39" s="208"/>
      <c r="G39" s="209"/>
      <c r="H39" s="207">
        <f>D39-(D39*20/100)</f>
        <v>1600</v>
      </c>
      <c r="I39" s="208"/>
      <c r="J39" s="208"/>
      <c r="K39" s="209"/>
      <c r="L39" s="207">
        <f>D39-(D39*40/100)</f>
        <v>1200</v>
      </c>
      <c r="M39" s="208"/>
      <c r="N39" s="208"/>
      <c r="O39" s="209"/>
      <c r="P39" s="20" t="s">
        <v>9</v>
      </c>
      <c r="Q39" s="10" t="s">
        <v>533</v>
      </c>
      <c r="R39" s="81" t="s">
        <v>640</v>
      </c>
    </row>
    <row r="40" spans="1:21" customFormat="1" ht="47.25" customHeight="1" thickBot="1" x14ac:dyDescent="0.3">
      <c r="A40" s="58" t="s">
        <v>372</v>
      </c>
      <c r="B40" s="19" t="s">
        <v>534</v>
      </c>
      <c r="C40" s="5" t="s">
        <v>414</v>
      </c>
      <c r="D40" s="211">
        <v>20000</v>
      </c>
      <c r="E40" s="208"/>
      <c r="F40" s="208"/>
      <c r="G40" s="209"/>
      <c r="H40" s="207">
        <f>D40-(D40*20/100)</f>
        <v>16000</v>
      </c>
      <c r="I40" s="208"/>
      <c r="J40" s="208"/>
      <c r="K40" s="209"/>
      <c r="L40" s="207">
        <f>D40-(D40*40/100)</f>
        <v>12000</v>
      </c>
      <c r="M40" s="208"/>
      <c r="N40" s="208"/>
      <c r="O40" s="209"/>
      <c r="P40" s="20" t="s">
        <v>9</v>
      </c>
      <c r="Q40" s="10" t="s">
        <v>69</v>
      </c>
      <c r="R40" s="81" t="s">
        <v>641</v>
      </c>
    </row>
    <row r="41" spans="1:21" s="15" customFormat="1" ht="18" customHeight="1" x14ac:dyDescent="0.45">
      <c r="A41" s="140" t="s">
        <v>373</v>
      </c>
      <c r="B41" s="142" t="s">
        <v>535</v>
      </c>
      <c r="C41" s="6" t="s">
        <v>415</v>
      </c>
      <c r="D41" s="10">
        <v>1000</v>
      </c>
      <c r="E41" s="11">
        <f>D41-(D41*10/100)</f>
        <v>900</v>
      </c>
      <c r="F41" s="11">
        <f>D41-(D41*20/100)</f>
        <v>800</v>
      </c>
      <c r="G41" s="11">
        <f>D41-(D41*30/100)</f>
        <v>700</v>
      </c>
      <c r="H41" s="11">
        <f>D41-(D41*10/100)</f>
        <v>900</v>
      </c>
      <c r="I41" s="11">
        <f>H41-(H41*10/100)</f>
        <v>810</v>
      </c>
      <c r="J41" s="11">
        <f>H41-(H41*20/100)</f>
        <v>720</v>
      </c>
      <c r="K41" s="11">
        <f>H41-(H41*30/100)</f>
        <v>630</v>
      </c>
      <c r="L41" s="11">
        <f>D41-(D41*20/100)</f>
        <v>800</v>
      </c>
      <c r="M41" s="11">
        <f>L41-(L41*10/100)</f>
        <v>720</v>
      </c>
      <c r="N41" s="11">
        <f>L41-(L41*20/100)</f>
        <v>640</v>
      </c>
      <c r="O41" s="11">
        <f>L41-(L41*30/100)</f>
        <v>560</v>
      </c>
      <c r="P41" s="148" t="s">
        <v>10</v>
      </c>
      <c r="Q41" s="205" t="s">
        <v>55</v>
      </c>
      <c r="R41" s="117" t="s">
        <v>658</v>
      </c>
      <c r="S41"/>
      <c r="T41"/>
      <c r="U41"/>
    </row>
    <row r="42" spans="1:21" customFormat="1" ht="18.75" customHeight="1" thickBot="1" x14ac:dyDescent="0.3">
      <c r="A42" s="141"/>
      <c r="B42" s="143"/>
      <c r="C42" s="7" t="s">
        <v>416</v>
      </c>
      <c r="D42" s="11">
        <f t="shared" ref="D42:O42" si="12">D41*50/100</f>
        <v>500</v>
      </c>
      <c r="E42" s="11">
        <f t="shared" si="12"/>
        <v>450</v>
      </c>
      <c r="F42" s="11">
        <f t="shared" si="12"/>
        <v>400</v>
      </c>
      <c r="G42" s="11">
        <f t="shared" si="12"/>
        <v>350</v>
      </c>
      <c r="H42" s="11">
        <f t="shared" si="12"/>
        <v>450</v>
      </c>
      <c r="I42" s="11">
        <f t="shared" si="12"/>
        <v>405</v>
      </c>
      <c r="J42" s="11">
        <f t="shared" si="12"/>
        <v>360</v>
      </c>
      <c r="K42" s="11">
        <f t="shared" si="12"/>
        <v>315</v>
      </c>
      <c r="L42" s="11">
        <f t="shared" si="12"/>
        <v>400</v>
      </c>
      <c r="M42" s="11">
        <f t="shared" si="12"/>
        <v>360</v>
      </c>
      <c r="N42" s="11">
        <f t="shared" si="12"/>
        <v>320</v>
      </c>
      <c r="O42" s="11">
        <f t="shared" si="12"/>
        <v>280</v>
      </c>
      <c r="P42" s="149"/>
      <c r="Q42" s="206"/>
      <c r="R42" s="117"/>
    </row>
    <row r="43" spans="1:21" customFormat="1" ht="47.25" customHeight="1" thickBot="1" x14ac:dyDescent="0.3">
      <c r="A43" s="58" t="s">
        <v>375</v>
      </c>
      <c r="B43" s="19" t="s">
        <v>536</v>
      </c>
      <c r="C43" s="5" t="s">
        <v>414</v>
      </c>
      <c r="D43" s="211">
        <v>15000</v>
      </c>
      <c r="E43" s="208"/>
      <c r="F43" s="208"/>
      <c r="G43" s="209"/>
      <c r="H43" s="207">
        <f>D43-(D43*20/100)</f>
        <v>12000</v>
      </c>
      <c r="I43" s="208"/>
      <c r="J43" s="208"/>
      <c r="K43" s="209"/>
      <c r="L43" s="207">
        <f>D43-(D43*40/100)</f>
        <v>9000</v>
      </c>
      <c r="M43" s="208"/>
      <c r="N43" s="208"/>
      <c r="O43" s="209"/>
      <c r="P43" s="20" t="s">
        <v>9</v>
      </c>
      <c r="Q43" s="10" t="s">
        <v>69</v>
      </c>
      <c r="R43" s="81" t="s">
        <v>659</v>
      </c>
    </row>
    <row r="44" spans="1:21" customFormat="1" ht="47.25" customHeight="1" thickBot="1" x14ac:dyDescent="0.3">
      <c r="A44" s="58" t="s">
        <v>376</v>
      </c>
      <c r="B44" s="13" t="s">
        <v>45</v>
      </c>
      <c r="C44" s="5" t="s">
        <v>414</v>
      </c>
      <c r="D44" s="211">
        <v>30000</v>
      </c>
      <c r="E44" s="208"/>
      <c r="F44" s="208"/>
      <c r="G44" s="209"/>
      <c r="H44" s="207">
        <f>D44-(D44*20/100)</f>
        <v>24000</v>
      </c>
      <c r="I44" s="208"/>
      <c r="J44" s="208"/>
      <c r="K44" s="209"/>
      <c r="L44" s="207">
        <f>D44-(D44*40/100)</f>
        <v>18000</v>
      </c>
      <c r="M44" s="208"/>
      <c r="N44" s="208"/>
      <c r="O44" s="209"/>
      <c r="P44" s="20" t="s">
        <v>9</v>
      </c>
      <c r="Q44" s="10" t="s">
        <v>69</v>
      </c>
      <c r="R44" s="81" t="s">
        <v>649</v>
      </c>
    </row>
    <row r="45" spans="1:21" customFormat="1" ht="47.25" customHeight="1" thickBot="1" x14ac:dyDescent="0.3">
      <c r="A45" s="58" t="s">
        <v>377</v>
      </c>
      <c r="B45" s="13" t="s">
        <v>581</v>
      </c>
      <c r="C45" s="5" t="s">
        <v>414</v>
      </c>
      <c r="D45" s="211">
        <v>20000</v>
      </c>
      <c r="E45" s="208"/>
      <c r="F45" s="208"/>
      <c r="G45" s="209"/>
      <c r="H45" s="207">
        <f>D45-(D45*20/100)</f>
        <v>16000</v>
      </c>
      <c r="I45" s="208"/>
      <c r="J45" s="208"/>
      <c r="K45" s="209"/>
      <c r="L45" s="207">
        <f>D45-(D45*40/100)</f>
        <v>12000</v>
      </c>
      <c r="M45" s="208"/>
      <c r="N45" s="208"/>
      <c r="O45" s="209"/>
      <c r="P45" s="20" t="s">
        <v>9</v>
      </c>
      <c r="Q45" s="10" t="s">
        <v>69</v>
      </c>
      <c r="R45" s="81" t="s">
        <v>649</v>
      </c>
    </row>
    <row r="46" spans="1:21" customFormat="1" ht="47.25" customHeight="1" thickBot="1" x14ac:dyDescent="0.3">
      <c r="A46" s="58" t="s">
        <v>378</v>
      </c>
      <c r="B46" s="19" t="s">
        <v>612</v>
      </c>
      <c r="C46" s="5" t="s">
        <v>414</v>
      </c>
      <c r="D46" s="211">
        <v>80000</v>
      </c>
      <c r="E46" s="208"/>
      <c r="F46" s="208"/>
      <c r="G46" s="209"/>
      <c r="H46" s="207">
        <f>D46-(D46*20/100)</f>
        <v>64000</v>
      </c>
      <c r="I46" s="208"/>
      <c r="J46" s="208"/>
      <c r="K46" s="209"/>
      <c r="L46" s="207">
        <f>D46-(D46*40/100)</f>
        <v>48000</v>
      </c>
      <c r="M46" s="208"/>
      <c r="N46" s="208"/>
      <c r="O46" s="209"/>
      <c r="P46" s="20" t="s">
        <v>9</v>
      </c>
      <c r="Q46" s="10" t="s">
        <v>69</v>
      </c>
      <c r="R46" s="81" t="s">
        <v>660</v>
      </c>
    </row>
    <row r="47" spans="1:21" s="15" customFormat="1" ht="18" customHeight="1" x14ac:dyDescent="0.45">
      <c r="A47" s="140" t="s">
        <v>374</v>
      </c>
      <c r="B47" s="142" t="s">
        <v>537</v>
      </c>
      <c r="C47" s="6" t="s">
        <v>415</v>
      </c>
      <c r="D47" s="10">
        <v>5000</v>
      </c>
      <c r="E47" s="11">
        <f>D47-(D47*10/100)</f>
        <v>4500</v>
      </c>
      <c r="F47" s="11">
        <f>D47-(D47*20/100)</f>
        <v>4000</v>
      </c>
      <c r="G47" s="11">
        <f>D47-(D47*30/100)</f>
        <v>3500</v>
      </c>
      <c r="H47" s="11">
        <f>D47-(D47*10/100)</f>
        <v>4500</v>
      </c>
      <c r="I47" s="11">
        <f>H47-(H47*10/100)</f>
        <v>4050</v>
      </c>
      <c r="J47" s="11">
        <f>H47-(H47*20/100)</f>
        <v>3600</v>
      </c>
      <c r="K47" s="11">
        <f>H47-(H47*30/100)</f>
        <v>3150</v>
      </c>
      <c r="L47" s="11">
        <f>D47-(D47*20/100)</f>
        <v>4000</v>
      </c>
      <c r="M47" s="11">
        <f>L47-(L47*10/100)</f>
        <v>3600</v>
      </c>
      <c r="N47" s="11">
        <f>L47-(L47*20/100)</f>
        <v>3200</v>
      </c>
      <c r="O47" s="11">
        <f>L47-(L47*30/100)</f>
        <v>2800</v>
      </c>
      <c r="P47" s="148" t="s">
        <v>10</v>
      </c>
      <c r="Q47" s="205" t="s">
        <v>59</v>
      </c>
      <c r="R47" s="117" t="s">
        <v>643</v>
      </c>
      <c r="S47"/>
      <c r="T47"/>
      <c r="U47"/>
    </row>
    <row r="48" spans="1:21" customFormat="1" ht="18.75" customHeight="1" thickBot="1" x14ac:dyDescent="0.3">
      <c r="A48" s="141"/>
      <c r="B48" s="143"/>
      <c r="C48" s="7" t="s">
        <v>416</v>
      </c>
      <c r="D48" s="11">
        <f t="shared" ref="D48:O48" si="13">D47*50/100</f>
        <v>2500</v>
      </c>
      <c r="E48" s="11">
        <f t="shared" si="13"/>
        <v>2250</v>
      </c>
      <c r="F48" s="11">
        <f t="shared" si="13"/>
        <v>2000</v>
      </c>
      <c r="G48" s="11">
        <f t="shared" si="13"/>
        <v>1750</v>
      </c>
      <c r="H48" s="11">
        <f t="shared" si="13"/>
        <v>2250</v>
      </c>
      <c r="I48" s="11">
        <f t="shared" si="13"/>
        <v>2025</v>
      </c>
      <c r="J48" s="11">
        <f t="shared" si="13"/>
        <v>1800</v>
      </c>
      <c r="K48" s="11">
        <f t="shared" si="13"/>
        <v>1575</v>
      </c>
      <c r="L48" s="11">
        <f t="shared" si="13"/>
        <v>2000</v>
      </c>
      <c r="M48" s="11">
        <f t="shared" si="13"/>
        <v>1800</v>
      </c>
      <c r="N48" s="11">
        <f t="shared" si="13"/>
        <v>1600</v>
      </c>
      <c r="O48" s="11">
        <f t="shared" si="13"/>
        <v>1400</v>
      </c>
      <c r="P48" s="149"/>
      <c r="Q48" s="206"/>
      <c r="R48" s="117"/>
    </row>
    <row r="49" spans="1:21" s="15" customFormat="1" ht="18" customHeight="1" x14ac:dyDescent="0.45">
      <c r="A49" s="140" t="s">
        <v>379</v>
      </c>
      <c r="B49" s="142" t="s">
        <v>573</v>
      </c>
      <c r="C49" s="6" t="s">
        <v>415</v>
      </c>
      <c r="D49" s="10">
        <v>2000</v>
      </c>
      <c r="E49" s="11">
        <f>D49-(D49*10/100)</f>
        <v>1800</v>
      </c>
      <c r="F49" s="11">
        <f>D49-(D49*20/100)</f>
        <v>1600</v>
      </c>
      <c r="G49" s="11">
        <f>D49-(D49*30/100)</f>
        <v>1400</v>
      </c>
      <c r="H49" s="11">
        <f>D49-(D49*10/100)</f>
        <v>1800</v>
      </c>
      <c r="I49" s="11">
        <f>H49-(H49*10/100)</f>
        <v>1620</v>
      </c>
      <c r="J49" s="11">
        <f>H49-(H49*20/100)</f>
        <v>1440</v>
      </c>
      <c r="K49" s="11">
        <f>H49-(H49*30/100)</f>
        <v>1260</v>
      </c>
      <c r="L49" s="11">
        <f>D49-(D49*20/100)</f>
        <v>1600</v>
      </c>
      <c r="M49" s="11">
        <f>L49-(L49*10/100)</f>
        <v>1440</v>
      </c>
      <c r="N49" s="11">
        <f>L49-(L49*20/100)</f>
        <v>1280</v>
      </c>
      <c r="O49" s="11">
        <f>L49-(L49*30/100)</f>
        <v>1120</v>
      </c>
      <c r="P49" s="148" t="s">
        <v>10</v>
      </c>
      <c r="Q49" s="205" t="s">
        <v>55</v>
      </c>
      <c r="R49" s="117" t="s">
        <v>644</v>
      </c>
      <c r="S49"/>
      <c r="T49"/>
      <c r="U49"/>
    </row>
    <row r="50" spans="1:21" customFormat="1" ht="18.75" customHeight="1" thickBot="1" x14ac:dyDescent="0.3">
      <c r="A50" s="141"/>
      <c r="B50" s="143"/>
      <c r="C50" s="7" t="s">
        <v>416</v>
      </c>
      <c r="D50" s="11">
        <f t="shared" ref="D50:O50" si="14">D49*50/100</f>
        <v>1000</v>
      </c>
      <c r="E50" s="11">
        <f t="shared" si="14"/>
        <v>900</v>
      </c>
      <c r="F50" s="11">
        <f t="shared" si="14"/>
        <v>800</v>
      </c>
      <c r="G50" s="11">
        <f t="shared" si="14"/>
        <v>700</v>
      </c>
      <c r="H50" s="11">
        <f t="shared" si="14"/>
        <v>900</v>
      </c>
      <c r="I50" s="11">
        <f t="shared" si="14"/>
        <v>810</v>
      </c>
      <c r="J50" s="11">
        <f t="shared" si="14"/>
        <v>720</v>
      </c>
      <c r="K50" s="11">
        <f t="shared" si="14"/>
        <v>630</v>
      </c>
      <c r="L50" s="11">
        <f t="shared" si="14"/>
        <v>800</v>
      </c>
      <c r="M50" s="11">
        <f t="shared" si="14"/>
        <v>720</v>
      </c>
      <c r="N50" s="11">
        <f t="shared" si="14"/>
        <v>640</v>
      </c>
      <c r="O50" s="11">
        <f t="shared" si="14"/>
        <v>560</v>
      </c>
      <c r="P50" s="149"/>
      <c r="Q50" s="206"/>
      <c r="R50" s="117"/>
    </row>
    <row r="51" spans="1:21" s="15" customFormat="1" ht="18" customHeight="1" x14ac:dyDescent="0.45">
      <c r="A51" s="140" t="s">
        <v>380</v>
      </c>
      <c r="B51" s="142" t="s">
        <v>538</v>
      </c>
      <c r="C51" s="6" t="s">
        <v>415</v>
      </c>
      <c r="D51" s="10">
        <v>4000</v>
      </c>
      <c r="E51" s="11">
        <f>D51-(D51*10/100)</f>
        <v>3600</v>
      </c>
      <c r="F51" s="11">
        <f>D51-(D51*20/100)</f>
        <v>3200</v>
      </c>
      <c r="G51" s="11">
        <f>D51-(D51*30/100)</f>
        <v>2800</v>
      </c>
      <c r="H51" s="11">
        <f>D51-(D51*10/100)</f>
        <v>3600</v>
      </c>
      <c r="I51" s="11">
        <f>H51-(H51*10/100)</f>
        <v>3240</v>
      </c>
      <c r="J51" s="11">
        <f>H51-(H51*20/100)</f>
        <v>2880</v>
      </c>
      <c r="K51" s="11">
        <f>H51-(H51*30/100)</f>
        <v>2520</v>
      </c>
      <c r="L51" s="11">
        <f>D51-(D51*20/100)</f>
        <v>3200</v>
      </c>
      <c r="M51" s="11">
        <f>L51-(L51*10/100)</f>
        <v>2880</v>
      </c>
      <c r="N51" s="11">
        <f>L51-(L51*20/100)</f>
        <v>2560</v>
      </c>
      <c r="O51" s="11">
        <f>L51-(L51*30/100)</f>
        <v>2240</v>
      </c>
      <c r="P51" s="148" t="s">
        <v>10</v>
      </c>
      <c r="Q51" s="205" t="s">
        <v>55</v>
      </c>
      <c r="R51" s="117" t="s">
        <v>661</v>
      </c>
      <c r="S51"/>
      <c r="T51"/>
      <c r="U51"/>
    </row>
    <row r="52" spans="1:21" customFormat="1" ht="18.75" customHeight="1" thickBot="1" x14ac:dyDescent="0.3">
      <c r="A52" s="141"/>
      <c r="B52" s="143"/>
      <c r="C52" s="7" t="s">
        <v>416</v>
      </c>
      <c r="D52" s="11">
        <f>D51*50/100</f>
        <v>2000</v>
      </c>
      <c r="E52" s="11">
        <f t="shared" ref="E52:O52" si="15">E51*50/100</f>
        <v>1800</v>
      </c>
      <c r="F52" s="11">
        <f t="shared" si="15"/>
        <v>1600</v>
      </c>
      <c r="G52" s="11">
        <f t="shared" si="15"/>
        <v>1400</v>
      </c>
      <c r="H52" s="11">
        <f t="shared" si="15"/>
        <v>1800</v>
      </c>
      <c r="I52" s="11">
        <f t="shared" si="15"/>
        <v>1620</v>
      </c>
      <c r="J52" s="11">
        <f t="shared" si="15"/>
        <v>1440</v>
      </c>
      <c r="K52" s="11">
        <f t="shared" si="15"/>
        <v>1260</v>
      </c>
      <c r="L52" s="11">
        <f t="shared" si="15"/>
        <v>1600</v>
      </c>
      <c r="M52" s="11">
        <f t="shared" si="15"/>
        <v>1440</v>
      </c>
      <c r="N52" s="11">
        <f t="shared" si="15"/>
        <v>1280</v>
      </c>
      <c r="O52" s="11">
        <f t="shared" si="15"/>
        <v>1120</v>
      </c>
      <c r="P52" s="149"/>
      <c r="Q52" s="206"/>
      <c r="R52" s="117"/>
    </row>
    <row r="53" spans="1:21" s="15" customFormat="1" ht="18" customHeight="1" x14ac:dyDescent="0.45">
      <c r="A53" s="140" t="s">
        <v>381</v>
      </c>
      <c r="B53" s="142" t="s">
        <v>32</v>
      </c>
      <c r="C53" s="6" t="s">
        <v>415</v>
      </c>
      <c r="D53" s="10">
        <v>5000</v>
      </c>
      <c r="E53" s="11">
        <f>D53-(D53*10/100)</f>
        <v>4500</v>
      </c>
      <c r="F53" s="11">
        <f>D53-(D53*20/100)</f>
        <v>4000</v>
      </c>
      <c r="G53" s="11">
        <f>D53-(D53*30/100)</f>
        <v>3500</v>
      </c>
      <c r="H53" s="11">
        <f>D53-(D53*10/100)</f>
        <v>4500</v>
      </c>
      <c r="I53" s="11">
        <f>H53-(H53*10/100)</f>
        <v>4050</v>
      </c>
      <c r="J53" s="11">
        <f>H53-(H53*20/100)</f>
        <v>3600</v>
      </c>
      <c r="K53" s="11">
        <f>H53-(H53*30/100)</f>
        <v>3150</v>
      </c>
      <c r="L53" s="11">
        <f>D53-(D53*20/100)</f>
        <v>4000</v>
      </c>
      <c r="M53" s="11">
        <f>L53-(L53*10/100)</f>
        <v>3600</v>
      </c>
      <c r="N53" s="11">
        <f>L53-(L53*20/100)</f>
        <v>3200</v>
      </c>
      <c r="O53" s="11">
        <f>L53-(L53*30/100)</f>
        <v>2800</v>
      </c>
      <c r="P53" s="148" t="s">
        <v>10</v>
      </c>
      <c r="Q53" s="205" t="s">
        <v>55</v>
      </c>
      <c r="R53" s="203" t="s">
        <v>663</v>
      </c>
      <c r="S53"/>
      <c r="T53"/>
      <c r="U53"/>
    </row>
    <row r="54" spans="1:21" customFormat="1" ht="18.75" customHeight="1" thickBot="1" x14ac:dyDescent="0.3">
      <c r="A54" s="141"/>
      <c r="B54" s="143"/>
      <c r="C54" s="7" t="s">
        <v>416</v>
      </c>
      <c r="D54" s="11">
        <f t="shared" ref="D54:O54" si="16">D53*50/100</f>
        <v>2500</v>
      </c>
      <c r="E54" s="11">
        <f t="shared" si="16"/>
        <v>2250</v>
      </c>
      <c r="F54" s="11">
        <f t="shared" si="16"/>
        <v>2000</v>
      </c>
      <c r="G54" s="11">
        <f t="shared" si="16"/>
        <v>1750</v>
      </c>
      <c r="H54" s="11">
        <f t="shared" si="16"/>
        <v>2250</v>
      </c>
      <c r="I54" s="11">
        <f t="shared" si="16"/>
        <v>2025</v>
      </c>
      <c r="J54" s="11">
        <f t="shared" si="16"/>
        <v>1800</v>
      </c>
      <c r="K54" s="11">
        <f t="shared" si="16"/>
        <v>1575</v>
      </c>
      <c r="L54" s="11">
        <f t="shared" si="16"/>
        <v>2000</v>
      </c>
      <c r="M54" s="11">
        <f t="shared" si="16"/>
        <v>1800</v>
      </c>
      <c r="N54" s="11">
        <f t="shared" si="16"/>
        <v>1600</v>
      </c>
      <c r="O54" s="11">
        <f t="shared" si="16"/>
        <v>1400</v>
      </c>
      <c r="P54" s="149"/>
      <c r="Q54" s="206"/>
      <c r="R54" s="204"/>
    </row>
    <row r="55" spans="1:21" customFormat="1" ht="47.25" customHeight="1" thickBot="1" x14ac:dyDescent="0.5">
      <c r="A55" s="58" t="s">
        <v>382</v>
      </c>
      <c r="B55" s="19" t="s">
        <v>539</v>
      </c>
      <c r="C55" s="5" t="s">
        <v>414</v>
      </c>
      <c r="D55" s="211">
        <v>5000</v>
      </c>
      <c r="E55" s="208"/>
      <c r="F55" s="208"/>
      <c r="G55" s="209"/>
      <c r="H55" s="207">
        <f>D55-(D55*20/100)</f>
        <v>4000</v>
      </c>
      <c r="I55" s="208"/>
      <c r="J55" s="208"/>
      <c r="K55" s="209"/>
      <c r="L55" s="207">
        <f>D55-(D55*40/100)</f>
        <v>3000</v>
      </c>
      <c r="M55" s="208"/>
      <c r="N55" s="208"/>
      <c r="O55" s="209"/>
      <c r="P55" s="20" t="s">
        <v>9</v>
      </c>
      <c r="Q55" s="10" t="s">
        <v>55</v>
      </c>
      <c r="R55" s="91" t="s">
        <v>769</v>
      </c>
    </row>
    <row r="56" spans="1:21" s="15" customFormat="1" ht="18" customHeight="1" x14ac:dyDescent="0.45">
      <c r="A56" s="140" t="s">
        <v>383</v>
      </c>
      <c r="B56" s="142" t="s">
        <v>630</v>
      </c>
      <c r="C56" s="6" t="s">
        <v>415</v>
      </c>
      <c r="D56" s="10">
        <v>5000</v>
      </c>
      <c r="E56" s="11">
        <f>D56-(D56*10/100)</f>
        <v>4500</v>
      </c>
      <c r="F56" s="11">
        <f>D56-(D56*20/100)</f>
        <v>4000</v>
      </c>
      <c r="G56" s="11">
        <f>D56-(D56*30/100)</f>
        <v>3500</v>
      </c>
      <c r="H56" s="11">
        <f>D56-(D56*10/100)</f>
        <v>4500</v>
      </c>
      <c r="I56" s="11">
        <f>H56-(H56*10/100)</f>
        <v>4050</v>
      </c>
      <c r="J56" s="11">
        <f>H56-(H56*20/100)</f>
        <v>3600</v>
      </c>
      <c r="K56" s="11">
        <f>H56-(H56*30/100)</f>
        <v>3150</v>
      </c>
      <c r="L56" s="11">
        <f>D56-(D56*20/100)</f>
        <v>4000</v>
      </c>
      <c r="M56" s="11">
        <f>L56-(L56*10/100)</f>
        <v>3600</v>
      </c>
      <c r="N56" s="11">
        <f>L56-(L56*20/100)</f>
        <v>3200</v>
      </c>
      <c r="O56" s="11">
        <f>L56-(L56*30/100)</f>
        <v>2800</v>
      </c>
      <c r="P56" s="148" t="s">
        <v>10</v>
      </c>
      <c r="Q56" s="205" t="s">
        <v>69</v>
      </c>
      <c r="R56" s="201" t="s">
        <v>662</v>
      </c>
      <c r="S56"/>
      <c r="T56"/>
      <c r="U56"/>
    </row>
    <row r="57" spans="1:21" customFormat="1" ht="18.75" customHeight="1" thickBot="1" x14ac:dyDescent="0.3">
      <c r="A57" s="141"/>
      <c r="B57" s="143"/>
      <c r="C57" s="7" t="s">
        <v>416</v>
      </c>
      <c r="D57" s="11">
        <f t="shared" ref="D57:O57" si="17">D56*50/100</f>
        <v>2500</v>
      </c>
      <c r="E57" s="11">
        <f t="shared" si="17"/>
        <v>2250</v>
      </c>
      <c r="F57" s="11">
        <f t="shared" si="17"/>
        <v>2000</v>
      </c>
      <c r="G57" s="11">
        <f t="shared" si="17"/>
        <v>1750</v>
      </c>
      <c r="H57" s="11">
        <f t="shared" si="17"/>
        <v>2250</v>
      </c>
      <c r="I57" s="11">
        <f t="shared" si="17"/>
        <v>2025</v>
      </c>
      <c r="J57" s="11">
        <f t="shared" si="17"/>
        <v>1800</v>
      </c>
      <c r="K57" s="11">
        <f t="shared" si="17"/>
        <v>1575</v>
      </c>
      <c r="L57" s="11">
        <f t="shared" si="17"/>
        <v>2000</v>
      </c>
      <c r="M57" s="11">
        <f t="shared" si="17"/>
        <v>1800</v>
      </c>
      <c r="N57" s="11">
        <f t="shared" si="17"/>
        <v>1600</v>
      </c>
      <c r="O57" s="11">
        <f t="shared" si="17"/>
        <v>1400</v>
      </c>
      <c r="P57" s="149"/>
      <c r="Q57" s="206"/>
      <c r="R57" s="202"/>
    </row>
    <row r="58" spans="1:21" customFormat="1" ht="18" customHeight="1" x14ac:dyDescent="0.25">
      <c r="A58" s="140" t="s">
        <v>384</v>
      </c>
      <c r="B58" s="142" t="s">
        <v>504</v>
      </c>
      <c r="C58" s="6" t="s">
        <v>415</v>
      </c>
      <c r="D58" s="10">
        <v>2000</v>
      </c>
      <c r="E58" s="11">
        <f>D58-(D58*10/100)</f>
        <v>1800</v>
      </c>
      <c r="F58" s="11">
        <f>D58-(D58*20/100)</f>
        <v>1600</v>
      </c>
      <c r="G58" s="11">
        <f>D58-(D58*30/100)</f>
        <v>1400</v>
      </c>
      <c r="H58" s="11">
        <f>D58-(D58*10/100)</f>
        <v>1800</v>
      </c>
      <c r="I58" s="11">
        <f>H58-(H58*10/100)</f>
        <v>1620</v>
      </c>
      <c r="J58" s="11">
        <f>H58-(H58*20/100)</f>
        <v>1440</v>
      </c>
      <c r="K58" s="11">
        <f>H58-(H58*30/100)</f>
        <v>1260</v>
      </c>
      <c r="L58" s="11">
        <f>D58-(D58*20/100)</f>
        <v>1600</v>
      </c>
      <c r="M58" s="11">
        <f>L58-(L58*10/100)</f>
        <v>1440</v>
      </c>
      <c r="N58" s="11">
        <f>L58-(L58*20/100)</f>
        <v>1280</v>
      </c>
      <c r="O58" s="11">
        <f>L58-(L58*30/100)</f>
        <v>1120</v>
      </c>
      <c r="P58" s="148" t="s">
        <v>10</v>
      </c>
      <c r="Q58" s="205" t="s">
        <v>55</v>
      </c>
      <c r="R58" s="201" t="s">
        <v>637</v>
      </c>
    </row>
    <row r="59" spans="1:21" customFormat="1" ht="18.75" customHeight="1" thickBot="1" x14ac:dyDescent="0.3">
      <c r="A59" s="141"/>
      <c r="B59" s="143"/>
      <c r="C59" s="7" t="s">
        <v>416</v>
      </c>
      <c r="D59" s="11">
        <f t="shared" ref="D59:O59" si="18">D58*50/100</f>
        <v>1000</v>
      </c>
      <c r="E59" s="11">
        <f t="shared" si="18"/>
        <v>900</v>
      </c>
      <c r="F59" s="11">
        <f t="shared" si="18"/>
        <v>800</v>
      </c>
      <c r="G59" s="11">
        <f t="shared" si="18"/>
        <v>700</v>
      </c>
      <c r="H59" s="11">
        <f t="shared" si="18"/>
        <v>900</v>
      </c>
      <c r="I59" s="11">
        <f t="shared" si="18"/>
        <v>810</v>
      </c>
      <c r="J59" s="11">
        <f t="shared" si="18"/>
        <v>720</v>
      </c>
      <c r="K59" s="11">
        <f t="shared" si="18"/>
        <v>630</v>
      </c>
      <c r="L59" s="11">
        <f t="shared" si="18"/>
        <v>800</v>
      </c>
      <c r="M59" s="11">
        <f t="shared" si="18"/>
        <v>720</v>
      </c>
      <c r="N59" s="11">
        <f t="shared" si="18"/>
        <v>640</v>
      </c>
      <c r="O59" s="11">
        <f t="shared" si="18"/>
        <v>560</v>
      </c>
      <c r="P59" s="149"/>
      <c r="Q59" s="206"/>
      <c r="R59" s="202"/>
    </row>
    <row r="60" spans="1:21" customFormat="1" ht="47.25" customHeight="1" x14ac:dyDescent="0.25">
      <c r="A60" s="58" t="s">
        <v>385</v>
      </c>
      <c r="B60" s="19" t="s">
        <v>48</v>
      </c>
      <c r="C60" s="8" t="s">
        <v>414</v>
      </c>
      <c r="D60" s="207">
        <v>15000</v>
      </c>
      <c r="E60" s="208"/>
      <c r="F60" s="208"/>
      <c r="G60" s="209"/>
      <c r="H60" s="207">
        <f>D60-(D60*20/100)</f>
        <v>12000</v>
      </c>
      <c r="I60" s="208"/>
      <c r="J60" s="208"/>
      <c r="K60" s="209"/>
      <c r="L60" s="207">
        <f>D60-(D60*40/100)</f>
        <v>9000</v>
      </c>
      <c r="M60" s="208"/>
      <c r="N60" s="208"/>
      <c r="O60" s="209"/>
      <c r="P60" s="20" t="s">
        <v>9</v>
      </c>
      <c r="Q60" s="10" t="s">
        <v>69</v>
      </c>
      <c r="R60" s="81" t="s">
        <v>646</v>
      </c>
    </row>
    <row r="61" spans="1:21" ht="47.25" hidden="1" customHeight="1" x14ac:dyDescent="0.45">
      <c r="A61" s="52" t="s">
        <v>552</v>
      </c>
      <c r="B61" s="45" t="s">
        <v>551</v>
      </c>
      <c r="C61" s="29" t="s">
        <v>414</v>
      </c>
      <c r="D61" s="151">
        <v>10000</v>
      </c>
      <c r="E61" s="151"/>
      <c r="F61" s="151"/>
      <c r="G61" s="152"/>
      <c r="H61" s="153">
        <f>D61-(D61*20/100)</f>
        <v>8000</v>
      </c>
      <c r="I61" s="151"/>
      <c r="J61" s="151"/>
      <c r="K61" s="152"/>
      <c r="L61" s="153">
        <f>D61-(D61*40/100)</f>
        <v>6000</v>
      </c>
      <c r="M61" s="151"/>
      <c r="N61" s="151"/>
      <c r="O61" s="152"/>
      <c r="P61" s="20" t="s">
        <v>9</v>
      </c>
      <c r="Q61" s="26" t="s">
        <v>69</v>
      </c>
    </row>
    <row r="62" spans="1:21" x14ac:dyDescent="0.45">
      <c r="C62"/>
    </row>
    <row r="63" spans="1:21" x14ac:dyDescent="0.45">
      <c r="C63"/>
    </row>
    <row r="64" spans="1:21" x14ac:dyDescent="0.45">
      <c r="C64"/>
    </row>
    <row r="65" spans="3:3" x14ac:dyDescent="0.45">
      <c r="C65"/>
    </row>
    <row r="66" spans="3:3" x14ac:dyDescent="0.45">
      <c r="C66"/>
    </row>
    <row r="67" spans="3:3" x14ac:dyDescent="0.45">
      <c r="C67"/>
    </row>
    <row r="68" spans="3:3" x14ac:dyDescent="0.45">
      <c r="C68"/>
    </row>
    <row r="69" spans="3:3" x14ac:dyDescent="0.45">
      <c r="C69"/>
    </row>
    <row r="70" spans="3:3" x14ac:dyDescent="0.45">
      <c r="C70"/>
    </row>
    <row r="71" spans="3:3" x14ac:dyDescent="0.45">
      <c r="C71"/>
    </row>
    <row r="72" spans="3:3" x14ac:dyDescent="0.45">
      <c r="C72"/>
    </row>
    <row r="73" spans="3:3" x14ac:dyDescent="0.45">
      <c r="C73"/>
    </row>
    <row r="74" spans="3:3" x14ac:dyDescent="0.45">
      <c r="C74"/>
    </row>
    <row r="75" spans="3:3" x14ac:dyDescent="0.45">
      <c r="C75"/>
    </row>
    <row r="76" spans="3:3" x14ac:dyDescent="0.45">
      <c r="C76"/>
    </row>
    <row r="77" spans="3:3" x14ac:dyDescent="0.45">
      <c r="C77"/>
    </row>
    <row r="78" spans="3:3" x14ac:dyDescent="0.45">
      <c r="C78"/>
    </row>
    <row r="79" spans="3:3" x14ac:dyDescent="0.45">
      <c r="C79"/>
    </row>
    <row r="80" spans="3:3" x14ac:dyDescent="0.45">
      <c r="C80"/>
    </row>
    <row r="81" spans="3:3" x14ac:dyDescent="0.45">
      <c r="C81"/>
    </row>
    <row r="82" spans="3:3" x14ac:dyDescent="0.45">
      <c r="C82"/>
    </row>
    <row r="83" spans="3:3" x14ac:dyDescent="0.45">
      <c r="C83"/>
    </row>
    <row r="84" spans="3:3" x14ac:dyDescent="0.45">
      <c r="C84"/>
    </row>
    <row r="85" spans="3:3" x14ac:dyDescent="0.45">
      <c r="C85"/>
    </row>
    <row r="86" spans="3:3" x14ac:dyDescent="0.45">
      <c r="C86"/>
    </row>
    <row r="87" spans="3:3" x14ac:dyDescent="0.45">
      <c r="C87"/>
    </row>
    <row r="88" spans="3:3" x14ac:dyDescent="0.45">
      <c r="C88"/>
    </row>
    <row r="89" spans="3:3" x14ac:dyDescent="0.45">
      <c r="C89"/>
    </row>
    <row r="90" spans="3:3" x14ac:dyDescent="0.45">
      <c r="C90"/>
    </row>
    <row r="91" spans="3:3" x14ac:dyDescent="0.45">
      <c r="C91"/>
    </row>
    <row r="92" spans="3:3" x14ac:dyDescent="0.45">
      <c r="C92"/>
    </row>
    <row r="93" spans="3:3" x14ac:dyDescent="0.45">
      <c r="C93"/>
    </row>
    <row r="94" spans="3:3" x14ac:dyDescent="0.45">
      <c r="C94"/>
    </row>
    <row r="95" spans="3:3" x14ac:dyDescent="0.45">
      <c r="C95"/>
    </row>
    <row r="96" spans="3:3" x14ac:dyDescent="0.45">
      <c r="C96"/>
    </row>
    <row r="97" spans="3:3" x14ac:dyDescent="0.45">
      <c r="C97"/>
    </row>
    <row r="98" spans="3:3" x14ac:dyDescent="0.45">
      <c r="C98"/>
    </row>
    <row r="99" spans="3:3" x14ac:dyDescent="0.45">
      <c r="C99"/>
    </row>
    <row r="100" spans="3:3" x14ac:dyDescent="0.45">
      <c r="C100"/>
    </row>
    <row r="101" spans="3:3" x14ac:dyDescent="0.45">
      <c r="C101"/>
    </row>
    <row r="102" spans="3:3" x14ac:dyDescent="0.45">
      <c r="C102"/>
    </row>
    <row r="103" spans="3:3" x14ac:dyDescent="0.45">
      <c r="C103"/>
    </row>
    <row r="104" spans="3:3" x14ac:dyDescent="0.45">
      <c r="C104"/>
    </row>
    <row r="105" spans="3:3" x14ac:dyDescent="0.45">
      <c r="C105"/>
    </row>
    <row r="106" spans="3:3" x14ac:dyDescent="0.45">
      <c r="C106"/>
    </row>
    <row r="107" spans="3:3" x14ac:dyDescent="0.45">
      <c r="C107"/>
    </row>
    <row r="108" spans="3:3" x14ac:dyDescent="0.45">
      <c r="C108"/>
    </row>
    <row r="109" spans="3:3" x14ac:dyDescent="0.45">
      <c r="C109"/>
    </row>
    <row r="110" spans="3:3" x14ac:dyDescent="0.45">
      <c r="C110"/>
    </row>
    <row r="111" spans="3:3" x14ac:dyDescent="0.45">
      <c r="C111"/>
    </row>
    <row r="112" spans="3:3" x14ac:dyDescent="0.45">
      <c r="C112"/>
    </row>
    <row r="113" spans="3:3" x14ac:dyDescent="0.45">
      <c r="C113"/>
    </row>
    <row r="114" spans="3:3" x14ac:dyDescent="0.45">
      <c r="C114"/>
    </row>
    <row r="115" spans="3:3" x14ac:dyDescent="0.45">
      <c r="C115"/>
    </row>
    <row r="116" spans="3:3" x14ac:dyDescent="0.45">
      <c r="C116"/>
    </row>
    <row r="117" spans="3:3" x14ac:dyDescent="0.45">
      <c r="C117"/>
    </row>
    <row r="118" spans="3:3" x14ac:dyDescent="0.45">
      <c r="C118"/>
    </row>
    <row r="119" spans="3:3" x14ac:dyDescent="0.45">
      <c r="C119"/>
    </row>
    <row r="120" spans="3:3" x14ac:dyDescent="0.45">
      <c r="C120"/>
    </row>
    <row r="121" spans="3:3" x14ac:dyDescent="0.45">
      <c r="C121"/>
    </row>
    <row r="122" spans="3:3" x14ac:dyDescent="0.45">
      <c r="C122"/>
    </row>
    <row r="123" spans="3:3" x14ac:dyDescent="0.45">
      <c r="C123"/>
    </row>
    <row r="124" spans="3:3" x14ac:dyDescent="0.45">
      <c r="C124"/>
    </row>
    <row r="125" spans="3:3" x14ac:dyDescent="0.45">
      <c r="C125"/>
    </row>
    <row r="126" spans="3:3" x14ac:dyDescent="0.45">
      <c r="C126"/>
    </row>
    <row r="127" spans="3:3" x14ac:dyDescent="0.45">
      <c r="C127"/>
    </row>
    <row r="128" spans="3:3" x14ac:dyDescent="0.45">
      <c r="C128"/>
    </row>
    <row r="129" spans="3:3" x14ac:dyDescent="0.45">
      <c r="C129"/>
    </row>
    <row r="130" spans="3:3" x14ac:dyDescent="0.45">
      <c r="C130"/>
    </row>
    <row r="131" spans="3:3" x14ac:dyDescent="0.45">
      <c r="C131"/>
    </row>
    <row r="132" spans="3:3" x14ac:dyDescent="0.45">
      <c r="C132"/>
    </row>
    <row r="133" spans="3:3" x14ac:dyDescent="0.45">
      <c r="C133"/>
    </row>
    <row r="134" spans="3:3" x14ac:dyDescent="0.45">
      <c r="C134"/>
    </row>
    <row r="135" spans="3:3" x14ac:dyDescent="0.45">
      <c r="C135"/>
    </row>
    <row r="136" spans="3:3" x14ac:dyDescent="0.45">
      <c r="C136"/>
    </row>
    <row r="137" spans="3:3" x14ac:dyDescent="0.45">
      <c r="C137"/>
    </row>
    <row r="138" spans="3:3" x14ac:dyDescent="0.45">
      <c r="C138"/>
    </row>
    <row r="139" spans="3:3" x14ac:dyDescent="0.45">
      <c r="C139"/>
    </row>
    <row r="140" spans="3:3" x14ac:dyDescent="0.45">
      <c r="C140"/>
    </row>
    <row r="141" spans="3:3" x14ac:dyDescent="0.45">
      <c r="C141"/>
    </row>
    <row r="142" spans="3:3" x14ac:dyDescent="0.45">
      <c r="C142"/>
    </row>
    <row r="143" spans="3:3" x14ac:dyDescent="0.45">
      <c r="C143"/>
    </row>
    <row r="144" spans="3:3" x14ac:dyDescent="0.45">
      <c r="C144"/>
    </row>
    <row r="145" spans="3:3" x14ac:dyDescent="0.45">
      <c r="C145"/>
    </row>
    <row r="146" spans="3:3" x14ac:dyDescent="0.45">
      <c r="C146"/>
    </row>
    <row r="147" spans="3:3" x14ac:dyDescent="0.45">
      <c r="C147"/>
    </row>
    <row r="148" spans="3:3" x14ac:dyDescent="0.45">
      <c r="C148"/>
    </row>
    <row r="149" spans="3:3" x14ac:dyDescent="0.45">
      <c r="C149"/>
    </row>
    <row r="150" spans="3:3" x14ac:dyDescent="0.45">
      <c r="C150"/>
    </row>
    <row r="151" spans="3:3" x14ac:dyDescent="0.45">
      <c r="C151"/>
    </row>
    <row r="152" spans="3:3" x14ac:dyDescent="0.45">
      <c r="C152"/>
    </row>
    <row r="153" spans="3:3" x14ac:dyDescent="0.45">
      <c r="C153"/>
    </row>
    <row r="154" spans="3:3" x14ac:dyDescent="0.45">
      <c r="C154"/>
    </row>
    <row r="155" spans="3:3" x14ac:dyDescent="0.45">
      <c r="C155"/>
    </row>
    <row r="156" spans="3:3" x14ac:dyDescent="0.45">
      <c r="C156"/>
    </row>
    <row r="157" spans="3:3" x14ac:dyDescent="0.45">
      <c r="C157"/>
    </row>
    <row r="158" spans="3:3" x14ac:dyDescent="0.45">
      <c r="C158"/>
    </row>
    <row r="159" spans="3:3" x14ac:dyDescent="0.45">
      <c r="C159"/>
    </row>
    <row r="160" spans="3:3" x14ac:dyDescent="0.45">
      <c r="C160"/>
    </row>
    <row r="161" spans="3:3" x14ac:dyDescent="0.45">
      <c r="C161"/>
    </row>
    <row r="162" spans="3:3" x14ac:dyDescent="0.45">
      <c r="C162"/>
    </row>
    <row r="163" spans="3:3" x14ac:dyDescent="0.45">
      <c r="C163"/>
    </row>
    <row r="164" spans="3:3" x14ac:dyDescent="0.45">
      <c r="C164"/>
    </row>
    <row r="165" spans="3:3" x14ac:dyDescent="0.45">
      <c r="C165"/>
    </row>
    <row r="166" spans="3:3" x14ac:dyDescent="0.45">
      <c r="C166"/>
    </row>
    <row r="167" spans="3:3" x14ac:dyDescent="0.45">
      <c r="C167"/>
    </row>
    <row r="168" spans="3:3" x14ac:dyDescent="0.45">
      <c r="C168"/>
    </row>
    <row r="169" spans="3:3" x14ac:dyDescent="0.45">
      <c r="C169"/>
    </row>
    <row r="170" spans="3:3" x14ac:dyDescent="0.45">
      <c r="C170"/>
    </row>
    <row r="171" spans="3:3" x14ac:dyDescent="0.45">
      <c r="C171"/>
    </row>
    <row r="172" spans="3:3" x14ac:dyDescent="0.45">
      <c r="C172"/>
    </row>
    <row r="173" spans="3:3" x14ac:dyDescent="0.45">
      <c r="C173"/>
    </row>
    <row r="174" spans="3:3" x14ac:dyDescent="0.45">
      <c r="C174"/>
    </row>
    <row r="175" spans="3:3" x14ac:dyDescent="0.45">
      <c r="C175"/>
    </row>
    <row r="176" spans="3:3" x14ac:dyDescent="0.45">
      <c r="C176"/>
    </row>
    <row r="177" spans="3:3" x14ac:dyDescent="0.45">
      <c r="C177"/>
    </row>
    <row r="178" spans="3:3" x14ac:dyDescent="0.45">
      <c r="C178"/>
    </row>
    <row r="179" spans="3:3" x14ac:dyDescent="0.45">
      <c r="C179"/>
    </row>
    <row r="180" spans="3:3" x14ac:dyDescent="0.45">
      <c r="C180"/>
    </row>
    <row r="181" spans="3:3" x14ac:dyDescent="0.45">
      <c r="C181"/>
    </row>
    <row r="182" spans="3:3" x14ac:dyDescent="0.45">
      <c r="C182"/>
    </row>
    <row r="183" spans="3:3" x14ac:dyDescent="0.45">
      <c r="C183"/>
    </row>
    <row r="184" spans="3:3" x14ac:dyDescent="0.45">
      <c r="C184"/>
    </row>
    <row r="185" spans="3:3" x14ac:dyDescent="0.45">
      <c r="C185"/>
    </row>
    <row r="186" spans="3:3" x14ac:dyDescent="0.45">
      <c r="C186"/>
    </row>
    <row r="187" spans="3:3" x14ac:dyDescent="0.45">
      <c r="C187"/>
    </row>
    <row r="188" spans="3:3" x14ac:dyDescent="0.45">
      <c r="C188"/>
    </row>
    <row r="189" spans="3:3" x14ac:dyDescent="0.45">
      <c r="C189"/>
    </row>
    <row r="190" spans="3:3" x14ac:dyDescent="0.45">
      <c r="C190"/>
    </row>
    <row r="191" spans="3:3" x14ac:dyDescent="0.45">
      <c r="C191"/>
    </row>
    <row r="192" spans="3:3" x14ac:dyDescent="0.45">
      <c r="C192"/>
    </row>
    <row r="193" spans="3:3" x14ac:dyDescent="0.45">
      <c r="C193"/>
    </row>
    <row r="194" spans="3:3" x14ac:dyDescent="0.45">
      <c r="C194"/>
    </row>
    <row r="195" spans="3:3" x14ac:dyDescent="0.45">
      <c r="C195"/>
    </row>
    <row r="196" spans="3:3" x14ac:dyDescent="0.45">
      <c r="C196"/>
    </row>
    <row r="197" spans="3:3" x14ac:dyDescent="0.45">
      <c r="C197"/>
    </row>
    <row r="198" spans="3:3" x14ac:dyDescent="0.45">
      <c r="C198"/>
    </row>
    <row r="199" spans="3:3" x14ac:dyDescent="0.45">
      <c r="C199"/>
    </row>
    <row r="200" spans="3:3" x14ac:dyDescent="0.45">
      <c r="C200"/>
    </row>
    <row r="201" spans="3:3" x14ac:dyDescent="0.45">
      <c r="C201"/>
    </row>
    <row r="202" spans="3:3" x14ac:dyDescent="0.45">
      <c r="C202"/>
    </row>
    <row r="203" spans="3:3" x14ac:dyDescent="0.45">
      <c r="C203"/>
    </row>
    <row r="204" spans="3:3" x14ac:dyDescent="0.45">
      <c r="C204"/>
    </row>
    <row r="205" spans="3:3" x14ac:dyDescent="0.45">
      <c r="C205"/>
    </row>
    <row r="206" spans="3:3" x14ac:dyDescent="0.45">
      <c r="C206"/>
    </row>
    <row r="207" spans="3:3" x14ac:dyDescent="0.45">
      <c r="C207"/>
    </row>
    <row r="208" spans="3:3" x14ac:dyDescent="0.45">
      <c r="C208"/>
    </row>
    <row r="209" spans="3:3" x14ac:dyDescent="0.45">
      <c r="C209"/>
    </row>
    <row r="210" spans="3:3" x14ac:dyDescent="0.45">
      <c r="C210"/>
    </row>
    <row r="211" spans="3:3" x14ac:dyDescent="0.45">
      <c r="C211"/>
    </row>
    <row r="212" spans="3:3" x14ac:dyDescent="0.45">
      <c r="C212"/>
    </row>
    <row r="213" spans="3:3" x14ac:dyDescent="0.45">
      <c r="C213"/>
    </row>
    <row r="214" spans="3:3" x14ac:dyDescent="0.45">
      <c r="C214"/>
    </row>
    <row r="215" spans="3:3" x14ac:dyDescent="0.45">
      <c r="C215"/>
    </row>
    <row r="216" spans="3:3" x14ac:dyDescent="0.45">
      <c r="C216"/>
    </row>
    <row r="217" spans="3:3" x14ac:dyDescent="0.45">
      <c r="C217"/>
    </row>
    <row r="218" spans="3:3" x14ac:dyDescent="0.45">
      <c r="C218"/>
    </row>
    <row r="219" spans="3:3" x14ac:dyDescent="0.45">
      <c r="C219"/>
    </row>
    <row r="220" spans="3:3" x14ac:dyDescent="0.45">
      <c r="C220"/>
    </row>
    <row r="221" spans="3:3" x14ac:dyDescent="0.45">
      <c r="C221"/>
    </row>
    <row r="222" spans="3:3" x14ac:dyDescent="0.45">
      <c r="C222"/>
    </row>
    <row r="223" spans="3:3" x14ac:dyDescent="0.45">
      <c r="C223"/>
    </row>
    <row r="224" spans="3:3" x14ac:dyDescent="0.45">
      <c r="C224"/>
    </row>
    <row r="225" spans="3:3" x14ac:dyDescent="0.45">
      <c r="C225"/>
    </row>
    <row r="226" spans="3:3" x14ac:dyDescent="0.45">
      <c r="C226"/>
    </row>
    <row r="227" spans="3:3" x14ac:dyDescent="0.45">
      <c r="C227"/>
    </row>
    <row r="228" spans="3:3" x14ac:dyDescent="0.45">
      <c r="C228"/>
    </row>
    <row r="229" spans="3:3" x14ac:dyDescent="0.45">
      <c r="C229"/>
    </row>
    <row r="230" spans="3:3" x14ac:dyDescent="0.45">
      <c r="C230"/>
    </row>
    <row r="231" spans="3:3" x14ac:dyDescent="0.45">
      <c r="C231"/>
    </row>
    <row r="232" spans="3:3" x14ac:dyDescent="0.45">
      <c r="C232"/>
    </row>
    <row r="233" spans="3:3" x14ac:dyDescent="0.45">
      <c r="C233"/>
    </row>
    <row r="234" spans="3:3" x14ac:dyDescent="0.45">
      <c r="C234"/>
    </row>
    <row r="235" spans="3:3" x14ac:dyDescent="0.45">
      <c r="C235"/>
    </row>
    <row r="236" spans="3:3" x14ac:dyDescent="0.45">
      <c r="C236"/>
    </row>
    <row r="237" spans="3:3" x14ac:dyDescent="0.45">
      <c r="C237"/>
    </row>
    <row r="238" spans="3:3" x14ac:dyDescent="0.45">
      <c r="C238"/>
    </row>
    <row r="239" spans="3:3" x14ac:dyDescent="0.45">
      <c r="C239"/>
    </row>
    <row r="240" spans="3:3" x14ac:dyDescent="0.45">
      <c r="C240"/>
    </row>
    <row r="241" spans="3:3" x14ac:dyDescent="0.45">
      <c r="C241"/>
    </row>
    <row r="242" spans="3:3" x14ac:dyDescent="0.45">
      <c r="C242"/>
    </row>
    <row r="243" spans="3:3" x14ac:dyDescent="0.45">
      <c r="C243"/>
    </row>
    <row r="244" spans="3:3" x14ac:dyDescent="0.45">
      <c r="C244"/>
    </row>
    <row r="245" spans="3:3" x14ac:dyDescent="0.45">
      <c r="C245"/>
    </row>
    <row r="246" spans="3:3" x14ac:dyDescent="0.45">
      <c r="C246"/>
    </row>
    <row r="247" spans="3:3" x14ac:dyDescent="0.45">
      <c r="C247"/>
    </row>
    <row r="248" spans="3:3" x14ac:dyDescent="0.45">
      <c r="C248"/>
    </row>
    <row r="249" spans="3:3" x14ac:dyDescent="0.45">
      <c r="C249"/>
    </row>
    <row r="250" spans="3:3" x14ac:dyDescent="0.45">
      <c r="C250"/>
    </row>
    <row r="251" spans="3:3" x14ac:dyDescent="0.45">
      <c r="C251"/>
    </row>
    <row r="252" spans="3:3" x14ac:dyDescent="0.45">
      <c r="C252"/>
    </row>
    <row r="253" spans="3:3" x14ac:dyDescent="0.45">
      <c r="C253"/>
    </row>
    <row r="254" spans="3:3" x14ac:dyDescent="0.45">
      <c r="C254"/>
    </row>
    <row r="255" spans="3:3" x14ac:dyDescent="0.45">
      <c r="C255"/>
    </row>
    <row r="256" spans="3:3" x14ac:dyDescent="0.45">
      <c r="C256"/>
    </row>
    <row r="257" spans="3:3" x14ac:dyDescent="0.45">
      <c r="C257"/>
    </row>
    <row r="258" spans="3:3" x14ac:dyDescent="0.45">
      <c r="C258"/>
    </row>
    <row r="259" spans="3:3" x14ac:dyDescent="0.45">
      <c r="C259"/>
    </row>
    <row r="260" spans="3:3" x14ac:dyDescent="0.45">
      <c r="C260"/>
    </row>
    <row r="261" spans="3:3" x14ac:dyDescent="0.45">
      <c r="C261"/>
    </row>
    <row r="262" spans="3:3" x14ac:dyDescent="0.45">
      <c r="C262"/>
    </row>
    <row r="263" spans="3:3" x14ac:dyDescent="0.45">
      <c r="C263"/>
    </row>
    <row r="264" spans="3:3" x14ac:dyDescent="0.45">
      <c r="C264"/>
    </row>
    <row r="265" spans="3:3" x14ac:dyDescent="0.45">
      <c r="C265"/>
    </row>
    <row r="266" spans="3:3" x14ac:dyDescent="0.45">
      <c r="C266"/>
    </row>
    <row r="267" spans="3:3" x14ac:dyDescent="0.45">
      <c r="C267"/>
    </row>
    <row r="268" spans="3:3" x14ac:dyDescent="0.45">
      <c r="C268"/>
    </row>
    <row r="269" spans="3:3" x14ac:dyDescent="0.45">
      <c r="C269"/>
    </row>
    <row r="270" spans="3:3" x14ac:dyDescent="0.45">
      <c r="C270"/>
    </row>
    <row r="271" spans="3:3" x14ac:dyDescent="0.45">
      <c r="C271"/>
    </row>
    <row r="272" spans="3:3" x14ac:dyDescent="0.45">
      <c r="C272"/>
    </row>
    <row r="273" spans="3:3" x14ac:dyDescent="0.45">
      <c r="C273"/>
    </row>
    <row r="274" spans="3:3" x14ac:dyDescent="0.45">
      <c r="C274"/>
    </row>
    <row r="275" spans="3:3" x14ac:dyDescent="0.45">
      <c r="C275"/>
    </row>
    <row r="276" spans="3:3" x14ac:dyDescent="0.45">
      <c r="C276"/>
    </row>
    <row r="277" spans="3:3" x14ac:dyDescent="0.45">
      <c r="C277"/>
    </row>
    <row r="278" spans="3:3" x14ac:dyDescent="0.45">
      <c r="C278"/>
    </row>
    <row r="279" spans="3:3" x14ac:dyDescent="0.45">
      <c r="C279"/>
    </row>
    <row r="280" spans="3:3" x14ac:dyDescent="0.45">
      <c r="C280"/>
    </row>
    <row r="281" spans="3:3" x14ac:dyDescent="0.45">
      <c r="C281"/>
    </row>
    <row r="282" spans="3:3" x14ac:dyDescent="0.45">
      <c r="C282"/>
    </row>
    <row r="283" spans="3:3" x14ac:dyDescent="0.45">
      <c r="C283"/>
    </row>
    <row r="284" spans="3:3" x14ac:dyDescent="0.45">
      <c r="C284"/>
    </row>
    <row r="285" spans="3:3" x14ac:dyDescent="0.45">
      <c r="C285"/>
    </row>
    <row r="286" spans="3:3" x14ac:dyDescent="0.45">
      <c r="C286"/>
    </row>
    <row r="287" spans="3:3" x14ac:dyDescent="0.45">
      <c r="C287"/>
    </row>
    <row r="288" spans="3:3" x14ac:dyDescent="0.45">
      <c r="C288"/>
    </row>
    <row r="289" spans="3:3" x14ac:dyDescent="0.45">
      <c r="C289"/>
    </row>
    <row r="290" spans="3:3" x14ac:dyDescent="0.45">
      <c r="C290"/>
    </row>
    <row r="291" spans="3:3" x14ac:dyDescent="0.45">
      <c r="C291"/>
    </row>
    <row r="292" spans="3:3" x14ac:dyDescent="0.45">
      <c r="C292"/>
    </row>
    <row r="293" spans="3:3" x14ac:dyDescent="0.45">
      <c r="C293"/>
    </row>
    <row r="294" spans="3:3" x14ac:dyDescent="0.45">
      <c r="C294"/>
    </row>
    <row r="295" spans="3:3" x14ac:dyDescent="0.45">
      <c r="C295"/>
    </row>
    <row r="296" spans="3:3" x14ac:dyDescent="0.45">
      <c r="C296"/>
    </row>
    <row r="297" spans="3:3" x14ac:dyDescent="0.45">
      <c r="C297"/>
    </row>
    <row r="298" spans="3:3" x14ac:dyDescent="0.45">
      <c r="C298"/>
    </row>
    <row r="299" spans="3:3" x14ac:dyDescent="0.45">
      <c r="C299"/>
    </row>
    <row r="300" spans="3:3" x14ac:dyDescent="0.45">
      <c r="C300"/>
    </row>
    <row r="301" spans="3:3" x14ac:dyDescent="0.45">
      <c r="C301"/>
    </row>
    <row r="302" spans="3:3" x14ac:dyDescent="0.45">
      <c r="C302"/>
    </row>
    <row r="303" spans="3:3" x14ac:dyDescent="0.45">
      <c r="C303"/>
    </row>
    <row r="304" spans="3:3" x14ac:dyDescent="0.45">
      <c r="C304"/>
    </row>
    <row r="305" spans="3:3" x14ac:dyDescent="0.45">
      <c r="C305"/>
    </row>
    <row r="306" spans="3:3" x14ac:dyDescent="0.45">
      <c r="C306"/>
    </row>
    <row r="307" spans="3:3" x14ac:dyDescent="0.45">
      <c r="C307"/>
    </row>
    <row r="308" spans="3:3" x14ac:dyDescent="0.45">
      <c r="C308"/>
    </row>
    <row r="309" spans="3:3" x14ac:dyDescent="0.45">
      <c r="C309"/>
    </row>
    <row r="310" spans="3:3" x14ac:dyDescent="0.45">
      <c r="C310"/>
    </row>
    <row r="311" spans="3:3" x14ac:dyDescent="0.45">
      <c r="C311"/>
    </row>
    <row r="312" spans="3:3" x14ac:dyDescent="0.45">
      <c r="C312"/>
    </row>
    <row r="313" spans="3:3" x14ac:dyDescent="0.45">
      <c r="C313"/>
    </row>
    <row r="314" spans="3:3" x14ac:dyDescent="0.45">
      <c r="C314"/>
    </row>
    <row r="315" spans="3:3" x14ac:dyDescent="0.45">
      <c r="C315"/>
    </row>
    <row r="316" spans="3:3" x14ac:dyDescent="0.45">
      <c r="C316"/>
    </row>
    <row r="317" spans="3:3" x14ac:dyDescent="0.45">
      <c r="C317"/>
    </row>
    <row r="318" spans="3:3" x14ac:dyDescent="0.45">
      <c r="C318"/>
    </row>
    <row r="319" spans="3:3" x14ac:dyDescent="0.45">
      <c r="C319"/>
    </row>
    <row r="320" spans="3:3" x14ac:dyDescent="0.45">
      <c r="C320"/>
    </row>
    <row r="321" spans="3:3" x14ac:dyDescent="0.45">
      <c r="C321"/>
    </row>
    <row r="322" spans="3:3" x14ac:dyDescent="0.45">
      <c r="C322"/>
    </row>
    <row r="323" spans="3:3" x14ac:dyDescent="0.45">
      <c r="C323"/>
    </row>
    <row r="324" spans="3:3" x14ac:dyDescent="0.45">
      <c r="C324"/>
    </row>
    <row r="325" spans="3:3" x14ac:dyDescent="0.45">
      <c r="C325"/>
    </row>
    <row r="326" spans="3:3" x14ac:dyDescent="0.45">
      <c r="C326"/>
    </row>
    <row r="327" spans="3:3" x14ac:dyDescent="0.45">
      <c r="C327"/>
    </row>
    <row r="328" spans="3:3" x14ac:dyDescent="0.45">
      <c r="C328"/>
    </row>
    <row r="329" spans="3:3" x14ac:dyDescent="0.45">
      <c r="C329"/>
    </row>
    <row r="330" spans="3:3" x14ac:dyDescent="0.45">
      <c r="C330"/>
    </row>
    <row r="331" spans="3:3" x14ac:dyDescent="0.45">
      <c r="C331"/>
    </row>
    <row r="332" spans="3:3" x14ac:dyDescent="0.45">
      <c r="C332"/>
    </row>
    <row r="333" spans="3:3" x14ac:dyDescent="0.45">
      <c r="C333"/>
    </row>
    <row r="334" spans="3:3" x14ac:dyDescent="0.45">
      <c r="C334"/>
    </row>
    <row r="335" spans="3:3" x14ac:dyDescent="0.45">
      <c r="C335"/>
    </row>
    <row r="336" spans="3:3" x14ac:dyDescent="0.45">
      <c r="C336"/>
    </row>
    <row r="337" spans="3:3" x14ac:dyDescent="0.45">
      <c r="C337"/>
    </row>
    <row r="338" spans="3:3" x14ac:dyDescent="0.45">
      <c r="C338"/>
    </row>
    <row r="339" spans="3:3" x14ac:dyDescent="0.45">
      <c r="C339"/>
    </row>
    <row r="340" spans="3:3" x14ac:dyDescent="0.45">
      <c r="C340"/>
    </row>
    <row r="341" spans="3:3" x14ac:dyDescent="0.45">
      <c r="C341"/>
    </row>
    <row r="342" spans="3:3" x14ac:dyDescent="0.45">
      <c r="C342"/>
    </row>
    <row r="343" spans="3:3" x14ac:dyDescent="0.45">
      <c r="C343"/>
    </row>
    <row r="344" spans="3:3" x14ac:dyDescent="0.45">
      <c r="C344"/>
    </row>
    <row r="345" spans="3:3" x14ac:dyDescent="0.45">
      <c r="C345"/>
    </row>
    <row r="346" spans="3:3" x14ac:dyDescent="0.45">
      <c r="C346"/>
    </row>
    <row r="347" spans="3:3" x14ac:dyDescent="0.45">
      <c r="C347"/>
    </row>
    <row r="348" spans="3:3" x14ac:dyDescent="0.45">
      <c r="C348"/>
    </row>
    <row r="349" spans="3:3" x14ac:dyDescent="0.45">
      <c r="C349"/>
    </row>
    <row r="350" spans="3:3" x14ac:dyDescent="0.45">
      <c r="C350"/>
    </row>
    <row r="351" spans="3:3" x14ac:dyDescent="0.45">
      <c r="C351"/>
    </row>
    <row r="352" spans="3:3" x14ac:dyDescent="0.45">
      <c r="C352"/>
    </row>
    <row r="353" spans="3:3" x14ac:dyDescent="0.45">
      <c r="C353"/>
    </row>
    <row r="354" spans="3:3" x14ac:dyDescent="0.45">
      <c r="C354"/>
    </row>
    <row r="355" spans="3:3" x14ac:dyDescent="0.45">
      <c r="C355"/>
    </row>
    <row r="356" spans="3:3" x14ac:dyDescent="0.45">
      <c r="C356"/>
    </row>
    <row r="357" spans="3:3" x14ac:dyDescent="0.45">
      <c r="C357"/>
    </row>
    <row r="358" spans="3:3" x14ac:dyDescent="0.45">
      <c r="C358"/>
    </row>
    <row r="359" spans="3:3" x14ac:dyDescent="0.45">
      <c r="C359"/>
    </row>
    <row r="360" spans="3:3" x14ac:dyDescent="0.45">
      <c r="C360"/>
    </row>
    <row r="361" spans="3:3" x14ac:dyDescent="0.45">
      <c r="C361"/>
    </row>
    <row r="362" spans="3:3" x14ac:dyDescent="0.45">
      <c r="C362"/>
    </row>
    <row r="363" spans="3:3" x14ac:dyDescent="0.45">
      <c r="C363"/>
    </row>
    <row r="364" spans="3:3" x14ac:dyDescent="0.45">
      <c r="C364"/>
    </row>
    <row r="365" spans="3:3" x14ac:dyDescent="0.45">
      <c r="C365"/>
    </row>
    <row r="366" spans="3:3" x14ac:dyDescent="0.45">
      <c r="C366"/>
    </row>
    <row r="367" spans="3:3" x14ac:dyDescent="0.45">
      <c r="C367"/>
    </row>
    <row r="368" spans="3:3" x14ac:dyDescent="0.45">
      <c r="C368"/>
    </row>
    <row r="369" spans="3:3" x14ac:dyDescent="0.45">
      <c r="C369"/>
    </row>
    <row r="370" spans="3:3" x14ac:dyDescent="0.45">
      <c r="C370"/>
    </row>
    <row r="371" spans="3:3" x14ac:dyDescent="0.45">
      <c r="C371"/>
    </row>
    <row r="372" spans="3:3" x14ac:dyDescent="0.45">
      <c r="C372"/>
    </row>
    <row r="373" spans="3:3" x14ac:dyDescent="0.45">
      <c r="C373"/>
    </row>
    <row r="374" spans="3:3" x14ac:dyDescent="0.45">
      <c r="C374"/>
    </row>
    <row r="375" spans="3:3" x14ac:dyDescent="0.45">
      <c r="C375"/>
    </row>
    <row r="376" spans="3:3" x14ac:dyDescent="0.45">
      <c r="C376"/>
    </row>
    <row r="377" spans="3:3" x14ac:dyDescent="0.45">
      <c r="C377"/>
    </row>
    <row r="378" spans="3:3" x14ac:dyDescent="0.45">
      <c r="C378"/>
    </row>
    <row r="379" spans="3:3" x14ac:dyDescent="0.45">
      <c r="C379"/>
    </row>
    <row r="380" spans="3:3" x14ac:dyDescent="0.45">
      <c r="C380"/>
    </row>
    <row r="381" spans="3:3" x14ac:dyDescent="0.45">
      <c r="C381"/>
    </row>
    <row r="382" spans="3:3" x14ac:dyDescent="0.45">
      <c r="C382"/>
    </row>
    <row r="383" spans="3:3" x14ac:dyDescent="0.45">
      <c r="C383"/>
    </row>
    <row r="384" spans="3:3" x14ac:dyDescent="0.45">
      <c r="C384"/>
    </row>
    <row r="385" spans="3:3" x14ac:dyDescent="0.45">
      <c r="C385"/>
    </row>
    <row r="386" spans="3:3" x14ac:dyDescent="0.45">
      <c r="C386"/>
    </row>
    <row r="387" spans="3:3" x14ac:dyDescent="0.45">
      <c r="C387"/>
    </row>
    <row r="388" spans="3:3" x14ac:dyDescent="0.45">
      <c r="C388"/>
    </row>
    <row r="389" spans="3:3" x14ac:dyDescent="0.45">
      <c r="C389"/>
    </row>
    <row r="390" spans="3:3" x14ac:dyDescent="0.45">
      <c r="C390"/>
    </row>
    <row r="391" spans="3:3" x14ac:dyDescent="0.45">
      <c r="C391"/>
    </row>
    <row r="392" spans="3:3" x14ac:dyDescent="0.45">
      <c r="C392"/>
    </row>
    <row r="393" spans="3:3" x14ac:dyDescent="0.45">
      <c r="C393"/>
    </row>
    <row r="394" spans="3:3" x14ac:dyDescent="0.45">
      <c r="C394"/>
    </row>
    <row r="395" spans="3:3" x14ac:dyDescent="0.45">
      <c r="C395"/>
    </row>
    <row r="396" spans="3:3" x14ac:dyDescent="0.45">
      <c r="C396"/>
    </row>
    <row r="397" spans="3:3" x14ac:dyDescent="0.45">
      <c r="C397"/>
    </row>
    <row r="398" spans="3:3" x14ac:dyDescent="0.45">
      <c r="C398"/>
    </row>
    <row r="399" spans="3:3" x14ac:dyDescent="0.45">
      <c r="C399"/>
    </row>
    <row r="400" spans="3:3" x14ac:dyDescent="0.45">
      <c r="C400"/>
    </row>
    <row r="401" spans="3:3" x14ac:dyDescent="0.45">
      <c r="C401"/>
    </row>
    <row r="402" spans="3:3" x14ac:dyDescent="0.45">
      <c r="C402"/>
    </row>
    <row r="403" spans="3:3" x14ac:dyDescent="0.45">
      <c r="C403"/>
    </row>
    <row r="404" spans="3:3" x14ac:dyDescent="0.45">
      <c r="C404"/>
    </row>
    <row r="405" spans="3:3" x14ac:dyDescent="0.45">
      <c r="C405"/>
    </row>
    <row r="406" spans="3:3" x14ac:dyDescent="0.45">
      <c r="C406"/>
    </row>
    <row r="407" spans="3:3" x14ac:dyDescent="0.45">
      <c r="C407"/>
    </row>
    <row r="408" spans="3:3" x14ac:dyDescent="0.45">
      <c r="C408"/>
    </row>
    <row r="409" spans="3:3" x14ac:dyDescent="0.45">
      <c r="C409"/>
    </row>
    <row r="410" spans="3:3" x14ac:dyDescent="0.45">
      <c r="C410"/>
    </row>
    <row r="411" spans="3:3" x14ac:dyDescent="0.45">
      <c r="C411"/>
    </row>
    <row r="412" spans="3:3" x14ac:dyDescent="0.45">
      <c r="C412"/>
    </row>
    <row r="413" spans="3:3" x14ac:dyDescent="0.45">
      <c r="C413"/>
    </row>
    <row r="414" spans="3:3" x14ac:dyDescent="0.45">
      <c r="C414"/>
    </row>
    <row r="415" spans="3:3" x14ac:dyDescent="0.45">
      <c r="C415"/>
    </row>
    <row r="416" spans="3:3" x14ac:dyDescent="0.45">
      <c r="C416"/>
    </row>
    <row r="417" spans="3:3" x14ac:dyDescent="0.45">
      <c r="C417"/>
    </row>
    <row r="418" spans="3:3" x14ac:dyDescent="0.45">
      <c r="C418"/>
    </row>
    <row r="419" spans="3:3" x14ac:dyDescent="0.45">
      <c r="C419"/>
    </row>
    <row r="420" spans="3:3" x14ac:dyDescent="0.45">
      <c r="C420"/>
    </row>
    <row r="421" spans="3:3" x14ac:dyDescent="0.45">
      <c r="C421"/>
    </row>
    <row r="422" spans="3:3" x14ac:dyDescent="0.45">
      <c r="C422"/>
    </row>
    <row r="423" spans="3:3" x14ac:dyDescent="0.45">
      <c r="C423"/>
    </row>
    <row r="424" spans="3:3" x14ac:dyDescent="0.45">
      <c r="C424"/>
    </row>
    <row r="425" spans="3:3" x14ac:dyDescent="0.45">
      <c r="C425"/>
    </row>
    <row r="426" spans="3:3" x14ac:dyDescent="0.45">
      <c r="C426"/>
    </row>
    <row r="427" spans="3:3" x14ac:dyDescent="0.45">
      <c r="C427"/>
    </row>
    <row r="428" spans="3:3" x14ac:dyDescent="0.45">
      <c r="C428"/>
    </row>
    <row r="429" spans="3:3" x14ac:dyDescent="0.45">
      <c r="C429"/>
    </row>
    <row r="430" spans="3:3" x14ac:dyDescent="0.45">
      <c r="C430"/>
    </row>
    <row r="431" spans="3:3" x14ac:dyDescent="0.45">
      <c r="C431"/>
    </row>
    <row r="432" spans="3:3" x14ac:dyDescent="0.45">
      <c r="C432"/>
    </row>
    <row r="433" spans="3:3" x14ac:dyDescent="0.45">
      <c r="C433"/>
    </row>
    <row r="434" spans="3:3" x14ac:dyDescent="0.45">
      <c r="C434"/>
    </row>
    <row r="435" spans="3:3" x14ac:dyDescent="0.45">
      <c r="C435"/>
    </row>
    <row r="436" spans="3:3" x14ac:dyDescent="0.45">
      <c r="C436"/>
    </row>
    <row r="437" spans="3:3" x14ac:dyDescent="0.45">
      <c r="C437"/>
    </row>
    <row r="438" spans="3:3" x14ac:dyDescent="0.45">
      <c r="C438"/>
    </row>
    <row r="439" spans="3:3" x14ac:dyDescent="0.45">
      <c r="C439"/>
    </row>
    <row r="440" spans="3:3" x14ac:dyDescent="0.45">
      <c r="C440"/>
    </row>
    <row r="441" spans="3:3" x14ac:dyDescent="0.45">
      <c r="C441"/>
    </row>
    <row r="442" spans="3:3" x14ac:dyDescent="0.45">
      <c r="C442"/>
    </row>
    <row r="443" spans="3:3" x14ac:dyDescent="0.45">
      <c r="C443"/>
    </row>
    <row r="444" spans="3:3" x14ac:dyDescent="0.45">
      <c r="C444"/>
    </row>
    <row r="445" spans="3:3" x14ac:dyDescent="0.45">
      <c r="C445"/>
    </row>
    <row r="446" spans="3:3" x14ac:dyDescent="0.45">
      <c r="C446"/>
    </row>
    <row r="447" spans="3:3" x14ac:dyDescent="0.45">
      <c r="C447"/>
    </row>
    <row r="448" spans="3:3" x14ac:dyDescent="0.45">
      <c r="C448"/>
    </row>
    <row r="449" spans="3:3" x14ac:dyDescent="0.45">
      <c r="C449"/>
    </row>
    <row r="450" spans="3:3" x14ac:dyDescent="0.45">
      <c r="C450"/>
    </row>
    <row r="451" spans="3:3" x14ac:dyDescent="0.45">
      <c r="C451"/>
    </row>
    <row r="452" spans="3:3" x14ac:dyDescent="0.45">
      <c r="C452"/>
    </row>
    <row r="453" spans="3:3" x14ac:dyDescent="0.45">
      <c r="C453"/>
    </row>
    <row r="454" spans="3:3" x14ac:dyDescent="0.45">
      <c r="C454"/>
    </row>
    <row r="455" spans="3:3" x14ac:dyDescent="0.45">
      <c r="C455"/>
    </row>
    <row r="456" spans="3:3" x14ac:dyDescent="0.45">
      <c r="C456"/>
    </row>
    <row r="457" spans="3:3" x14ac:dyDescent="0.45">
      <c r="C457"/>
    </row>
    <row r="458" spans="3:3" x14ac:dyDescent="0.45">
      <c r="C458"/>
    </row>
    <row r="459" spans="3:3" x14ac:dyDescent="0.45">
      <c r="C459"/>
    </row>
    <row r="460" spans="3:3" x14ac:dyDescent="0.45">
      <c r="C460"/>
    </row>
    <row r="461" spans="3:3" x14ac:dyDescent="0.45">
      <c r="C461"/>
    </row>
    <row r="462" spans="3:3" x14ac:dyDescent="0.45">
      <c r="C462"/>
    </row>
    <row r="463" spans="3:3" x14ac:dyDescent="0.45">
      <c r="C463"/>
    </row>
    <row r="464" spans="3:3" x14ac:dyDescent="0.45">
      <c r="C464"/>
    </row>
    <row r="465" spans="3:3" x14ac:dyDescent="0.45">
      <c r="C465"/>
    </row>
    <row r="466" spans="3:3" x14ac:dyDescent="0.45">
      <c r="C466"/>
    </row>
    <row r="467" spans="3:3" x14ac:dyDescent="0.45">
      <c r="C467"/>
    </row>
    <row r="468" spans="3:3" x14ac:dyDescent="0.45">
      <c r="C468"/>
    </row>
    <row r="469" spans="3:3" x14ac:dyDescent="0.45">
      <c r="C469"/>
    </row>
    <row r="470" spans="3:3" x14ac:dyDescent="0.45">
      <c r="C470"/>
    </row>
    <row r="471" spans="3:3" x14ac:dyDescent="0.45">
      <c r="C471"/>
    </row>
    <row r="472" spans="3:3" x14ac:dyDescent="0.45">
      <c r="C472"/>
    </row>
    <row r="473" spans="3:3" x14ac:dyDescent="0.45">
      <c r="C473"/>
    </row>
    <row r="474" spans="3:3" x14ac:dyDescent="0.45">
      <c r="C474"/>
    </row>
    <row r="475" spans="3:3" x14ac:dyDescent="0.45">
      <c r="C475"/>
    </row>
    <row r="476" spans="3:3" x14ac:dyDescent="0.45">
      <c r="C476"/>
    </row>
    <row r="477" spans="3:3" x14ac:dyDescent="0.45">
      <c r="C477"/>
    </row>
    <row r="478" spans="3:3" x14ac:dyDescent="0.45">
      <c r="C478"/>
    </row>
    <row r="479" spans="3:3" x14ac:dyDescent="0.45">
      <c r="C479"/>
    </row>
    <row r="480" spans="3:3" x14ac:dyDescent="0.45">
      <c r="C480"/>
    </row>
    <row r="481" spans="3:3" x14ac:dyDescent="0.45">
      <c r="C481"/>
    </row>
    <row r="482" spans="3:3" x14ac:dyDescent="0.45">
      <c r="C482"/>
    </row>
    <row r="483" spans="3:3" x14ac:dyDescent="0.45">
      <c r="C483"/>
    </row>
    <row r="484" spans="3:3" x14ac:dyDescent="0.45">
      <c r="C484"/>
    </row>
    <row r="485" spans="3:3" x14ac:dyDescent="0.45">
      <c r="C485"/>
    </row>
    <row r="486" spans="3:3" x14ac:dyDescent="0.45">
      <c r="C486"/>
    </row>
    <row r="487" spans="3:3" x14ac:dyDescent="0.45">
      <c r="C487"/>
    </row>
    <row r="488" spans="3:3" x14ac:dyDescent="0.45">
      <c r="C488"/>
    </row>
    <row r="489" spans="3:3" x14ac:dyDescent="0.45">
      <c r="C489"/>
    </row>
    <row r="490" spans="3:3" x14ac:dyDescent="0.45">
      <c r="C490"/>
    </row>
    <row r="491" spans="3:3" x14ac:dyDescent="0.45">
      <c r="C491"/>
    </row>
    <row r="492" spans="3:3" x14ac:dyDescent="0.45">
      <c r="C492"/>
    </row>
    <row r="493" spans="3:3" x14ac:dyDescent="0.45">
      <c r="C493"/>
    </row>
    <row r="494" spans="3:3" x14ac:dyDescent="0.45">
      <c r="C494"/>
    </row>
    <row r="495" spans="3:3" x14ac:dyDescent="0.45">
      <c r="C495"/>
    </row>
    <row r="496" spans="3:3" x14ac:dyDescent="0.45">
      <c r="C496"/>
    </row>
    <row r="497" spans="3:3" x14ac:dyDescent="0.45">
      <c r="C497"/>
    </row>
    <row r="498" spans="3:3" x14ac:dyDescent="0.45">
      <c r="C498"/>
    </row>
    <row r="499" spans="3:3" x14ac:dyDescent="0.45">
      <c r="C499"/>
    </row>
    <row r="500" spans="3:3" x14ac:dyDescent="0.45">
      <c r="C500"/>
    </row>
    <row r="501" spans="3:3" x14ac:dyDescent="0.45">
      <c r="C501"/>
    </row>
    <row r="502" spans="3:3" x14ac:dyDescent="0.45">
      <c r="C502"/>
    </row>
    <row r="503" spans="3:3" x14ac:dyDescent="0.45">
      <c r="C503"/>
    </row>
    <row r="504" spans="3:3" x14ac:dyDescent="0.45">
      <c r="C504"/>
    </row>
    <row r="505" spans="3:3" x14ac:dyDescent="0.45">
      <c r="C505"/>
    </row>
    <row r="506" spans="3:3" x14ac:dyDescent="0.45">
      <c r="C506"/>
    </row>
    <row r="507" spans="3:3" x14ac:dyDescent="0.45">
      <c r="C507"/>
    </row>
    <row r="508" spans="3:3" x14ac:dyDescent="0.45">
      <c r="C508"/>
    </row>
    <row r="509" spans="3:3" x14ac:dyDescent="0.45">
      <c r="C509"/>
    </row>
    <row r="510" spans="3:3" x14ac:dyDescent="0.45">
      <c r="C510"/>
    </row>
    <row r="511" spans="3:3" x14ac:dyDescent="0.45">
      <c r="C511"/>
    </row>
    <row r="512" spans="3:3" x14ac:dyDescent="0.45">
      <c r="C512"/>
    </row>
    <row r="513" spans="3:3" x14ac:dyDescent="0.45">
      <c r="C513"/>
    </row>
    <row r="514" spans="3:3" x14ac:dyDescent="0.45">
      <c r="C514"/>
    </row>
    <row r="515" spans="3:3" x14ac:dyDescent="0.45">
      <c r="C515"/>
    </row>
    <row r="516" spans="3:3" x14ac:dyDescent="0.45">
      <c r="C516"/>
    </row>
    <row r="517" spans="3:3" x14ac:dyDescent="0.45">
      <c r="C517"/>
    </row>
    <row r="518" spans="3:3" x14ac:dyDescent="0.45">
      <c r="C518"/>
    </row>
    <row r="519" spans="3:3" x14ac:dyDescent="0.45">
      <c r="C519"/>
    </row>
    <row r="520" spans="3:3" x14ac:dyDescent="0.45">
      <c r="C520"/>
    </row>
    <row r="521" spans="3:3" x14ac:dyDescent="0.45">
      <c r="C521"/>
    </row>
    <row r="522" spans="3:3" x14ac:dyDescent="0.45">
      <c r="C522"/>
    </row>
    <row r="523" spans="3:3" x14ac:dyDescent="0.45">
      <c r="C523"/>
    </row>
    <row r="524" spans="3:3" x14ac:dyDescent="0.45">
      <c r="C524"/>
    </row>
    <row r="525" spans="3:3" x14ac:dyDescent="0.45">
      <c r="C525"/>
    </row>
    <row r="526" spans="3:3" x14ac:dyDescent="0.45">
      <c r="C526"/>
    </row>
    <row r="527" spans="3:3" x14ac:dyDescent="0.45">
      <c r="C527"/>
    </row>
    <row r="528" spans="3:3" x14ac:dyDescent="0.45">
      <c r="C528"/>
    </row>
    <row r="529" spans="3:3" x14ac:dyDescent="0.45">
      <c r="C529"/>
    </row>
    <row r="530" spans="3:3" x14ac:dyDescent="0.45">
      <c r="C530"/>
    </row>
    <row r="531" spans="3:3" x14ac:dyDescent="0.45">
      <c r="C531"/>
    </row>
    <row r="532" spans="3:3" x14ac:dyDescent="0.45">
      <c r="C532"/>
    </row>
    <row r="533" spans="3:3" x14ac:dyDescent="0.45">
      <c r="C533"/>
    </row>
    <row r="534" spans="3:3" x14ac:dyDescent="0.45">
      <c r="C534"/>
    </row>
    <row r="535" spans="3:3" x14ac:dyDescent="0.45">
      <c r="C535"/>
    </row>
    <row r="536" spans="3:3" x14ac:dyDescent="0.45">
      <c r="C536"/>
    </row>
    <row r="537" spans="3:3" x14ac:dyDescent="0.45">
      <c r="C537"/>
    </row>
    <row r="538" spans="3:3" x14ac:dyDescent="0.45">
      <c r="C538"/>
    </row>
    <row r="539" spans="3:3" x14ac:dyDescent="0.45">
      <c r="C539"/>
    </row>
    <row r="540" spans="3:3" x14ac:dyDescent="0.45">
      <c r="C540"/>
    </row>
    <row r="541" spans="3:3" x14ac:dyDescent="0.45">
      <c r="C541"/>
    </row>
    <row r="542" spans="3:3" x14ac:dyDescent="0.45">
      <c r="C542"/>
    </row>
    <row r="543" spans="3:3" x14ac:dyDescent="0.45">
      <c r="C543"/>
    </row>
    <row r="544" spans="3:3" x14ac:dyDescent="0.45">
      <c r="C544"/>
    </row>
    <row r="545" spans="3:3" x14ac:dyDescent="0.45">
      <c r="C545"/>
    </row>
    <row r="546" spans="3:3" x14ac:dyDescent="0.45">
      <c r="C546"/>
    </row>
    <row r="547" spans="3:3" x14ac:dyDescent="0.45">
      <c r="C547"/>
    </row>
    <row r="548" spans="3:3" x14ac:dyDescent="0.45">
      <c r="C548"/>
    </row>
    <row r="549" spans="3:3" x14ac:dyDescent="0.45">
      <c r="C549"/>
    </row>
    <row r="550" spans="3:3" x14ac:dyDescent="0.45">
      <c r="C550"/>
    </row>
    <row r="551" spans="3:3" x14ac:dyDescent="0.45">
      <c r="C551"/>
    </row>
    <row r="552" spans="3:3" x14ac:dyDescent="0.45">
      <c r="C552"/>
    </row>
    <row r="553" spans="3:3" x14ac:dyDescent="0.45">
      <c r="C553"/>
    </row>
    <row r="554" spans="3:3" x14ac:dyDescent="0.45">
      <c r="C554"/>
    </row>
    <row r="555" spans="3:3" x14ac:dyDescent="0.45">
      <c r="C555"/>
    </row>
    <row r="556" spans="3:3" x14ac:dyDescent="0.45">
      <c r="C556"/>
    </row>
    <row r="557" spans="3:3" x14ac:dyDescent="0.45">
      <c r="C557"/>
    </row>
    <row r="558" spans="3:3" x14ac:dyDescent="0.45">
      <c r="C558"/>
    </row>
    <row r="559" spans="3:3" x14ac:dyDescent="0.45">
      <c r="C559"/>
    </row>
    <row r="560" spans="3:3" x14ac:dyDescent="0.45">
      <c r="C560"/>
    </row>
    <row r="561" spans="3:3" x14ac:dyDescent="0.45">
      <c r="C561"/>
    </row>
    <row r="562" spans="3:3" x14ac:dyDescent="0.45">
      <c r="C562"/>
    </row>
    <row r="563" spans="3:3" x14ac:dyDescent="0.45">
      <c r="C563"/>
    </row>
    <row r="564" spans="3:3" x14ac:dyDescent="0.45">
      <c r="C564"/>
    </row>
    <row r="565" spans="3:3" x14ac:dyDescent="0.45">
      <c r="C565"/>
    </row>
    <row r="566" spans="3:3" x14ac:dyDescent="0.45">
      <c r="C566"/>
    </row>
    <row r="567" spans="3:3" x14ac:dyDescent="0.45">
      <c r="C567"/>
    </row>
    <row r="568" spans="3:3" x14ac:dyDescent="0.45">
      <c r="C568"/>
    </row>
    <row r="569" spans="3:3" x14ac:dyDescent="0.45">
      <c r="C569"/>
    </row>
    <row r="570" spans="3:3" x14ac:dyDescent="0.45">
      <c r="C570"/>
    </row>
    <row r="571" spans="3:3" x14ac:dyDescent="0.45">
      <c r="C571"/>
    </row>
    <row r="572" spans="3:3" x14ac:dyDescent="0.45">
      <c r="C572"/>
    </row>
    <row r="573" spans="3:3" x14ac:dyDescent="0.45">
      <c r="C573"/>
    </row>
    <row r="574" spans="3:3" x14ac:dyDescent="0.45">
      <c r="C574"/>
    </row>
    <row r="575" spans="3:3" x14ac:dyDescent="0.45">
      <c r="C575"/>
    </row>
    <row r="576" spans="3:3" x14ac:dyDescent="0.45">
      <c r="C576"/>
    </row>
    <row r="577" spans="3:3" x14ac:dyDescent="0.45">
      <c r="C577"/>
    </row>
    <row r="578" spans="3:3" x14ac:dyDescent="0.45">
      <c r="C578"/>
    </row>
    <row r="579" spans="3:3" x14ac:dyDescent="0.45">
      <c r="C579"/>
    </row>
    <row r="580" spans="3:3" x14ac:dyDescent="0.45">
      <c r="C580"/>
    </row>
    <row r="581" spans="3:3" x14ac:dyDescent="0.45">
      <c r="C581"/>
    </row>
    <row r="582" spans="3:3" x14ac:dyDescent="0.45">
      <c r="C582"/>
    </row>
    <row r="583" spans="3:3" x14ac:dyDescent="0.45">
      <c r="C583"/>
    </row>
    <row r="584" spans="3:3" x14ac:dyDescent="0.45">
      <c r="C584"/>
    </row>
    <row r="585" spans="3:3" x14ac:dyDescent="0.45">
      <c r="C585"/>
    </row>
    <row r="586" spans="3:3" x14ac:dyDescent="0.45">
      <c r="C586"/>
    </row>
    <row r="587" spans="3:3" x14ac:dyDescent="0.45">
      <c r="C587"/>
    </row>
    <row r="588" spans="3:3" x14ac:dyDescent="0.45">
      <c r="C588"/>
    </row>
    <row r="589" spans="3:3" x14ac:dyDescent="0.45">
      <c r="C589"/>
    </row>
    <row r="590" spans="3:3" x14ac:dyDescent="0.45">
      <c r="C590"/>
    </row>
    <row r="591" spans="3:3" x14ac:dyDescent="0.45">
      <c r="C591"/>
    </row>
    <row r="592" spans="3:3" x14ac:dyDescent="0.45">
      <c r="C592"/>
    </row>
    <row r="593" spans="3:3" x14ac:dyDescent="0.45">
      <c r="C593"/>
    </row>
    <row r="594" spans="3:3" x14ac:dyDescent="0.45">
      <c r="C594"/>
    </row>
    <row r="595" spans="3:3" x14ac:dyDescent="0.45">
      <c r="C595"/>
    </row>
    <row r="596" spans="3:3" x14ac:dyDescent="0.45">
      <c r="C596"/>
    </row>
    <row r="597" spans="3:3" x14ac:dyDescent="0.45">
      <c r="C597"/>
    </row>
    <row r="598" spans="3:3" x14ac:dyDescent="0.45">
      <c r="C598"/>
    </row>
    <row r="599" spans="3:3" x14ac:dyDescent="0.45">
      <c r="C599"/>
    </row>
    <row r="600" spans="3:3" x14ac:dyDescent="0.45">
      <c r="C600"/>
    </row>
    <row r="601" spans="3:3" x14ac:dyDescent="0.45">
      <c r="C601"/>
    </row>
    <row r="602" spans="3:3" x14ac:dyDescent="0.45">
      <c r="C602"/>
    </row>
    <row r="603" spans="3:3" x14ac:dyDescent="0.45">
      <c r="C603"/>
    </row>
    <row r="604" spans="3:3" x14ac:dyDescent="0.45">
      <c r="C604"/>
    </row>
    <row r="605" spans="3:3" x14ac:dyDescent="0.45">
      <c r="C605"/>
    </row>
    <row r="606" spans="3:3" x14ac:dyDescent="0.45">
      <c r="C606"/>
    </row>
    <row r="607" spans="3:3" x14ac:dyDescent="0.45">
      <c r="C607"/>
    </row>
    <row r="608" spans="3:3" x14ac:dyDescent="0.45">
      <c r="C608"/>
    </row>
    <row r="609" spans="3:3" x14ac:dyDescent="0.45">
      <c r="C609"/>
    </row>
    <row r="610" spans="3:3" x14ac:dyDescent="0.45">
      <c r="C610"/>
    </row>
    <row r="611" spans="3:3" x14ac:dyDescent="0.45">
      <c r="C611"/>
    </row>
    <row r="612" spans="3:3" x14ac:dyDescent="0.45">
      <c r="C612"/>
    </row>
    <row r="613" spans="3:3" x14ac:dyDescent="0.45">
      <c r="C613"/>
    </row>
    <row r="614" spans="3:3" x14ac:dyDescent="0.45">
      <c r="C614"/>
    </row>
    <row r="615" spans="3:3" x14ac:dyDescent="0.45">
      <c r="C615"/>
    </row>
    <row r="616" spans="3:3" x14ac:dyDescent="0.45">
      <c r="C616"/>
    </row>
    <row r="617" spans="3:3" x14ac:dyDescent="0.45">
      <c r="C617"/>
    </row>
    <row r="618" spans="3:3" x14ac:dyDescent="0.45">
      <c r="C618"/>
    </row>
    <row r="619" spans="3:3" x14ac:dyDescent="0.45">
      <c r="C619"/>
    </row>
    <row r="620" spans="3:3" x14ac:dyDescent="0.45">
      <c r="C620"/>
    </row>
    <row r="621" spans="3:3" x14ac:dyDescent="0.45">
      <c r="C621"/>
    </row>
    <row r="622" spans="3:3" x14ac:dyDescent="0.45">
      <c r="C622"/>
    </row>
    <row r="623" spans="3:3" x14ac:dyDescent="0.45">
      <c r="C623"/>
    </row>
    <row r="624" spans="3:3" x14ac:dyDescent="0.45">
      <c r="C624"/>
    </row>
    <row r="625" spans="3:3" x14ac:dyDescent="0.45">
      <c r="C625"/>
    </row>
    <row r="626" spans="3:3" x14ac:dyDescent="0.45">
      <c r="C626"/>
    </row>
    <row r="627" spans="3:3" x14ac:dyDescent="0.45">
      <c r="C627"/>
    </row>
    <row r="628" spans="3:3" x14ac:dyDescent="0.45">
      <c r="C628"/>
    </row>
    <row r="629" spans="3:3" x14ac:dyDescent="0.45">
      <c r="C629"/>
    </row>
    <row r="630" spans="3:3" x14ac:dyDescent="0.45">
      <c r="C630"/>
    </row>
    <row r="631" spans="3:3" x14ac:dyDescent="0.45">
      <c r="C631"/>
    </row>
    <row r="632" spans="3:3" x14ac:dyDescent="0.45">
      <c r="C632"/>
    </row>
    <row r="633" spans="3:3" x14ac:dyDescent="0.45">
      <c r="C633"/>
    </row>
    <row r="634" spans="3:3" x14ac:dyDescent="0.45">
      <c r="C634"/>
    </row>
    <row r="635" spans="3:3" x14ac:dyDescent="0.45">
      <c r="C635"/>
    </row>
    <row r="636" spans="3:3" x14ac:dyDescent="0.45">
      <c r="C636"/>
    </row>
    <row r="637" spans="3:3" x14ac:dyDescent="0.45">
      <c r="C637"/>
    </row>
    <row r="638" spans="3:3" x14ac:dyDescent="0.45">
      <c r="C638"/>
    </row>
    <row r="639" spans="3:3" x14ac:dyDescent="0.45">
      <c r="C639"/>
    </row>
    <row r="640" spans="3:3" x14ac:dyDescent="0.45">
      <c r="C640"/>
    </row>
    <row r="641" spans="3:3" x14ac:dyDescent="0.45">
      <c r="C641"/>
    </row>
    <row r="642" spans="3:3" x14ac:dyDescent="0.45">
      <c r="C642"/>
    </row>
    <row r="643" spans="3:3" x14ac:dyDescent="0.45">
      <c r="C643"/>
    </row>
    <row r="644" spans="3:3" x14ac:dyDescent="0.45">
      <c r="C644"/>
    </row>
    <row r="645" spans="3:3" x14ac:dyDescent="0.45">
      <c r="C645"/>
    </row>
    <row r="646" spans="3:3" x14ac:dyDescent="0.45">
      <c r="C646"/>
    </row>
    <row r="647" spans="3:3" x14ac:dyDescent="0.45">
      <c r="C647"/>
    </row>
    <row r="648" spans="3:3" x14ac:dyDescent="0.45">
      <c r="C648"/>
    </row>
    <row r="649" spans="3:3" x14ac:dyDescent="0.45">
      <c r="C649"/>
    </row>
    <row r="650" spans="3:3" x14ac:dyDescent="0.45">
      <c r="C650"/>
    </row>
    <row r="651" spans="3:3" x14ac:dyDescent="0.45">
      <c r="C651"/>
    </row>
    <row r="652" spans="3:3" x14ac:dyDescent="0.45">
      <c r="C652"/>
    </row>
    <row r="653" spans="3:3" x14ac:dyDescent="0.45">
      <c r="C653"/>
    </row>
    <row r="654" spans="3:3" x14ac:dyDescent="0.45">
      <c r="C654"/>
    </row>
    <row r="655" spans="3:3" x14ac:dyDescent="0.45">
      <c r="C655"/>
    </row>
    <row r="656" spans="3:3" x14ac:dyDescent="0.45">
      <c r="C656"/>
    </row>
    <row r="657" spans="3:3" x14ac:dyDescent="0.45">
      <c r="C657"/>
    </row>
    <row r="658" spans="3:3" x14ac:dyDescent="0.45">
      <c r="C658"/>
    </row>
    <row r="659" spans="3:3" x14ac:dyDescent="0.45">
      <c r="C659"/>
    </row>
    <row r="660" spans="3:3" x14ac:dyDescent="0.45">
      <c r="C660"/>
    </row>
    <row r="661" spans="3:3" x14ac:dyDescent="0.45">
      <c r="C661"/>
    </row>
    <row r="662" spans="3:3" x14ac:dyDescent="0.45">
      <c r="C662"/>
    </row>
    <row r="663" spans="3:3" x14ac:dyDescent="0.45">
      <c r="C663"/>
    </row>
    <row r="664" spans="3:3" x14ac:dyDescent="0.45">
      <c r="C664"/>
    </row>
    <row r="665" spans="3:3" x14ac:dyDescent="0.45">
      <c r="C665"/>
    </row>
    <row r="666" spans="3:3" x14ac:dyDescent="0.45">
      <c r="C666"/>
    </row>
    <row r="667" spans="3:3" x14ac:dyDescent="0.45">
      <c r="C667"/>
    </row>
    <row r="668" spans="3:3" x14ac:dyDescent="0.45">
      <c r="C668"/>
    </row>
    <row r="669" spans="3:3" x14ac:dyDescent="0.45">
      <c r="C669"/>
    </row>
    <row r="670" spans="3:3" x14ac:dyDescent="0.45">
      <c r="C670"/>
    </row>
    <row r="671" spans="3:3" x14ac:dyDescent="0.45">
      <c r="C671"/>
    </row>
    <row r="672" spans="3:3" x14ac:dyDescent="0.45">
      <c r="C672"/>
    </row>
    <row r="673" spans="3:3" x14ac:dyDescent="0.45">
      <c r="C673"/>
    </row>
    <row r="674" spans="3:3" x14ac:dyDescent="0.45">
      <c r="C674"/>
    </row>
    <row r="675" spans="3:3" x14ac:dyDescent="0.45">
      <c r="C675"/>
    </row>
    <row r="676" spans="3:3" x14ac:dyDescent="0.45">
      <c r="C676"/>
    </row>
    <row r="677" spans="3:3" x14ac:dyDescent="0.45">
      <c r="C677"/>
    </row>
    <row r="678" spans="3:3" x14ac:dyDescent="0.45">
      <c r="C678"/>
    </row>
    <row r="679" spans="3:3" x14ac:dyDescent="0.45">
      <c r="C679"/>
    </row>
    <row r="680" spans="3:3" x14ac:dyDescent="0.45">
      <c r="C680"/>
    </row>
    <row r="681" spans="3:3" x14ac:dyDescent="0.45">
      <c r="C681"/>
    </row>
    <row r="682" spans="3:3" x14ac:dyDescent="0.45">
      <c r="C682"/>
    </row>
    <row r="683" spans="3:3" x14ac:dyDescent="0.45">
      <c r="C683"/>
    </row>
    <row r="684" spans="3:3" x14ac:dyDescent="0.45">
      <c r="C684"/>
    </row>
    <row r="685" spans="3:3" x14ac:dyDescent="0.45">
      <c r="C685"/>
    </row>
    <row r="686" spans="3:3" x14ac:dyDescent="0.45">
      <c r="C686"/>
    </row>
    <row r="687" spans="3:3" x14ac:dyDescent="0.45">
      <c r="C687"/>
    </row>
    <row r="688" spans="3:3" x14ac:dyDescent="0.45">
      <c r="C688"/>
    </row>
    <row r="689" spans="3:3" x14ac:dyDescent="0.45">
      <c r="C689"/>
    </row>
    <row r="690" spans="3:3" x14ac:dyDescent="0.45">
      <c r="C690"/>
    </row>
    <row r="691" spans="3:3" x14ac:dyDescent="0.45">
      <c r="C691"/>
    </row>
    <row r="692" spans="3:3" x14ac:dyDescent="0.45">
      <c r="C692"/>
    </row>
    <row r="693" spans="3:3" x14ac:dyDescent="0.45">
      <c r="C693"/>
    </row>
    <row r="694" spans="3:3" x14ac:dyDescent="0.45">
      <c r="C694"/>
    </row>
    <row r="695" spans="3:3" x14ac:dyDescent="0.45">
      <c r="C695"/>
    </row>
    <row r="696" spans="3:3" x14ac:dyDescent="0.45">
      <c r="C696"/>
    </row>
    <row r="697" spans="3:3" x14ac:dyDescent="0.45">
      <c r="C697"/>
    </row>
    <row r="698" spans="3:3" x14ac:dyDescent="0.45">
      <c r="C698"/>
    </row>
    <row r="699" spans="3:3" x14ac:dyDescent="0.45">
      <c r="C699"/>
    </row>
    <row r="700" spans="3:3" x14ac:dyDescent="0.45">
      <c r="C700"/>
    </row>
    <row r="701" spans="3:3" x14ac:dyDescent="0.45">
      <c r="C701"/>
    </row>
    <row r="702" spans="3:3" x14ac:dyDescent="0.45">
      <c r="C702"/>
    </row>
    <row r="703" spans="3:3" x14ac:dyDescent="0.45">
      <c r="C703"/>
    </row>
    <row r="704" spans="3:3" x14ac:dyDescent="0.45">
      <c r="C704"/>
    </row>
    <row r="705" spans="3:3" x14ac:dyDescent="0.45">
      <c r="C705"/>
    </row>
    <row r="706" spans="3:3" x14ac:dyDescent="0.45">
      <c r="C706"/>
    </row>
    <row r="707" spans="3:3" x14ac:dyDescent="0.45">
      <c r="C707"/>
    </row>
    <row r="708" spans="3:3" x14ac:dyDescent="0.45">
      <c r="C708"/>
    </row>
    <row r="709" spans="3:3" x14ac:dyDescent="0.45">
      <c r="C709"/>
    </row>
    <row r="710" spans="3:3" x14ac:dyDescent="0.45">
      <c r="C710"/>
    </row>
    <row r="711" spans="3:3" x14ac:dyDescent="0.45">
      <c r="C711"/>
    </row>
    <row r="712" spans="3:3" x14ac:dyDescent="0.45">
      <c r="C712"/>
    </row>
    <row r="713" spans="3:3" x14ac:dyDescent="0.45">
      <c r="C713"/>
    </row>
    <row r="714" spans="3:3" x14ac:dyDescent="0.45">
      <c r="C714"/>
    </row>
    <row r="715" spans="3:3" x14ac:dyDescent="0.45">
      <c r="C715"/>
    </row>
    <row r="716" spans="3:3" x14ac:dyDescent="0.45">
      <c r="C716"/>
    </row>
    <row r="717" spans="3:3" x14ac:dyDescent="0.45">
      <c r="C717"/>
    </row>
    <row r="718" spans="3:3" x14ac:dyDescent="0.45">
      <c r="C718"/>
    </row>
    <row r="719" spans="3:3" x14ac:dyDescent="0.45">
      <c r="C719"/>
    </row>
    <row r="720" spans="3:3" x14ac:dyDescent="0.45">
      <c r="C720"/>
    </row>
    <row r="721" spans="3:3" x14ac:dyDescent="0.45">
      <c r="C721"/>
    </row>
    <row r="722" spans="3:3" x14ac:dyDescent="0.45">
      <c r="C722"/>
    </row>
    <row r="723" spans="3:3" x14ac:dyDescent="0.45">
      <c r="C723"/>
    </row>
    <row r="724" spans="3:3" x14ac:dyDescent="0.45">
      <c r="C724"/>
    </row>
    <row r="725" spans="3:3" x14ac:dyDescent="0.45">
      <c r="C725"/>
    </row>
    <row r="726" spans="3:3" x14ac:dyDescent="0.45">
      <c r="C726"/>
    </row>
    <row r="727" spans="3:3" x14ac:dyDescent="0.45">
      <c r="C727"/>
    </row>
    <row r="728" spans="3:3" x14ac:dyDescent="0.45">
      <c r="C728"/>
    </row>
    <row r="729" spans="3:3" x14ac:dyDescent="0.45">
      <c r="C729"/>
    </row>
    <row r="730" spans="3:3" x14ac:dyDescent="0.45">
      <c r="C730"/>
    </row>
    <row r="731" spans="3:3" x14ac:dyDescent="0.45">
      <c r="C731"/>
    </row>
    <row r="732" spans="3:3" x14ac:dyDescent="0.45">
      <c r="C732"/>
    </row>
    <row r="733" spans="3:3" x14ac:dyDescent="0.45">
      <c r="C733"/>
    </row>
    <row r="734" spans="3:3" x14ac:dyDescent="0.45">
      <c r="C734"/>
    </row>
    <row r="735" spans="3:3" x14ac:dyDescent="0.45">
      <c r="C735"/>
    </row>
    <row r="736" spans="3:3" x14ac:dyDescent="0.45">
      <c r="C736"/>
    </row>
    <row r="737" spans="3:3" x14ac:dyDescent="0.45">
      <c r="C737"/>
    </row>
    <row r="738" spans="3:3" x14ac:dyDescent="0.45">
      <c r="C738"/>
    </row>
    <row r="739" spans="3:3" x14ac:dyDescent="0.45">
      <c r="C739"/>
    </row>
    <row r="740" spans="3:3" x14ac:dyDescent="0.45">
      <c r="C740"/>
    </row>
    <row r="741" spans="3:3" x14ac:dyDescent="0.45">
      <c r="C741"/>
    </row>
    <row r="742" spans="3:3" x14ac:dyDescent="0.45">
      <c r="C742"/>
    </row>
    <row r="743" spans="3:3" x14ac:dyDescent="0.45">
      <c r="C743"/>
    </row>
    <row r="744" spans="3:3" x14ac:dyDescent="0.45">
      <c r="C744"/>
    </row>
    <row r="745" spans="3:3" x14ac:dyDescent="0.45">
      <c r="C745"/>
    </row>
    <row r="746" spans="3:3" x14ac:dyDescent="0.45">
      <c r="C746"/>
    </row>
    <row r="747" spans="3:3" x14ac:dyDescent="0.45">
      <c r="C747"/>
    </row>
    <row r="748" spans="3:3" x14ac:dyDescent="0.45">
      <c r="C748"/>
    </row>
    <row r="749" spans="3:3" x14ac:dyDescent="0.45">
      <c r="C749"/>
    </row>
    <row r="750" spans="3:3" x14ac:dyDescent="0.45">
      <c r="C750"/>
    </row>
    <row r="751" spans="3:3" x14ac:dyDescent="0.45">
      <c r="C751"/>
    </row>
    <row r="752" spans="3:3" x14ac:dyDescent="0.45">
      <c r="C752"/>
    </row>
    <row r="753" spans="3:3" x14ac:dyDescent="0.45">
      <c r="C753"/>
    </row>
    <row r="754" spans="3:3" x14ac:dyDescent="0.45">
      <c r="C754"/>
    </row>
    <row r="755" spans="3:3" x14ac:dyDescent="0.45">
      <c r="C755"/>
    </row>
    <row r="756" spans="3:3" x14ac:dyDescent="0.45">
      <c r="C756"/>
    </row>
    <row r="757" spans="3:3" x14ac:dyDescent="0.45">
      <c r="C757"/>
    </row>
    <row r="758" spans="3:3" x14ac:dyDescent="0.45">
      <c r="C758"/>
    </row>
    <row r="759" spans="3:3" x14ac:dyDescent="0.45">
      <c r="C759"/>
    </row>
    <row r="760" spans="3:3" x14ac:dyDescent="0.45">
      <c r="C760"/>
    </row>
    <row r="761" spans="3:3" x14ac:dyDescent="0.45">
      <c r="C761"/>
    </row>
    <row r="762" spans="3:3" x14ac:dyDescent="0.45">
      <c r="C762"/>
    </row>
    <row r="763" spans="3:3" x14ac:dyDescent="0.45">
      <c r="C763"/>
    </row>
    <row r="764" spans="3:3" x14ac:dyDescent="0.45">
      <c r="C764"/>
    </row>
    <row r="765" spans="3:3" x14ac:dyDescent="0.45">
      <c r="C765"/>
    </row>
    <row r="766" spans="3:3" x14ac:dyDescent="0.45">
      <c r="C766"/>
    </row>
    <row r="767" spans="3:3" x14ac:dyDescent="0.45">
      <c r="C767"/>
    </row>
    <row r="768" spans="3:3" x14ac:dyDescent="0.45">
      <c r="C768"/>
    </row>
    <row r="769" spans="3:3" x14ac:dyDescent="0.45">
      <c r="C769"/>
    </row>
    <row r="770" spans="3:3" x14ac:dyDescent="0.45">
      <c r="C770"/>
    </row>
    <row r="771" spans="3:3" x14ac:dyDescent="0.45">
      <c r="C771"/>
    </row>
    <row r="772" spans="3:3" x14ac:dyDescent="0.45">
      <c r="C772"/>
    </row>
    <row r="773" spans="3:3" x14ac:dyDescent="0.45">
      <c r="C773"/>
    </row>
    <row r="774" spans="3:3" x14ac:dyDescent="0.45">
      <c r="C774"/>
    </row>
    <row r="775" spans="3:3" x14ac:dyDescent="0.45">
      <c r="C775"/>
    </row>
    <row r="776" spans="3:3" x14ac:dyDescent="0.45">
      <c r="C776"/>
    </row>
    <row r="777" spans="3:3" x14ac:dyDescent="0.45">
      <c r="C777"/>
    </row>
    <row r="778" spans="3:3" x14ac:dyDescent="0.45">
      <c r="C778"/>
    </row>
    <row r="779" spans="3:3" x14ac:dyDescent="0.45">
      <c r="C779"/>
    </row>
    <row r="780" spans="3:3" x14ac:dyDescent="0.45">
      <c r="C780"/>
    </row>
    <row r="781" spans="3:3" x14ac:dyDescent="0.45">
      <c r="C781"/>
    </row>
    <row r="782" spans="3:3" x14ac:dyDescent="0.45">
      <c r="C782"/>
    </row>
    <row r="783" spans="3:3" x14ac:dyDescent="0.45">
      <c r="C783"/>
    </row>
    <row r="784" spans="3:3" x14ac:dyDescent="0.45">
      <c r="C784"/>
    </row>
    <row r="785" spans="3:3" x14ac:dyDescent="0.45">
      <c r="C785"/>
    </row>
    <row r="786" spans="3:3" x14ac:dyDescent="0.45">
      <c r="C786"/>
    </row>
    <row r="787" spans="3:3" x14ac:dyDescent="0.45">
      <c r="C787"/>
    </row>
    <row r="788" spans="3:3" x14ac:dyDescent="0.45">
      <c r="C788"/>
    </row>
    <row r="789" spans="3:3" x14ac:dyDescent="0.45">
      <c r="C789"/>
    </row>
    <row r="790" spans="3:3" x14ac:dyDescent="0.45">
      <c r="C790"/>
    </row>
    <row r="791" spans="3:3" x14ac:dyDescent="0.45">
      <c r="C791"/>
    </row>
    <row r="792" spans="3:3" x14ac:dyDescent="0.45">
      <c r="C792"/>
    </row>
    <row r="793" spans="3:3" x14ac:dyDescent="0.45">
      <c r="C793"/>
    </row>
    <row r="794" spans="3:3" x14ac:dyDescent="0.45">
      <c r="C794"/>
    </row>
    <row r="795" spans="3:3" x14ac:dyDescent="0.45">
      <c r="C795"/>
    </row>
    <row r="796" spans="3:3" x14ac:dyDescent="0.45">
      <c r="C796"/>
    </row>
    <row r="797" spans="3:3" x14ac:dyDescent="0.45">
      <c r="C797"/>
    </row>
    <row r="798" spans="3:3" x14ac:dyDescent="0.45">
      <c r="C798"/>
    </row>
    <row r="799" spans="3:3" x14ac:dyDescent="0.45">
      <c r="C799"/>
    </row>
    <row r="800" spans="3:3" x14ac:dyDescent="0.45">
      <c r="C800"/>
    </row>
    <row r="801" spans="3:3" x14ac:dyDescent="0.45">
      <c r="C801"/>
    </row>
    <row r="802" spans="3:3" x14ac:dyDescent="0.45">
      <c r="C802"/>
    </row>
    <row r="803" spans="3:3" x14ac:dyDescent="0.45">
      <c r="C803"/>
    </row>
    <row r="804" spans="3:3" x14ac:dyDescent="0.45">
      <c r="C804"/>
    </row>
    <row r="805" spans="3:3" x14ac:dyDescent="0.45">
      <c r="C805"/>
    </row>
    <row r="806" spans="3:3" x14ac:dyDescent="0.45">
      <c r="C806"/>
    </row>
    <row r="807" spans="3:3" x14ac:dyDescent="0.45">
      <c r="C807"/>
    </row>
    <row r="808" spans="3:3" x14ac:dyDescent="0.45">
      <c r="C808"/>
    </row>
    <row r="809" spans="3:3" x14ac:dyDescent="0.45">
      <c r="C809"/>
    </row>
    <row r="810" spans="3:3" x14ac:dyDescent="0.45">
      <c r="C810"/>
    </row>
    <row r="811" spans="3:3" x14ac:dyDescent="0.45">
      <c r="C811"/>
    </row>
    <row r="812" spans="3:3" x14ac:dyDescent="0.45">
      <c r="C812"/>
    </row>
    <row r="813" spans="3:3" x14ac:dyDescent="0.45">
      <c r="C813"/>
    </row>
    <row r="814" spans="3:3" x14ac:dyDescent="0.45">
      <c r="C814"/>
    </row>
    <row r="815" spans="3:3" x14ac:dyDescent="0.45">
      <c r="C815"/>
    </row>
    <row r="816" spans="3:3" x14ac:dyDescent="0.45">
      <c r="C816"/>
    </row>
    <row r="817" spans="3:3" x14ac:dyDescent="0.45">
      <c r="C817"/>
    </row>
    <row r="818" spans="3:3" x14ac:dyDescent="0.45">
      <c r="C818"/>
    </row>
    <row r="819" spans="3:3" x14ac:dyDescent="0.45">
      <c r="C819"/>
    </row>
    <row r="820" spans="3:3" x14ac:dyDescent="0.45">
      <c r="C820"/>
    </row>
    <row r="821" spans="3:3" x14ac:dyDescent="0.45">
      <c r="C821"/>
    </row>
    <row r="822" spans="3:3" x14ac:dyDescent="0.45">
      <c r="C822"/>
    </row>
    <row r="823" spans="3:3" x14ac:dyDescent="0.45">
      <c r="C823"/>
    </row>
    <row r="824" spans="3:3" x14ac:dyDescent="0.45">
      <c r="C824"/>
    </row>
    <row r="825" spans="3:3" x14ac:dyDescent="0.45">
      <c r="C825"/>
    </row>
    <row r="826" spans="3:3" x14ac:dyDescent="0.45">
      <c r="C826"/>
    </row>
    <row r="827" spans="3:3" x14ac:dyDescent="0.45">
      <c r="C827"/>
    </row>
    <row r="828" spans="3:3" x14ac:dyDescent="0.45">
      <c r="C828"/>
    </row>
    <row r="829" spans="3:3" x14ac:dyDescent="0.45">
      <c r="C829"/>
    </row>
    <row r="830" spans="3:3" x14ac:dyDescent="0.45">
      <c r="C830"/>
    </row>
    <row r="831" spans="3:3" x14ac:dyDescent="0.45">
      <c r="C831"/>
    </row>
    <row r="832" spans="3:3" x14ac:dyDescent="0.45">
      <c r="C832"/>
    </row>
    <row r="833" spans="3:3" x14ac:dyDescent="0.45">
      <c r="C833"/>
    </row>
    <row r="834" spans="3:3" x14ac:dyDescent="0.45">
      <c r="C834"/>
    </row>
    <row r="835" spans="3:3" x14ac:dyDescent="0.45">
      <c r="C835"/>
    </row>
    <row r="836" spans="3:3" x14ac:dyDescent="0.45">
      <c r="C836"/>
    </row>
    <row r="837" spans="3:3" x14ac:dyDescent="0.45">
      <c r="C837"/>
    </row>
    <row r="838" spans="3:3" x14ac:dyDescent="0.45">
      <c r="C838"/>
    </row>
    <row r="839" spans="3:3" x14ac:dyDescent="0.45">
      <c r="C839"/>
    </row>
    <row r="840" spans="3:3" x14ac:dyDescent="0.45">
      <c r="C840"/>
    </row>
    <row r="841" spans="3:3" x14ac:dyDescent="0.45">
      <c r="C841"/>
    </row>
    <row r="842" spans="3:3" x14ac:dyDescent="0.45">
      <c r="C842"/>
    </row>
    <row r="843" spans="3:3" x14ac:dyDescent="0.45">
      <c r="C843"/>
    </row>
    <row r="844" spans="3:3" x14ac:dyDescent="0.45">
      <c r="C844"/>
    </row>
    <row r="845" spans="3:3" x14ac:dyDescent="0.45">
      <c r="C845"/>
    </row>
    <row r="846" spans="3:3" x14ac:dyDescent="0.45">
      <c r="C846"/>
    </row>
    <row r="847" spans="3:3" x14ac:dyDescent="0.45">
      <c r="C847"/>
    </row>
    <row r="848" spans="3:3" x14ac:dyDescent="0.45">
      <c r="C848"/>
    </row>
    <row r="849" spans="3:3" x14ac:dyDescent="0.45">
      <c r="C849"/>
    </row>
    <row r="850" spans="3:3" x14ac:dyDescent="0.45">
      <c r="C850"/>
    </row>
    <row r="851" spans="3:3" x14ac:dyDescent="0.45">
      <c r="C851"/>
    </row>
    <row r="852" spans="3:3" x14ac:dyDescent="0.45">
      <c r="C852"/>
    </row>
    <row r="853" spans="3:3" x14ac:dyDescent="0.45">
      <c r="C853"/>
    </row>
    <row r="854" spans="3:3" x14ac:dyDescent="0.45">
      <c r="C854"/>
    </row>
    <row r="855" spans="3:3" x14ac:dyDescent="0.45">
      <c r="C855"/>
    </row>
    <row r="856" spans="3:3" x14ac:dyDescent="0.45">
      <c r="C856"/>
    </row>
    <row r="857" spans="3:3" x14ac:dyDescent="0.45">
      <c r="C857"/>
    </row>
    <row r="858" spans="3:3" x14ac:dyDescent="0.45">
      <c r="C858"/>
    </row>
    <row r="859" spans="3:3" x14ac:dyDescent="0.45">
      <c r="C859"/>
    </row>
    <row r="860" spans="3:3" x14ac:dyDescent="0.45">
      <c r="C860"/>
    </row>
    <row r="861" spans="3:3" x14ac:dyDescent="0.45">
      <c r="C861"/>
    </row>
    <row r="862" spans="3:3" x14ac:dyDescent="0.45">
      <c r="C862"/>
    </row>
    <row r="863" spans="3:3" x14ac:dyDescent="0.45">
      <c r="C863"/>
    </row>
    <row r="864" spans="3:3" x14ac:dyDescent="0.45">
      <c r="C864"/>
    </row>
    <row r="865" spans="3:3" x14ac:dyDescent="0.45">
      <c r="C865"/>
    </row>
    <row r="866" spans="3:3" x14ac:dyDescent="0.45">
      <c r="C866"/>
    </row>
    <row r="867" spans="3:3" x14ac:dyDescent="0.45">
      <c r="C867"/>
    </row>
    <row r="868" spans="3:3" x14ac:dyDescent="0.45">
      <c r="C868"/>
    </row>
    <row r="869" spans="3:3" x14ac:dyDescent="0.45">
      <c r="C869"/>
    </row>
    <row r="870" spans="3:3" x14ac:dyDescent="0.45">
      <c r="C870"/>
    </row>
    <row r="871" spans="3:3" x14ac:dyDescent="0.45">
      <c r="C871"/>
    </row>
    <row r="872" spans="3:3" x14ac:dyDescent="0.45">
      <c r="C872"/>
    </row>
    <row r="873" spans="3:3" x14ac:dyDescent="0.45">
      <c r="C873"/>
    </row>
    <row r="874" spans="3:3" x14ac:dyDescent="0.45">
      <c r="C874"/>
    </row>
    <row r="875" spans="3:3" x14ac:dyDescent="0.45">
      <c r="C875"/>
    </row>
    <row r="876" spans="3:3" x14ac:dyDescent="0.45">
      <c r="C876"/>
    </row>
    <row r="877" spans="3:3" x14ac:dyDescent="0.45">
      <c r="C877"/>
    </row>
    <row r="878" spans="3:3" x14ac:dyDescent="0.45">
      <c r="C878"/>
    </row>
    <row r="879" spans="3:3" x14ac:dyDescent="0.45">
      <c r="C879"/>
    </row>
    <row r="880" spans="3:3" x14ac:dyDescent="0.45">
      <c r="C880"/>
    </row>
    <row r="881" spans="3:3" x14ac:dyDescent="0.45">
      <c r="C881"/>
    </row>
    <row r="882" spans="3:3" x14ac:dyDescent="0.45">
      <c r="C882"/>
    </row>
    <row r="883" spans="3:3" x14ac:dyDescent="0.45">
      <c r="C883"/>
    </row>
    <row r="884" spans="3:3" x14ac:dyDescent="0.45">
      <c r="C884"/>
    </row>
    <row r="885" spans="3:3" x14ac:dyDescent="0.45">
      <c r="C885"/>
    </row>
    <row r="886" spans="3:3" x14ac:dyDescent="0.45">
      <c r="C886"/>
    </row>
    <row r="887" spans="3:3" x14ac:dyDescent="0.45">
      <c r="C887"/>
    </row>
    <row r="888" spans="3:3" x14ac:dyDescent="0.45">
      <c r="C888"/>
    </row>
    <row r="889" spans="3:3" x14ac:dyDescent="0.45">
      <c r="C889"/>
    </row>
    <row r="890" spans="3:3" x14ac:dyDescent="0.45">
      <c r="C890"/>
    </row>
    <row r="891" spans="3:3" x14ac:dyDescent="0.45">
      <c r="C891"/>
    </row>
    <row r="892" spans="3:3" x14ac:dyDescent="0.45">
      <c r="C892"/>
    </row>
    <row r="893" spans="3:3" x14ac:dyDescent="0.45">
      <c r="C893"/>
    </row>
    <row r="894" spans="3:3" x14ac:dyDescent="0.45">
      <c r="C894"/>
    </row>
    <row r="895" spans="3:3" x14ac:dyDescent="0.45">
      <c r="C895"/>
    </row>
    <row r="896" spans="3:3" x14ac:dyDescent="0.45">
      <c r="C896"/>
    </row>
    <row r="897" spans="3:3" x14ac:dyDescent="0.45">
      <c r="C897"/>
    </row>
    <row r="898" spans="3:3" x14ac:dyDescent="0.45">
      <c r="C898"/>
    </row>
    <row r="899" spans="3:3" x14ac:dyDescent="0.45">
      <c r="C899"/>
    </row>
    <row r="900" spans="3:3" x14ac:dyDescent="0.45">
      <c r="C900"/>
    </row>
    <row r="901" spans="3:3" x14ac:dyDescent="0.45">
      <c r="C901"/>
    </row>
    <row r="902" spans="3:3" x14ac:dyDescent="0.45">
      <c r="C902"/>
    </row>
    <row r="903" spans="3:3" x14ac:dyDescent="0.45">
      <c r="C903"/>
    </row>
    <row r="904" spans="3:3" x14ac:dyDescent="0.45">
      <c r="C904"/>
    </row>
    <row r="905" spans="3:3" x14ac:dyDescent="0.45">
      <c r="C905"/>
    </row>
    <row r="906" spans="3:3" x14ac:dyDescent="0.45">
      <c r="C906"/>
    </row>
    <row r="907" spans="3:3" x14ac:dyDescent="0.45">
      <c r="C907"/>
    </row>
    <row r="908" spans="3:3" x14ac:dyDescent="0.45">
      <c r="C908"/>
    </row>
    <row r="909" spans="3:3" x14ac:dyDescent="0.45">
      <c r="C909"/>
    </row>
    <row r="910" spans="3:3" x14ac:dyDescent="0.45">
      <c r="C910"/>
    </row>
    <row r="911" spans="3:3" x14ac:dyDescent="0.45">
      <c r="C911"/>
    </row>
    <row r="912" spans="3:3" x14ac:dyDescent="0.45">
      <c r="C912"/>
    </row>
    <row r="913" spans="3:3" x14ac:dyDescent="0.45">
      <c r="C913"/>
    </row>
    <row r="914" spans="3:3" x14ac:dyDescent="0.45">
      <c r="C914"/>
    </row>
    <row r="915" spans="3:3" x14ac:dyDescent="0.45">
      <c r="C915"/>
    </row>
    <row r="916" spans="3:3" x14ac:dyDescent="0.45">
      <c r="C916"/>
    </row>
    <row r="917" spans="3:3" x14ac:dyDescent="0.45">
      <c r="C917"/>
    </row>
    <row r="918" spans="3:3" x14ac:dyDescent="0.45">
      <c r="C918"/>
    </row>
    <row r="919" spans="3:3" x14ac:dyDescent="0.45">
      <c r="C919"/>
    </row>
    <row r="920" spans="3:3" x14ac:dyDescent="0.45">
      <c r="C920"/>
    </row>
    <row r="921" spans="3:3" x14ac:dyDescent="0.45">
      <c r="C921"/>
    </row>
    <row r="922" spans="3:3" x14ac:dyDescent="0.45">
      <c r="C922"/>
    </row>
    <row r="923" spans="3:3" x14ac:dyDescent="0.45">
      <c r="C923"/>
    </row>
    <row r="924" spans="3:3" x14ac:dyDescent="0.45">
      <c r="C924"/>
    </row>
    <row r="925" spans="3:3" x14ac:dyDescent="0.45">
      <c r="C925"/>
    </row>
    <row r="926" spans="3:3" x14ac:dyDescent="0.45">
      <c r="C926"/>
    </row>
    <row r="927" spans="3:3" x14ac:dyDescent="0.45">
      <c r="C927"/>
    </row>
    <row r="928" spans="3:3" x14ac:dyDescent="0.45">
      <c r="C928"/>
    </row>
    <row r="929" spans="3:3" x14ac:dyDescent="0.45">
      <c r="C929"/>
    </row>
    <row r="930" spans="3:3" x14ac:dyDescent="0.45">
      <c r="C930"/>
    </row>
    <row r="931" spans="3:3" x14ac:dyDescent="0.45">
      <c r="C931"/>
    </row>
    <row r="932" spans="3:3" x14ac:dyDescent="0.45">
      <c r="C932"/>
    </row>
    <row r="933" spans="3:3" x14ac:dyDescent="0.45">
      <c r="C933"/>
    </row>
    <row r="934" spans="3:3" x14ac:dyDescent="0.45">
      <c r="C934"/>
    </row>
    <row r="935" spans="3:3" x14ac:dyDescent="0.45">
      <c r="C935"/>
    </row>
    <row r="936" spans="3:3" x14ac:dyDescent="0.45">
      <c r="C936"/>
    </row>
    <row r="937" spans="3:3" x14ac:dyDescent="0.45">
      <c r="C937"/>
    </row>
    <row r="938" spans="3:3" x14ac:dyDescent="0.45">
      <c r="C938"/>
    </row>
    <row r="939" spans="3:3" x14ac:dyDescent="0.45">
      <c r="C939"/>
    </row>
    <row r="940" spans="3:3" x14ac:dyDescent="0.45">
      <c r="C940"/>
    </row>
    <row r="941" spans="3:3" x14ac:dyDescent="0.45">
      <c r="C941"/>
    </row>
    <row r="942" spans="3:3" x14ac:dyDescent="0.45">
      <c r="C942"/>
    </row>
    <row r="943" spans="3:3" x14ac:dyDescent="0.45">
      <c r="C943"/>
    </row>
    <row r="944" spans="3:3" x14ac:dyDescent="0.45">
      <c r="C944"/>
    </row>
    <row r="945" spans="3:3" x14ac:dyDescent="0.45">
      <c r="C945"/>
    </row>
    <row r="946" spans="3:3" x14ac:dyDescent="0.45">
      <c r="C946"/>
    </row>
    <row r="947" spans="3:3" x14ac:dyDescent="0.45">
      <c r="C947"/>
    </row>
    <row r="948" spans="3:3" x14ac:dyDescent="0.45">
      <c r="C948"/>
    </row>
    <row r="949" spans="3:3" x14ac:dyDescent="0.45">
      <c r="C949"/>
    </row>
    <row r="950" spans="3:3" x14ac:dyDescent="0.45">
      <c r="C950"/>
    </row>
    <row r="951" spans="3:3" x14ac:dyDescent="0.45">
      <c r="C951"/>
    </row>
    <row r="952" spans="3:3" x14ac:dyDescent="0.45">
      <c r="C952"/>
    </row>
    <row r="953" spans="3:3" x14ac:dyDescent="0.45">
      <c r="C953"/>
    </row>
    <row r="954" spans="3:3" x14ac:dyDescent="0.45">
      <c r="C954"/>
    </row>
    <row r="955" spans="3:3" x14ac:dyDescent="0.45">
      <c r="C955"/>
    </row>
    <row r="956" spans="3:3" x14ac:dyDescent="0.45">
      <c r="C956"/>
    </row>
    <row r="957" spans="3:3" x14ac:dyDescent="0.45">
      <c r="C957"/>
    </row>
    <row r="958" spans="3:3" x14ac:dyDescent="0.45">
      <c r="C958"/>
    </row>
    <row r="959" spans="3:3" x14ac:dyDescent="0.45">
      <c r="C959"/>
    </row>
    <row r="960" spans="3:3" x14ac:dyDescent="0.45">
      <c r="C960"/>
    </row>
    <row r="961" spans="3:3" x14ac:dyDescent="0.45">
      <c r="C961"/>
    </row>
    <row r="962" spans="3:3" x14ac:dyDescent="0.45">
      <c r="C962"/>
    </row>
    <row r="963" spans="3:3" x14ac:dyDescent="0.45">
      <c r="C963"/>
    </row>
    <row r="964" spans="3:3" x14ac:dyDescent="0.45">
      <c r="C964"/>
    </row>
    <row r="965" spans="3:3" x14ac:dyDescent="0.45">
      <c r="C965"/>
    </row>
    <row r="966" spans="3:3" x14ac:dyDescent="0.45">
      <c r="C966"/>
    </row>
    <row r="967" spans="3:3" x14ac:dyDescent="0.45">
      <c r="C967"/>
    </row>
    <row r="968" spans="3:3" x14ac:dyDescent="0.45">
      <c r="C968"/>
    </row>
    <row r="969" spans="3:3" x14ac:dyDescent="0.45">
      <c r="C969"/>
    </row>
    <row r="970" spans="3:3" x14ac:dyDescent="0.45">
      <c r="C970"/>
    </row>
    <row r="971" spans="3:3" x14ac:dyDescent="0.45">
      <c r="C971"/>
    </row>
    <row r="972" spans="3:3" x14ac:dyDescent="0.45">
      <c r="C972"/>
    </row>
    <row r="973" spans="3:3" x14ac:dyDescent="0.45">
      <c r="C973"/>
    </row>
    <row r="974" spans="3:3" x14ac:dyDescent="0.45">
      <c r="C974"/>
    </row>
    <row r="975" spans="3:3" x14ac:dyDescent="0.45">
      <c r="C975"/>
    </row>
    <row r="976" spans="3:3" x14ac:dyDescent="0.45">
      <c r="C976"/>
    </row>
    <row r="977" spans="3:3" x14ac:dyDescent="0.45">
      <c r="C977"/>
    </row>
    <row r="978" spans="3:3" x14ac:dyDescent="0.45">
      <c r="C978"/>
    </row>
    <row r="979" spans="3:3" x14ac:dyDescent="0.45">
      <c r="C979"/>
    </row>
    <row r="980" spans="3:3" x14ac:dyDescent="0.45">
      <c r="C980"/>
    </row>
    <row r="981" spans="3:3" x14ac:dyDescent="0.45">
      <c r="C981"/>
    </row>
    <row r="982" spans="3:3" x14ac:dyDescent="0.45">
      <c r="C982"/>
    </row>
    <row r="983" spans="3:3" x14ac:dyDescent="0.45">
      <c r="C983"/>
    </row>
    <row r="984" spans="3:3" x14ac:dyDescent="0.45">
      <c r="C984"/>
    </row>
    <row r="985" spans="3:3" x14ac:dyDescent="0.45">
      <c r="C985"/>
    </row>
    <row r="986" spans="3:3" x14ac:dyDescent="0.45">
      <c r="C986"/>
    </row>
    <row r="987" spans="3:3" x14ac:dyDescent="0.45">
      <c r="C987"/>
    </row>
    <row r="988" spans="3:3" x14ac:dyDescent="0.45">
      <c r="C988"/>
    </row>
    <row r="989" spans="3:3" x14ac:dyDescent="0.45">
      <c r="C989"/>
    </row>
    <row r="990" spans="3:3" x14ac:dyDescent="0.45">
      <c r="C990"/>
    </row>
    <row r="991" spans="3:3" x14ac:dyDescent="0.45">
      <c r="C991"/>
    </row>
    <row r="992" spans="3:3" x14ac:dyDescent="0.45">
      <c r="C992"/>
    </row>
    <row r="993" spans="3:3" x14ac:dyDescent="0.45">
      <c r="C993"/>
    </row>
    <row r="994" spans="3:3" x14ac:dyDescent="0.45">
      <c r="C994"/>
    </row>
    <row r="995" spans="3:3" x14ac:dyDescent="0.45">
      <c r="C995"/>
    </row>
    <row r="996" spans="3:3" x14ac:dyDescent="0.45">
      <c r="C996"/>
    </row>
    <row r="997" spans="3:3" x14ac:dyDescent="0.45">
      <c r="C997"/>
    </row>
    <row r="998" spans="3:3" x14ac:dyDescent="0.45">
      <c r="C998"/>
    </row>
    <row r="999" spans="3:3" x14ac:dyDescent="0.45">
      <c r="C999"/>
    </row>
    <row r="1000" spans="3:3" x14ac:dyDescent="0.45">
      <c r="C1000"/>
    </row>
    <row r="1001" spans="3:3" x14ac:dyDescent="0.45">
      <c r="C1001"/>
    </row>
    <row r="1002" spans="3:3" x14ac:dyDescent="0.45">
      <c r="C1002"/>
    </row>
    <row r="1003" spans="3:3" x14ac:dyDescent="0.45">
      <c r="C1003"/>
    </row>
    <row r="1004" spans="3:3" x14ac:dyDescent="0.45">
      <c r="C1004"/>
    </row>
    <row r="1005" spans="3:3" x14ac:dyDescent="0.45">
      <c r="C1005"/>
    </row>
    <row r="1006" spans="3:3" x14ac:dyDescent="0.45">
      <c r="C1006"/>
    </row>
    <row r="1007" spans="3:3" x14ac:dyDescent="0.45">
      <c r="C1007"/>
    </row>
    <row r="1008" spans="3:3" x14ac:dyDescent="0.45">
      <c r="C1008"/>
    </row>
    <row r="1009" spans="3:3" x14ac:dyDescent="0.45">
      <c r="C1009"/>
    </row>
    <row r="1010" spans="3:3" x14ac:dyDescent="0.45">
      <c r="C1010"/>
    </row>
    <row r="1011" spans="3:3" x14ac:dyDescent="0.45">
      <c r="C1011"/>
    </row>
    <row r="1012" spans="3:3" x14ac:dyDescent="0.45">
      <c r="C1012"/>
    </row>
    <row r="1013" spans="3:3" x14ac:dyDescent="0.45">
      <c r="C1013"/>
    </row>
    <row r="1014" spans="3:3" x14ac:dyDescent="0.45">
      <c r="C1014"/>
    </row>
    <row r="1015" spans="3:3" x14ac:dyDescent="0.45">
      <c r="C1015"/>
    </row>
    <row r="1016" spans="3:3" x14ac:dyDescent="0.45">
      <c r="C1016"/>
    </row>
    <row r="1017" spans="3:3" x14ac:dyDescent="0.45">
      <c r="C1017"/>
    </row>
    <row r="1018" spans="3:3" x14ac:dyDescent="0.45">
      <c r="C1018"/>
    </row>
    <row r="1019" spans="3:3" x14ac:dyDescent="0.45">
      <c r="C1019"/>
    </row>
    <row r="1020" spans="3:3" x14ac:dyDescent="0.45">
      <c r="C1020"/>
    </row>
    <row r="1021" spans="3:3" x14ac:dyDescent="0.45">
      <c r="C1021"/>
    </row>
    <row r="1022" spans="3:3" x14ac:dyDescent="0.45">
      <c r="C1022"/>
    </row>
    <row r="1023" spans="3:3" x14ac:dyDescent="0.45">
      <c r="C1023"/>
    </row>
    <row r="1024" spans="3:3" x14ac:dyDescent="0.45">
      <c r="C1024"/>
    </row>
    <row r="1025" spans="3:3" x14ac:dyDescent="0.45">
      <c r="C1025"/>
    </row>
    <row r="1026" spans="3:3" x14ac:dyDescent="0.45">
      <c r="C1026"/>
    </row>
    <row r="1027" spans="3:3" x14ac:dyDescent="0.45">
      <c r="C1027"/>
    </row>
    <row r="1028" spans="3:3" x14ac:dyDescent="0.45">
      <c r="C1028"/>
    </row>
    <row r="1029" spans="3:3" x14ac:dyDescent="0.45">
      <c r="C1029"/>
    </row>
    <row r="1030" spans="3:3" x14ac:dyDescent="0.45">
      <c r="C1030"/>
    </row>
    <row r="1031" spans="3:3" x14ac:dyDescent="0.45">
      <c r="C1031"/>
    </row>
    <row r="1032" spans="3:3" x14ac:dyDescent="0.45">
      <c r="C1032"/>
    </row>
    <row r="1033" spans="3:3" x14ac:dyDescent="0.45">
      <c r="C1033"/>
    </row>
    <row r="1034" spans="3:3" x14ac:dyDescent="0.45">
      <c r="C1034"/>
    </row>
    <row r="1035" spans="3:3" x14ac:dyDescent="0.45">
      <c r="C1035"/>
    </row>
    <row r="1036" spans="3:3" x14ac:dyDescent="0.45">
      <c r="C1036"/>
    </row>
    <row r="1037" spans="3:3" x14ac:dyDescent="0.45">
      <c r="C1037"/>
    </row>
    <row r="1038" spans="3:3" x14ac:dyDescent="0.45">
      <c r="C1038"/>
    </row>
    <row r="1039" spans="3:3" x14ac:dyDescent="0.45">
      <c r="C1039"/>
    </row>
    <row r="1040" spans="3:3" x14ac:dyDescent="0.45">
      <c r="C1040"/>
    </row>
    <row r="1041" spans="3:3" x14ac:dyDescent="0.45">
      <c r="C1041"/>
    </row>
    <row r="1042" spans="3:3" x14ac:dyDescent="0.45">
      <c r="C1042"/>
    </row>
    <row r="1043" spans="3:3" x14ac:dyDescent="0.45">
      <c r="C1043"/>
    </row>
    <row r="1044" spans="3:3" x14ac:dyDescent="0.45">
      <c r="C1044"/>
    </row>
    <row r="1045" spans="3:3" x14ac:dyDescent="0.45">
      <c r="C1045"/>
    </row>
    <row r="1046" spans="3:3" x14ac:dyDescent="0.45">
      <c r="C1046"/>
    </row>
    <row r="1047" spans="3:3" x14ac:dyDescent="0.45">
      <c r="C1047"/>
    </row>
    <row r="1048" spans="3:3" x14ac:dyDescent="0.45">
      <c r="C1048"/>
    </row>
    <row r="1049" spans="3:3" x14ac:dyDescent="0.45">
      <c r="C1049"/>
    </row>
    <row r="1050" spans="3:3" x14ac:dyDescent="0.45">
      <c r="C1050"/>
    </row>
    <row r="1051" spans="3:3" x14ac:dyDescent="0.45">
      <c r="C1051"/>
    </row>
    <row r="1052" spans="3:3" x14ac:dyDescent="0.45">
      <c r="C1052"/>
    </row>
    <row r="1053" spans="3:3" x14ac:dyDescent="0.45">
      <c r="C1053"/>
    </row>
    <row r="1054" spans="3:3" x14ac:dyDescent="0.45">
      <c r="C1054"/>
    </row>
    <row r="1055" spans="3:3" x14ac:dyDescent="0.45">
      <c r="C1055"/>
    </row>
    <row r="1056" spans="3:3" x14ac:dyDescent="0.45">
      <c r="C1056"/>
    </row>
    <row r="1057" spans="3:3" x14ac:dyDescent="0.45">
      <c r="C1057"/>
    </row>
    <row r="1058" spans="3:3" x14ac:dyDescent="0.45">
      <c r="C1058"/>
    </row>
    <row r="1059" spans="3:3" x14ac:dyDescent="0.45">
      <c r="C1059"/>
    </row>
    <row r="1060" spans="3:3" x14ac:dyDescent="0.45">
      <c r="C1060"/>
    </row>
    <row r="1061" spans="3:3" x14ac:dyDescent="0.45">
      <c r="C1061"/>
    </row>
    <row r="1062" spans="3:3" x14ac:dyDescent="0.45">
      <c r="C1062"/>
    </row>
    <row r="1063" spans="3:3" x14ac:dyDescent="0.45">
      <c r="C1063"/>
    </row>
    <row r="1064" spans="3:3" x14ac:dyDescent="0.45">
      <c r="C1064"/>
    </row>
    <row r="1065" spans="3:3" x14ac:dyDescent="0.45">
      <c r="C1065"/>
    </row>
    <row r="1066" spans="3:3" x14ac:dyDescent="0.45">
      <c r="C1066"/>
    </row>
    <row r="1067" spans="3:3" x14ac:dyDescent="0.45">
      <c r="C1067"/>
    </row>
    <row r="1068" spans="3:3" x14ac:dyDescent="0.45">
      <c r="C1068"/>
    </row>
    <row r="1069" spans="3:3" x14ac:dyDescent="0.45">
      <c r="C1069"/>
    </row>
    <row r="1070" spans="3:3" x14ac:dyDescent="0.45">
      <c r="C1070"/>
    </row>
    <row r="1071" spans="3:3" x14ac:dyDescent="0.45">
      <c r="C1071"/>
    </row>
    <row r="1072" spans="3:3" x14ac:dyDescent="0.45">
      <c r="C1072"/>
    </row>
    <row r="1073" spans="3:3" x14ac:dyDescent="0.45">
      <c r="C1073"/>
    </row>
    <row r="1074" spans="3:3" x14ac:dyDescent="0.45">
      <c r="C1074"/>
    </row>
    <row r="1075" spans="3:3" x14ac:dyDescent="0.45">
      <c r="C1075"/>
    </row>
    <row r="1076" spans="3:3" x14ac:dyDescent="0.45">
      <c r="C1076"/>
    </row>
    <row r="1077" spans="3:3" x14ac:dyDescent="0.45">
      <c r="C1077"/>
    </row>
    <row r="1078" spans="3:3" x14ac:dyDescent="0.45">
      <c r="C1078"/>
    </row>
    <row r="1079" spans="3:3" x14ac:dyDescent="0.45">
      <c r="C1079"/>
    </row>
    <row r="1080" spans="3:3" x14ac:dyDescent="0.45">
      <c r="C1080"/>
    </row>
    <row r="1081" spans="3:3" x14ac:dyDescent="0.45">
      <c r="C1081"/>
    </row>
    <row r="1082" spans="3:3" x14ac:dyDescent="0.45">
      <c r="C1082"/>
    </row>
    <row r="1083" spans="3:3" x14ac:dyDescent="0.45">
      <c r="C1083"/>
    </row>
    <row r="1084" spans="3:3" x14ac:dyDescent="0.45">
      <c r="C1084"/>
    </row>
    <row r="1085" spans="3:3" x14ac:dyDescent="0.45">
      <c r="C1085"/>
    </row>
    <row r="1086" spans="3:3" x14ac:dyDescent="0.45">
      <c r="C1086"/>
    </row>
    <row r="1087" spans="3:3" x14ac:dyDescent="0.45">
      <c r="C1087"/>
    </row>
    <row r="1088" spans="3:3" x14ac:dyDescent="0.45">
      <c r="C1088"/>
    </row>
    <row r="1089" spans="3:3" x14ac:dyDescent="0.45">
      <c r="C1089"/>
    </row>
    <row r="1090" spans="3:3" x14ac:dyDescent="0.45">
      <c r="C1090"/>
    </row>
    <row r="1091" spans="3:3" x14ac:dyDescent="0.45">
      <c r="C1091"/>
    </row>
    <row r="1092" spans="3:3" x14ac:dyDescent="0.45">
      <c r="C1092"/>
    </row>
    <row r="1093" spans="3:3" x14ac:dyDescent="0.45">
      <c r="C1093"/>
    </row>
    <row r="1094" spans="3:3" x14ac:dyDescent="0.45">
      <c r="C1094"/>
    </row>
    <row r="1095" spans="3:3" x14ac:dyDescent="0.45">
      <c r="C1095"/>
    </row>
    <row r="1096" spans="3:3" x14ac:dyDescent="0.45">
      <c r="C1096"/>
    </row>
    <row r="1097" spans="3:3" x14ac:dyDescent="0.45">
      <c r="C1097"/>
    </row>
    <row r="1098" spans="3:3" x14ac:dyDescent="0.45">
      <c r="C1098"/>
    </row>
    <row r="1099" spans="3:3" x14ac:dyDescent="0.45">
      <c r="C1099"/>
    </row>
    <row r="1100" spans="3:3" x14ac:dyDescent="0.45">
      <c r="C1100"/>
    </row>
    <row r="1101" spans="3:3" x14ac:dyDescent="0.45">
      <c r="C1101"/>
    </row>
    <row r="1102" spans="3:3" x14ac:dyDescent="0.45">
      <c r="C1102"/>
    </row>
    <row r="1103" spans="3:3" x14ac:dyDescent="0.45">
      <c r="C1103"/>
    </row>
    <row r="1104" spans="3:3" x14ac:dyDescent="0.45">
      <c r="C1104"/>
    </row>
    <row r="1105" spans="3:3" x14ac:dyDescent="0.45">
      <c r="C1105"/>
    </row>
    <row r="1106" spans="3:3" x14ac:dyDescent="0.45">
      <c r="C1106"/>
    </row>
    <row r="1107" spans="3:3" x14ac:dyDescent="0.45">
      <c r="C1107"/>
    </row>
    <row r="1108" spans="3:3" x14ac:dyDescent="0.45">
      <c r="C1108"/>
    </row>
    <row r="1109" spans="3:3" x14ac:dyDescent="0.45">
      <c r="C1109"/>
    </row>
    <row r="1110" spans="3:3" x14ac:dyDescent="0.45">
      <c r="C1110"/>
    </row>
    <row r="1111" spans="3:3" x14ac:dyDescent="0.45">
      <c r="C1111"/>
    </row>
    <row r="1112" spans="3:3" x14ac:dyDescent="0.45">
      <c r="C1112"/>
    </row>
    <row r="1113" spans="3:3" x14ac:dyDescent="0.45">
      <c r="C1113"/>
    </row>
    <row r="1114" spans="3:3" x14ac:dyDescent="0.45">
      <c r="C1114"/>
    </row>
    <row r="1115" spans="3:3" x14ac:dyDescent="0.45">
      <c r="C1115"/>
    </row>
    <row r="1116" spans="3:3" x14ac:dyDescent="0.45">
      <c r="C1116"/>
    </row>
    <row r="1117" spans="3:3" x14ac:dyDescent="0.45">
      <c r="C1117"/>
    </row>
    <row r="1118" spans="3:3" x14ac:dyDescent="0.45">
      <c r="C1118"/>
    </row>
    <row r="1119" spans="3:3" x14ac:dyDescent="0.45">
      <c r="C1119"/>
    </row>
    <row r="1120" spans="3:3" x14ac:dyDescent="0.45">
      <c r="C1120"/>
    </row>
    <row r="1121" spans="3:3" x14ac:dyDescent="0.45">
      <c r="C1121"/>
    </row>
    <row r="1122" spans="3:3" x14ac:dyDescent="0.45">
      <c r="C1122"/>
    </row>
    <row r="1123" spans="3:3" x14ac:dyDescent="0.45">
      <c r="C1123"/>
    </row>
    <row r="1124" spans="3:3" x14ac:dyDescent="0.45">
      <c r="C1124"/>
    </row>
    <row r="1125" spans="3:3" x14ac:dyDescent="0.45">
      <c r="C1125"/>
    </row>
    <row r="1126" spans="3:3" x14ac:dyDescent="0.45">
      <c r="C1126"/>
    </row>
    <row r="1127" spans="3:3" x14ac:dyDescent="0.45">
      <c r="C1127"/>
    </row>
    <row r="1128" spans="3:3" x14ac:dyDescent="0.45">
      <c r="C1128"/>
    </row>
    <row r="1129" spans="3:3" x14ac:dyDescent="0.45">
      <c r="C1129"/>
    </row>
    <row r="1130" spans="3:3" x14ac:dyDescent="0.45">
      <c r="C1130"/>
    </row>
    <row r="1131" spans="3:3" x14ac:dyDescent="0.45">
      <c r="C1131"/>
    </row>
    <row r="1132" spans="3:3" x14ac:dyDescent="0.45">
      <c r="C1132"/>
    </row>
    <row r="1133" spans="3:3" x14ac:dyDescent="0.45">
      <c r="C1133"/>
    </row>
    <row r="1134" spans="3:3" x14ac:dyDescent="0.45">
      <c r="C1134"/>
    </row>
    <row r="1135" spans="3:3" x14ac:dyDescent="0.45">
      <c r="C1135"/>
    </row>
    <row r="1136" spans="3:3" x14ac:dyDescent="0.45">
      <c r="C1136"/>
    </row>
    <row r="1137" spans="3:3" x14ac:dyDescent="0.45">
      <c r="C1137"/>
    </row>
    <row r="1138" spans="3:3" x14ac:dyDescent="0.45">
      <c r="C1138"/>
    </row>
    <row r="1139" spans="3:3" x14ac:dyDescent="0.45">
      <c r="C1139"/>
    </row>
    <row r="1140" spans="3:3" x14ac:dyDescent="0.45">
      <c r="C1140"/>
    </row>
    <row r="1141" spans="3:3" x14ac:dyDescent="0.45">
      <c r="C1141"/>
    </row>
    <row r="1142" spans="3:3" x14ac:dyDescent="0.45">
      <c r="C1142"/>
    </row>
    <row r="1143" spans="3:3" x14ac:dyDescent="0.45">
      <c r="C1143"/>
    </row>
    <row r="1144" spans="3:3" x14ac:dyDescent="0.45">
      <c r="C1144"/>
    </row>
    <row r="1145" spans="3:3" x14ac:dyDescent="0.45">
      <c r="C1145"/>
    </row>
    <row r="1146" spans="3:3" x14ac:dyDescent="0.45">
      <c r="C1146"/>
    </row>
    <row r="1147" spans="3:3" x14ac:dyDescent="0.45">
      <c r="C1147"/>
    </row>
    <row r="1148" spans="3:3" x14ac:dyDescent="0.45">
      <c r="C1148"/>
    </row>
    <row r="1149" spans="3:3" x14ac:dyDescent="0.45">
      <c r="C1149"/>
    </row>
    <row r="1150" spans="3:3" x14ac:dyDescent="0.45">
      <c r="C1150"/>
    </row>
    <row r="1151" spans="3:3" x14ac:dyDescent="0.45">
      <c r="C1151"/>
    </row>
    <row r="1152" spans="3:3" x14ac:dyDescent="0.45">
      <c r="C1152"/>
    </row>
    <row r="1153" spans="3:3" x14ac:dyDescent="0.45">
      <c r="C1153"/>
    </row>
    <row r="1154" spans="3:3" x14ac:dyDescent="0.45">
      <c r="C1154"/>
    </row>
    <row r="1155" spans="3:3" x14ac:dyDescent="0.45">
      <c r="C1155"/>
    </row>
    <row r="1156" spans="3:3" x14ac:dyDescent="0.45">
      <c r="C1156"/>
    </row>
    <row r="1157" spans="3:3" x14ac:dyDescent="0.45">
      <c r="C1157"/>
    </row>
    <row r="1158" spans="3:3" x14ac:dyDescent="0.45">
      <c r="C1158"/>
    </row>
    <row r="1159" spans="3:3" x14ac:dyDescent="0.45">
      <c r="C1159"/>
    </row>
    <row r="1160" spans="3:3" x14ac:dyDescent="0.45">
      <c r="C1160"/>
    </row>
    <row r="1161" spans="3:3" x14ac:dyDescent="0.45">
      <c r="C1161"/>
    </row>
    <row r="1162" spans="3:3" x14ac:dyDescent="0.45">
      <c r="C1162"/>
    </row>
    <row r="1163" spans="3:3" x14ac:dyDescent="0.45">
      <c r="C1163"/>
    </row>
    <row r="1164" spans="3:3" x14ac:dyDescent="0.45">
      <c r="C1164"/>
    </row>
    <row r="1165" spans="3:3" x14ac:dyDescent="0.45">
      <c r="C1165"/>
    </row>
    <row r="1166" spans="3:3" x14ac:dyDescent="0.45">
      <c r="C1166"/>
    </row>
    <row r="1167" spans="3:3" x14ac:dyDescent="0.45">
      <c r="C1167"/>
    </row>
    <row r="1168" spans="3:3" x14ac:dyDescent="0.45">
      <c r="C1168"/>
    </row>
    <row r="1169" spans="3:3" x14ac:dyDescent="0.45">
      <c r="C1169"/>
    </row>
    <row r="1170" spans="3:3" x14ac:dyDescent="0.45">
      <c r="C1170"/>
    </row>
    <row r="1171" spans="3:3" x14ac:dyDescent="0.45">
      <c r="C1171"/>
    </row>
    <row r="1172" spans="3:3" x14ac:dyDescent="0.45">
      <c r="C1172"/>
    </row>
    <row r="1173" spans="3:3" x14ac:dyDescent="0.45">
      <c r="C1173"/>
    </row>
    <row r="1174" spans="3:3" x14ac:dyDescent="0.45">
      <c r="C1174"/>
    </row>
    <row r="1175" spans="3:3" x14ac:dyDescent="0.45">
      <c r="C1175"/>
    </row>
    <row r="1176" spans="3:3" x14ac:dyDescent="0.45">
      <c r="C1176"/>
    </row>
    <row r="1177" spans="3:3" x14ac:dyDescent="0.45">
      <c r="C1177"/>
    </row>
    <row r="1178" spans="3:3" x14ac:dyDescent="0.45">
      <c r="C1178"/>
    </row>
    <row r="1179" spans="3:3" x14ac:dyDescent="0.45">
      <c r="C1179"/>
    </row>
    <row r="1180" spans="3:3" x14ac:dyDescent="0.45">
      <c r="C1180"/>
    </row>
    <row r="1181" spans="3:3" x14ac:dyDescent="0.45">
      <c r="C1181"/>
    </row>
    <row r="1182" spans="3:3" x14ac:dyDescent="0.45">
      <c r="C1182"/>
    </row>
    <row r="1183" spans="3:3" x14ac:dyDescent="0.45">
      <c r="C1183"/>
    </row>
    <row r="1184" spans="3:3" x14ac:dyDescent="0.45">
      <c r="C1184"/>
    </row>
    <row r="1185" spans="3:3" x14ac:dyDescent="0.45">
      <c r="C1185"/>
    </row>
    <row r="1186" spans="3:3" x14ac:dyDescent="0.45">
      <c r="C1186"/>
    </row>
    <row r="1187" spans="3:3" x14ac:dyDescent="0.45">
      <c r="C1187"/>
    </row>
    <row r="1188" spans="3:3" x14ac:dyDescent="0.45">
      <c r="C1188"/>
    </row>
    <row r="1189" spans="3:3" x14ac:dyDescent="0.45">
      <c r="C1189"/>
    </row>
    <row r="1190" spans="3:3" x14ac:dyDescent="0.45">
      <c r="C1190"/>
    </row>
    <row r="1191" spans="3:3" x14ac:dyDescent="0.45">
      <c r="C1191"/>
    </row>
    <row r="1192" spans="3:3" x14ac:dyDescent="0.45">
      <c r="C1192"/>
    </row>
    <row r="1193" spans="3:3" x14ac:dyDescent="0.45">
      <c r="C1193"/>
    </row>
    <row r="1194" spans="3:3" x14ac:dyDescent="0.45">
      <c r="C1194"/>
    </row>
    <row r="1195" spans="3:3" x14ac:dyDescent="0.45">
      <c r="C1195"/>
    </row>
    <row r="1196" spans="3:3" x14ac:dyDescent="0.45">
      <c r="C1196"/>
    </row>
    <row r="1197" spans="3:3" x14ac:dyDescent="0.45">
      <c r="C1197"/>
    </row>
    <row r="1198" spans="3:3" x14ac:dyDescent="0.45">
      <c r="C1198"/>
    </row>
    <row r="1199" spans="3:3" x14ac:dyDescent="0.45">
      <c r="C1199"/>
    </row>
    <row r="1200" spans="3:3" x14ac:dyDescent="0.45">
      <c r="C1200"/>
    </row>
    <row r="1201" spans="3:3" x14ac:dyDescent="0.45">
      <c r="C1201"/>
    </row>
    <row r="1202" spans="3:3" x14ac:dyDescent="0.45">
      <c r="C1202"/>
    </row>
    <row r="1203" spans="3:3" x14ac:dyDescent="0.45">
      <c r="C1203"/>
    </row>
    <row r="1204" spans="3:3" x14ac:dyDescent="0.45">
      <c r="C1204"/>
    </row>
    <row r="1205" spans="3:3" x14ac:dyDescent="0.45">
      <c r="C1205"/>
    </row>
    <row r="1206" spans="3:3" x14ac:dyDescent="0.45">
      <c r="C1206"/>
    </row>
    <row r="1207" spans="3:3" x14ac:dyDescent="0.45">
      <c r="C1207"/>
    </row>
    <row r="1208" spans="3:3" x14ac:dyDescent="0.45">
      <c r="C1208"/>
    </row>
    <row r="1209" spans="3:3" x14ac:dyDescent="0.45">
      <c r="C1209"/>
    </row>
    <row r="1210" spans="3:3" x14ac:dyDescent="0.45">
      <c r="C1210"/>
    </row>
    <row r="1211" spans="3:3" x14ac:dyDescent="0.45">
      <c r="C1211"/>
    </row>
    <row r="1212" spans="3:3" x14ac:dyDescent="0.45">
      <c r="C1212"/>
    </row>
    <row r="1213" spans="3:3" x14ac:dyDescent="0.45">
      <c r="C1213"/>
    </row>
    <row r="1214" spans="3:3" x14ac:dyDescent="0.45">
      <c r="C1214"/>
    </row>
    <row r="1215" spans="3:3" x14ac:dyDescent="0.45">
      <c r="C1215"/>
    </row>
    <row r="1216" spans="3:3" x14ac:dyDescent="0.45">
      <c r="C1216"/>
    </row>
    <row r="1217" spans="3:3" x14ac:dyDescent="0.45">
      <c r="C1217"/>
    </row>
    <row r="1218" spans="3:3" x14ac:dyDescent="0.45">
      <c r="C1218"/>
    </row>
    <row r="1219" spans="3:3" x14ac:dyDescent="0.45">
      <c r="C1219"/>
    </row>
    <row r="1220" spans="3:3" x14ac:dyDescent="0.45">
      <c r="C1220"/>
    </row>
    <row r="1221" spans="3:3" x14ac:dyDescent="0.45">
      <c r="C1221"/>
    </row>
    <row r="1222" spans="3:3" x14ac:dyDescent="0.45">
      <c r="C1222"/>
    </row>
    <row r="1223" spans="3:3" x14ac:dyDescent="0.45">
      <c r="C1223"/>
    </row>
    <row r="1224" spans="3:3" x14ac:dyDescent="0.45">
      <c r="C1224"/>
    </row>
    <row r="1225" spans="3:3" x14ac:dyDescent="0.45">
      <c r="C1225"/>
    </row>
    <row r="1226" spans="3:3" x14ac:dyDescent="0.45">
      <c r="C1226"/>
    </row>
    <row r="1227" spans="3:3" x14ac:dyDescent="0.45">
      <c r="C1227"/>
    </row>
    <row r="1228" spans="3:3" x14ac:dyDescent="0.45">
      <c r="C1228"/>
    </row>
    <row r="1229" spans="3:3" x14ac:dyDescent="0.45">
      <c r="C1229"/>
    </row>
    <row r="1230" spans="3:3" x14ac:dyDescent="0.45">
      <c r="C1230"/>
    </row>
    <row r="1231" spans="3:3" x14ac:dyDescent="0.45">
      <c r="C1231"/>
    </row>
    <row r="1232" spans="3:3" x14ac:dyDescent="0.45">
      <c r="C1232"/>
    </row>
    <row r="1233" spans="3:3" x14ac:dyDescent="0.45">
      <c r="C1233"/>
    </row>
    <row r="1234" spans="3:3" x14ac:dyDescent="0.45">
      <c r="C1234"/>
    </row>
    <row r="1235" spans="3:3" x14ac:dyDescent="0.45">
      <c r="C1235"/>
    </row>
    <row r="1236" spans="3:3" x14ac:dyDescent="0.45">
      <c r="C1236"/>
    </row>
    <row r="1237" spans="3:3" x14ac:dyDescent="0.45">
      <c r="C1237"/>
    </row>
    <row r="1238" spans="3:3" x14ac:dyDescent="0.45">
      <c r="C1238"/>
    </row>
    <row r="1239" spans="3:3" x14ac:dyDescent="0.45">
      <c r="C1239"/>
    </row>
    <row r="1240" spans="3:3" x14ac:dyDescent="0.45">
      <c r="C1240"/>
    </row>
    <row r="1241" spans="3:3" x14ac:dyDescent="0.45">
      <c r="C1241"/>
    </row>
    <row r="1242" spans="3:3" x14ac:dyDescent="0.45">
      <c r="C1242"/>
    </row>
    <row r="1243" spans="3:3" x14ac:dyDescent="0.45">
      <c r="C1243"/>
    </row>
    <row r="1244" spans="3:3" x14ac:dyDescent="0.45">
      <c r="C1244"/>
    </row>
    <row r="1245" spans="3:3" x14ac:dyDescent="0.45">
      <c r="C1245"/>
    </row>
    <row r="1246" spans="3:3" x14ac:dyDescent="0.45">
      <c r="C1246"/>
    </row>
    <row r="1247" spans="3:3" x14ac:dyDescent="0.45">
      <c r="C1247"/>
    </row>
    <row r="1248" spans="3:3" x14ac:dyDescent="0.45">
      <c r="C1248"/>
    </row>
    <row r="1249" spans="3:3" x14ac:dyDescent="0.45">
      <c r="C1249"/>
    </row>
    <row r="1250" spans="3:3" x14ac:dyDescent="0.45">
      <c r="C1250"/>
    </row>
    <row r="1251" spans="3:3" x14ac:dyDescent="0.45">
      <c r="C1251"/>
    </row>
    <row r="1252" spans="3:3" x14ac:dyDescent="0.45">
      <c r="C1252"/>
    </row>
    <row r="1253" spans="3:3" x14ac:dyDescent="0.45">
      <c r="C1253"/>
    </row>
    <row r="1254" spans="3:3" x14ac:dyDescent="0.45">
      <c r="C1254"/>
    </row>
    <row r="1255" spans="3:3" x14ac:dyDescent="0.45">
      <c r="C1255"/>
    </row>
    <row r="1256" spans="3:3" x14ac:dyDescent="0.45">
      <c r="C1256"/>
    </row>
    <row r="1257" spans="3:3" x14ac:dyDescent="0.45">
      <c r="C1257"/>
    </row>
    <row r="1258" spans="3:3" x14ac:dyDescent="0.45">
      <c r="C1258"/>
    </row>
    <row r="1259" spans="3:3" x14ac:dyDescent="0.45">
      <c r="C1259"/>
    </row>
    <row r="1260" spans="3:3" x14ac:dyDescent="0.45">
      <c r="C1260"/>
    </row>
    <row r="1261" spans="3:3" x14ac:dyDescent="0.45">
      <c r="C1261"/>
    </row>
    <row r="1262" spans="3:3" x14ac:dyDescent="0.45">
      <c r="C1262"/>
    </row>
    <row r="1263" spans="3:3" x14ac:dyDescent="0.45">
      <c r="C1263"/>
    </row>
    <row r="1264" spans="3:3" x14ac:dyDescent="0.45">
      <c r="C1264"/>
    </row>
    <row r="1265" spans="3:3" x14ac:dyDescent="0.45">
      <c r="C1265"/>
    </row>
    <row r="1266" spans="3:3" x14ac:dyDescent="0.45">
      <c r="C1266"/>
    </row>
    <row r="1267" spans="3:3" x14ac:dyDescent="0.45">
      <c r="C1267"/>
    </row>
    <row r="1268" spans="3:3" x14ac:dyDescent="0.45">
      <c r="C1268"/>
    </row>
    <row r="1269" spans="3:3" x14ac:dyDescent="0.45">
      <c r="C1269"/>
    </row>
    <row r="1270" spans="3:3" x14ac:dyDescent="0.45">
      <c r="C1270"/>
    </row>
    <row r="1271" spans="3:3" x14ac:dyDescent="0.45">
      <c r="C1271"/>
    </row>
    <row r="1272" spans="3:3" x14ac:dyDescent="0.45">
      <c r="C1272"/>
    </row>
    <row r="1273" spans="3:3" x14ac:dyDescent="0.45">
      <c r="C1273"/>
    </row>
    <row r="1274" spans="3:3" x14ac:dyDescent="0.45">
      <c r="C1274"/>
    </row>
    <row r="1275" spans="3:3" x14ac:dyDescent="0.45">
      <c r="C1275"/>
    </row>
    <row r="1276" spans="3:3" x14ac:dyDescent="0.45">
      <c r="C1276"/>
    </row>
    <row r="1277" spans="3:3" x14ac:dyDescent="0.45">
      <c r="C1277"/>
    </row>
    <row r="1278" spans="3:3" x14ac:dyDescent="0.45">
      <c r="C1278"/>
    </row>
    <row r="1279" spans="3:3" x14ac:dyDescent="0.45">
      <c r="C1279"/>
    </row>
    <row r="1280" spans="3:3" x14ac:dyDescent="0.45">
      <c r="C1280"/>
    </row>
    <row r="1281" spans="3:3" x14ac:dyDescent="0.45">
      <c r="C1281"/>
    </row>
    <row r="1282" spans="3:3" x14ac:dyDescent="0.45">
      <c r="C1282"/>
    </row>
    <row r="1283" spans="3:3" x14ac:dyDescent="0.45">
      <c r="C1283"/>
    </row>
    <row r="1284" spans="3:3" x14ac:dyDescent="0.45">
      <c r="C1284"/>
    </row>
    <row r="1285" spans="3:3" x14ac:dyDescent="0.45">
      <c r="C1285"/>
    </row>
    <row r="1286" spans="3:3" x14ac:dyDescent="0.45">
      <c r="C1286"/>
    </row>
    <row r="1287" spans="3:3" x14ac:dyDescent="0.45">
      <c r="C1287"/>
    </row>
    <row r="1288" spans="3:3" x14ac:dyDescent="0.45">
      <c r="C1288"/>
    </row>
    <row r="1289" spans="3:3" x14ac:dyDescent="0.45">
      <c r="C1289"/>
    </row>
    <row r="1290" spans="3:3" x14ac:dyDescent="0.45">
      <c r="C1290"/>
    </row>
    <row r="1291" spans="3:3" x14ac:dyDescent="0.45">
      <c r="C1291"/>
    </row>
    <row r="1292" spans="3:3" x14ac:dyDescent="0.45">
      <c r="C1292"/>
    </row>
    <row r="1293" spans="3:3" x14ac:dyDescent="0.45">
      <c r="C1293"/>
    </row>
    <row r="1294" spans="3:3" x14ac:dyDescent="0.45">
      <c r="C1294"/>
    </row>
    <row r="1295" spans="3:3" x14ac:dyDescent="0.45">
      <c r="C1295"/>
    </row>
    <row r="1296" spans="3:3" x14ac:dyDescent="0.45">
      <c r="C1296"/>
    </row>
    <row r="1297" spans="3:3" x14ac:dyDescent="0.45">
      <c r="C1297"/>
    </row>
    <row r="1298" spans="3:3" x14ac:dyDescent="0.45">
      <c r="C1298"/>
    </row>
    <row r="1299" spans="3:3" x14ac:dyDescent="0.45">
      <c r="C1299"/>
    </row>
    <row r="1300" spans="3:3" x14ac:dyDescent="0.45">
      <c r="C1300"/>
    </row>
    <row r="1301" spans="3:3" x14ac:dyDescent="0.45">
      <c r="C1301"/>
    </row>
    <row r="1302" spans="3:3" x14ac:dyDescent="0.45">
      <c r="C1302"/>
    </row>
    <row r="1303" spans="3:3" x14ac:dyDescent="0.45">
      <c r="C1303"/>
    </row>
    <row r="1304" spans="3:3" x14ac:dyDescent="0.45">
      <c r="C1304"/>
    </row>
    <row r="1305" spans="3:3" x14ac:dyDescent="0.45">
      <c r="C1305"/>
    </row>
    <row r="1306" spans="3:3" x14ac:dyDescent="0.45">
      <c r="C1306"/>
    </row>
    <row r="1307" spans="3:3" x14ac:dyDescent="0.45">
      <c r="C1307"/>
    </row>
    <row r="1308" spans="3:3" x14ac:dyDescent="0.45">
      <c r="C1308"/>
    </row>
    <row r="1309" spans="3:3" x14ac:dyDescent="0.45">
      <c r="C1309"/>
    </row>
    <row r="1310" spans="3:3" x14ac:dyDescent="0.45">
      <c r="C1310"/>
    </row>
    <row r="1311" spans="3:3" x14ac:dyDescent="0.45">
      <c r="C1311"/>
    </row>
    <row r="1312" spans="3:3" x14ac:dyDescent="0.45">
      <c r="C1312"/>
    </row>
    <row r="1313" spans="3:3" x14ac:dyDescent="0.45">
      <c r="C1313"/>
    </row>
    <row r="1314" spans="3:3" x14ac:dyDescent="0.45">
      <c r="C1314"/>
    </row>
    <row r="1315" spans="3:3" x14ac:dyDescent="0.45">
      <c r="C1315"/>
    </row>
    <row r="1316" spans="3:3" x14ac:dyDescent="0.45">
      <c r="C1316"/>
    </row>
    <row r="1317" spans="3:3" x14ac:dyDescent="0.45">
      <c r="C1317"/>
    </row>
    <row r="1318" spans="3:3" x14ac:dyDescent="0.45">
      <c r="C1318"/>
    </row>
    <row r="1319" spans="3:3" x14ac:dyDescent="0.45">
      <c r="C1319"/>
    </row>
    <row r="1320" spans="3:3" x14ac:dyDescent="0.45">
      <c r="C1320"/>
    </row>
    <row r="1321" spans="3:3" x14ac:dyDescent="0.45">
      <c r="C1321"/>
    </row>
    <row r="1322" spans="3:3" x14ac:dyDescent="0.45">
      <c r="C1322"/>
    </row>
    <row r="1323" spans="3:3" x14ac:dyDescent="0.45">
      <c r="C1323"/>
    </row>
    <row r="1324" spans="3:3" x14ac:dyDescent="0.45">
      <c r="C1324"/>
    </row>
    <row r="1325" spans="3:3" x14ac:dyDescent="0.45">
      <c r="C1325"/>
    </row>
    <row r="1326" spans="3:3" x14ac:dyDescent="0.45">
      <c r="C1326"/>
    </row>
    <row r="1327" spans="3:3" x14ac:dyDescent="0.45">
      <c r="C1327"/>
    </row>
    <row r="1328" spans="3:3" x14ac:dyDescent="0.45">
      <c r="C1328"/>
    </row>
    <row r="1329" spans="3:3" x14ac:dyDescent="0.45">
      <c r="C1329"/>
    </row>
    <row r="1330" spans="3:3" x14ac:dyDescent="0.45">
      <c r="C1330"/>
    </row>
    <row r="1331" spans="3:3" x14ac:dyDescent="0.45">
      <c r="C1331"/>
    </row>
    <row r="1332" spans="3:3" x14ac:dyDescent="0.45">
      <c r="C1332"/>
    </row>
    <row r="1333" spans="3:3" x14ac:dyDescent="0.45">
      <c r="C1333"/>
    </row>
    <row r="1334" spans="3:3" x14ac:dyDescent="0.45">
      <c r="C1334"/>
    </row>
    <row r="1335" spans="3:3" x14ac:dyDescent="0.45">
      <c r="C1335"/>
    </row>
    <row r="1336" spans="3:3" x14ac:dyDescent="0.45">
      <c r="C1336"/>
    </row>
    <row r="1337" spans="3:3" x14ac:dyDescent="0.45">
      <c r="C1337"/>
    </row>
    <row r="1338" spans="3:3" x14ac:dyDescent="0.45">
      <c r="C1338"/>
    </row>
    <row r="1339" spans="3:3" x14ac:dyDescent="0.45">
      <c r="C1339"/>
    </row>
    <row r="1340" spans="3:3" x14ac:dyDescent="0.45">
      <c r="C1340"/>
    </row>
    <row r="1341" spans="3:3" x14ac:dyDescent="0.45">
      <c r="C1341"/>
    </row>
    <row r="1342" spans="3:3" x14ac:dyDescent="0.45">
      <c r="C1342"/>
    </row>
    <row r="1343" spans="3:3" x14ac:dyDescent="0.45">
      <c r="C1343"/>
    </row>
    <row r="1344" spans="3:3" x14ac:dyDescent="0.45">
      <c r="C1344"/>
    </row>
    <row r="1345" spans="3:3" x14ac:dyDescent="0.45">
      <c r="C1345"/>
    </row>
    <row r="1346" spans="3:3" x14ac:dyDescent="0.45">
      <c r="C1346"/>
    </row>
    <row r="1347" spans="3:3" x14ac:dyDescent="0.45">
      <c r="C1347"/>
    </row>
    <row r="1348" spans="3:3" x14ac:dyDescent="0.45">
      <c r="C1348"/>
    </row>
    <row r="1349" spans="3:3" x14ac:dyDescent="0.45">
      <c r="C1349"/>
    </row>
    <row r="1350" spans="3:3" x14ac:dyDescent="0.45">
      <c r="C1350"/>
    </row>
    <row r="1351" spans="3:3" x14ac:dyDescent="0.45">
      <c r="C1351"/>
    </row>
    <row r="1352" spans="3:3" x14ac:dyDescent="0.45">
      <c r="C1352"/>
    </row>
    <row r="1353" spans="3:3" x14ac:dyDescent="0.45">
      <c r="C1353"/>
    </row>
    <row r="1354" spans="3:3" x14ac:dyDescent="0.45">
      <c r="C1354"/>
    </row>
    <row r="1355" spans="3:3" x14ac:dyDescent="0.45">
      <c r="C1355"/>
    </row>
    <row r="1356" spans="3:3" x14ac:dyDescent="0.45">
      <c r="C1356"/>
    </row>
    <row r="1357" spans="3:3" x14ac:dyDescent="0.45">
      <c r="C1357"/>
    </row>
    <row r="1358" spans="3:3" x14ac:dyDescent="0.45">
      <c r="C1358"/>
    </row>
    <row r="1359" spans="3:3" x14ac:dyDescent="0.45">
      <c r="C1359"/>
    </row>
    <row r="1360" spans="3:3" x14ac:dyDescent="0.45">
      <c r="C1360"/>
    </row>
    <row r="1361" spans="3:3" x14ac:dyDescent="0.45">
      <c r="C1361"/>
    </row>
    <row r="1362" spans="3:3" x14ac:dyDescent="0.45">
      <c r="C1362"/>
    </row>
    <row r="1363" spans="3:3" x14ac:dyDescent="0.45">
      <c r="C1363"/>
    </row>
    <row r="1364" spans="3:3" x14ac:dyDescent="0.45">
      <c r="C1364"/>
    </row>
    <row r="1365" spans="3:3" x14ac:dyDescent="0.45">
      <c r="C1365"/>
    </row>
    <row r="1366" spans="3:3" x14ac:dyDescent="0.45">
      <c r="C1366"/>
    </row>
    <row r="1367" spans="3:3" x14ac:dyDescent="0.45">
      <c r="C1367"/>
    </row>
    <row r="1368" spans="3:3" x14ac:dyDescent="0.45">
      <c r="C1368"/>
    </row>
    <row r="1369" spans="3:3" x14ac:dyDescent="0.45">
      <c r="C1369"/>
    </row>
    <row r="1370" spans="3:3" x14ac:dyDescent="0.45">
      <c r="C1370"/>
    </row>
    <row r="1371" spans="3:3" x14ac:dyDescent="0.45">
      <c r="C1371"/>
    </row>
    <row r="1372" spans="3:3" x14ac:dyDescent="0.45">
      <c r="C1372"/>
    </row>
    <row r="1373" spans="3:3" x14ac:dyDescent="0.45">
      <c r="C1373"/>
    </row>
    <row r="1374" spans="3:3" x14ac:dyDescent="0.45">
      <c r="C1374"/>
    </row>
    <row r="1375" spans="3:3" x14ac:dyDescent="0.45">
      <c r="C1375"/>
    </row>
    <row r="1376" spans="3:3" x14ac:dyDescent="0.45">
      <c r="C1376"/>
    </row>
    <row r="1377" spans="3:3" x14ac:dyDescent="0.45">
      <c r="C1377"/>
    </row>
    <row r="1378" spans="3:3" x14ac:dyDescent="0.45">
      <c r="C1378"/>
    </row>
    <row r="1379" spans="3:3" x14ac:dyDescent="0.45">
      <c r="C1379"/>
    </row>
    <row r="1380" spans="3:3" x14ac:dyDescent="0.45">
      <c r="C1380"/>
    </row>
    <row r="1381" spans="3:3" x14ac:dyDescent="0.45">
      <c r="C1381"/>
    </row>
    <row r="1382" spans="3:3" x14ac:dyDescent="0.45">
      <c r="C1382"/>
    </row>
    <row r="1383" spans="3:3" x14ac:dyDescent="0.45">
      <c r="C1383"/>
    </row>
    <row r="1384" spans="3:3" x14ac:dyDescent="0.45">
      <c r="C1384"/>
    </row>
    <row r="1385" spans="3:3" x14ac:dyDescent="0.45">
      <c r="C1385"/>
    </row>
    <row r="1386" spans="3:3" x14ac:dyDescent="0.45">
      <c r="C1386"/>
    </row>
    <row r="1387" spans="3:3" x14ac:dyDescent="0.45">
      <c r="C1387"/>
    </row>
    <row r="1388" spans="3:3" x14ac:dyDescent="0.45">
      <c r="C1388"/>
    </row>
    <row r="1389" spans="3:3" x14ac:dyDescent="0.45">
      <c r="C1389"/>
    </row>
    <row r="1390" spans="3:3" x14ac:dyDescent="0.45">
      <c r="C1390"/>
    </row>
    <row r="1391" spans="3:3" x14ac:dyDescent="0.45">
      <c r="C1391"/>
    </row>
    <row r="1392" spans="3:3" x14ac:dyDescent="0.45">
      <c r="C1392"/>
    </row>
    <row r="1393" spans="3:3" x14ac:dyDescent="0.45">
      <c r="C1393"/>
    </row>
    <row r="1394" spans="3:3" x14ac:dyDescent="0.45">
      <c r="C1394"/>
    </row>
    <row r="1395" spans="3:3" x14ac:dyDescent="0.45">
      <c r="C1395"/>
    </row>
    <row r="1396" spans="3:3" x14ac:dyDescent="0.45">
      <c r="C1396"/>
    </row>
    <row r="1397" spans="3:3" x14ac:dyDescent="0.45">
      <c r="C1397"/>
    </row>
    <row r="1398" spans="3:3" x14ac:dyDescent="0.45">
      <c r="C1398"/>
    </row>
    <row r="1399" spans="3:3" x14ac:dyDescent="0.45">
      <c r="C1399"/>
    </row>
  </sheetData>
  <mergeCells count="167">
    <mergeCell ref="D61:G61"/>
    <mergeCell ref="H61:K61"/>
    <mergeCell ref="L61:O61"/>
    <mergeCell ref="Q58:Q59"/>
    <mergeCell ref="P58:P59"/>
    <mergeCell ref="A30:A31"/>
    <mergeCell ref="B30:B31"/>
    <mergeCell ref="P37:P38"/>
    <mergeCell ref="Q41:Q42"/>
    <mergeCell ref="P41:P42"/>
    <mergeCell ref="A49:A50"/>
    <mergeCell ref="B49:B50"/>
    <mergeCell ref="Q49:Q50"/>
    <mergeCell ref="P49:P50"/>
    <mergeCell ref="A47:A48"/>
    <mergeCell ref="B47:B48"/>
    <mergeCell ref="Q47:Q48"/>
    <mergeCell ref="B37:B38"/>
    <mergeCell ref="Q37:Q38"/>
    <mergeCell ref="P30:P31"/>
    <mergeCell ref="A32:A33"/>
    <mergeCell ref="B32:B33"/>
    <mergeCell ref="P47:P48"/>
    <mergeCell ref="H46:K46"/>
    <mergeCell ref="L45:O45"/>
    <mergeCell ref="L35:O35"/>
    <mergeCell ref="D40:G40"/>
    <mergeCell ref="H40:K40"/>
    <mergeCell ref="L40:O40"/>
    <mergeCell ref="D43:G43"/>
    <mergeCell ref="H43:K43"/>
    <mergeCell ref="L43:O43"/>
    <mergeCell ref="L39:O39"/>
    <mergeCell ref="D39:G39"/>
    <mergeCell ref="H39:K39"/>
    <mergeCell ref="D44:G44"/>
    <mergeCell ref="H44:K44"/>
    <mergeCell ref="L44:O44"/>
    <mergeCell ref="D45:G45"/>
    <mergeCell ref="H45:K45"/>
    <mergeCell ref="D60:G60"/>
    <mergeCell ref="H60:K60"/>
    <mergeCell ref="L60:O60"/>
    <mergeCell ref="A51:A52"/>
    <mergeCell ref="B51:B52"/>
    <mergeCell ref="P51:P52"/>
    <mergeCell ref="A58:A59"/>
    <mergeCell ref="B58:B59"/>
    <mergeCell ref="D46:G46"/>
    <mergeCell ref="L46:O46"/>
    <mergeCell ref="A53:A54"/>
    <mergeCell ref="B53:B54"/>
    <mergeCell ref="P53:P54"/>
    <mergeCell ref="A56:A57"/>
    <mergeCell ref="B56:B57"/>
    <mergeCell ref="P56:P57"/>
    <mergeCell ref="D55:G55"/>
    <mergeCell ref="H55:K55"/>
    <mergeCell ref="L55:O55"/>
    <mergeCell ref="Q20:Q21"/>
    <mergeCell ref="H25:K25"/>
    <mergeCell ref="A41:A42"/>
    <mergeCell ref="B41:B42"/>
    <mergeCell ref="D24:G24"/>
    <mergeCell ref="H24:K24"/>
    <mergeCell ref="L24:O24"/>
    <mergeCell ref="D25:G25"/>
    <mergeCell ref="D36:G36"/>
    <mergeCell ref="H36:K36"/>
    <mergeCell ref="L36:O36"/>
    <mergeCell ref="A37:A38"/>
    <mergeCell ref="L25:O25"/>
    <mergeCell ref="D28:G28"/>
    <mergeCell ref="H28:K28"/>
    <mergeCell ref="L28:O28"/>
    <mergeCell ref="D29:G29"/>
    <mergeCell ref="H29:K29"/>
    <mergeCell ref="L29:O29"/>
    <mergeCell ref="P32:P33"/>
    <mergeCell ref="L34:O34"/>
    <mergeCell ref="D35:G35"/>
    <mergeCell ref="H35:K35"/>
    <mergeCell ref="D34:G34"/>
    <mergeCell ref="P20:P21"/>
    <mergeCell ref="B20:B21"/>
    <mergeCell ref="D20:G20"/>
    <mergeCell ref="D22:G22"/>
    <mergeCell ref="H22:K22"/>
    <mergeCell ref="L22:O22"/>
    <mergeCell ref="P17:P18"/>
    <mergeCell ref="A20:A21"/>
    <mergeCell ref="H20:K20"/>
    <mergeCell ref="L20:O20"/>
    <mergeCell ref="C20:C21"/>
    <mergeCell ref="P9:P10"/>
    <mergeCell ref="A6:A7"/>
    <mergeCell ref="P15:P16"/>
    <mergeCell ref="Q9:Q10"/>
    <mergeCell ref="B6:B7"/>
    <mergeCell ref="P6:P7"/>
    <mergeCell ref="B13:B14"/>
    <mergeCell ref="Q13:Q14"/>
    <mergeCell ref="P13:P14"/>
    <mergeCell ref="B15:B16"/>
    <mergeCell ref="Q15:Q16"/>
    <mergeCell ref="D8:G8"/>
    <mergeCell ref="H27:K27"/>
    <mergeCell ref="L27:O27"/>
    <mergeCell ref="A3:A4"/>
    <mergeCell ref="B3:B4"/>
    <mergeCell ref="D3:G3"/>
    <mergeCell ref="H3:K3"/>
    <mergeCell ref="L3:O3"/>
    <mergeCell ref="Q3:Q4"/>
    <mergeCell ref="P3:P4"/>
    <mergeCell ref="C3:C4"/>
    <mergeCell ref="A13:A14"/>
    <mergeCell ref="H8:K8"/>
    <mergeCell ref="L8:O8"/>
    <mergeCell ref="A15:A16"/>
    <mergeCell ref="Q6:Q7"/>
    <mergeCell ref="D5:G5"/>
    <mergeCell ref="H5:K5"/>
    <mergeCell ref="L5:O5"/>
    <mergeCell ref="A11:A12"/>
    <mergeCell ref="B11:B12"/>
    <mergeCell ref="Q11:Q12"/>
    <mergeCell ref="P11:P12"/>
    <mergeCell ref="A9:A10"/>
    <mergeCell ref="B9:B10"/>
    <mergeCell ref="H34:K34"/>
    <mergeCell ref="A17:A18"/>
    <mergeCell ref="B17:B18"/>
    <mergeCell ref="Q17:Q18"/>
    <mergeCell ref="A1:R1"/>
    <mergeCell ref="A2:R2"/>
    <mergeCell ref="R3:R4"/>
    <mergeCell ref="A19:R19"/>
    <mergeCell ref="R20:R21"/>
    <mergeCell ref="R6:R7"/>
    <mergeCell ref="R9:R10"/>
    <mergeCell ref="R11:R12"/>
    <mergeCell ref="R13:R14"/>
    <mergeCell ref="R15:R16"/>
    <mergeCell ref="R17:R18"/>
    <mergeCell ref="R30:R31"/>
    <mergeCell ref="R32:R33"/>
    <mergeCell ref="D23:G23"/>
    <mergeCell ref="H23:K23"/>
    <mergeCell ref="L23:O23"/>
    <mergeCell ref="D26:G26"/>
    <mergeCell ref="H26:K26"/>
    <mergeCell ref="L26:O26"/>
    <mergeCell ref="D27:G27"/>
    <mergeCell ref="R37:R38"/>
    <mergeCell ref="R41:R42"/>
    <mergeCell ref="R47:R48"/>
    <mergeCell ref="R49:R50"/>
    <mergeCell ref="R58:R59"/>
    <mergeCell ref="R51:R52"/>
    <mergeCell ref="R53:R54"/>
    <mergeCell ref="R56:R57"/>
    <mergeCell ref="Q30:Q31"/>
    <mergeCell ref="Q32:Q33"/>
    <mergeCell ref="Q51:Q52"/>
    <mergeCell ref="Q53:Q54"/>
    <mergeCell ref="Q56:Q57"/>
  </mergeCells>
  <conditionalFormatting sqref="B24:B57">
    <cfRule type="cellIs" dxfId="11" priority="2" operator="equal">
      <formula>#REF!</formula>
    </cfRule>
  </conditionalFormatting>
  <conditionalFormatting sqref="B5:C18">
    <cfRule type="cellIs" dxfId="10" priority="22" operator="equal">
      <formula>#REF!</formula>
    </cfRule>
  </conditionalFormatting>
  <conditionalFormatting sqref="B23:C23">
    <cfRule type="cellIs" dxfId="9" priority="43" operator="equal">
      <formula>#REF!</formula>
    </cfRule>
  </conditionalFormatting>
  <conditionalFormatting sqref="C22">
    <cfRule type="cellIs" dxfId="8" priority="9" operator="equal">
      <formula>#REF!</formula>
    </cfRule>
  </conditionalFormatting>
  <conditionalFormatting sqref="C24:C61">
    <cfRule type="cellIs" dxfId="7" priority="1" operator="equal">
      <formula>#REF!</formula>
    </cfRule>
  </conditionalFormatting>
  <pageMargins left="4.4531250000000001E-2" right="0.28203125000000001" top="0.75" bottom="0.75" header="0.3" footer="0.3"/>
  <pageSetup scale="57" orientation="portrait" r:id="rId1"/>
  <extLst>
    <ext xmlns:x14="http://schemas.microsoft.com/office/spreadsheetml/2009/9/main" uri="{78C0D931-6437-407d-A8EE-F0AAD7539E65}">
      <x14:conditionalFormattings>
        <x14:conditionalFormatting xmlns:xm="http://schemas.microsoft.com/office/excel/2006/main">
          <x14:cfRule type="cellIs" priority="7" operator="equal" id="{25E36527-93B8-4C8D-AFBF-7E6D0BD5153B}">
            <xm:f>'مكتب علمي'!#REF!</xm:f>
            <x14:dxf>
              <font>
                <color rgb="FF9C0006"/>
              </font>
              <fill>
                <patternFill>
                  <bgColor rgb="FFFFC7CE"/>
                </patternFill>
              </fill>
            </x14:dxf>
          </x14:cfRule>
          <xm:sqref>B58:B59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379"/>
  <sheetViews>
    <sheetView showGridLines="0" rightToLeft="1" tabSelected="1" topLeftCell="A28" zoomScale="85" zoomScaleNormal="100" zoomScalePageLayoutView="85" workbookViewId="0">
      <selection activeCell="S31" sqref="S31"/>
    </sheetView>
  </sheetViews>
  <sheetFormatPr defaultColWidth="8.85546875" defaultRowHeight="18.75" x14ac:dyDescent="0.25"/>
  <cols>
    <col min="1" max="1" width="8.85546875" style="3"/>
    <col min="2" max="2" width="37.7109375" style="14" customWidth="1"/>
    <col min="3" max="3" width="20.42578125" style="12" bestFit="1" customWidth="1"/>
    <col min="4" max="4" width="8.7109375" style="18" bestFit="1" customWidth="1"/>
    <col min="5" max="5" width="10.28515625" style="4" bestFit="1" customWidth="1"/>
    <col min="6" max="6" width="10" style="4" bestFit="1" customWidth="1"/>
    <col min="7" max="7" width="9.28515625" style="4" bestFit="1" customWidth="1"/>
    <col min="8" max="8" width="8.7109375" style="4" bestFit="1" customWidth="1"/>
    <col min="9" max="9" width="10.28515625" style="4" bestFit="1" customWidth="1"/>
    <col min="10" max="10" width="10" style="4" bestFit="1" customWidth="1"/>
    <col min="11" max="11" width="9.28515625" style="4" bestFit="1" customWidth="1"/>
    <col min="12" max="12" width="8.7109375" style="4" bestFit="1" customWidth="1"/>
    <col min="13" max="13" width="10.28515625" style="4" bestFit="1" customWidth="1"/>
    <col min="14" max="14" width="10" style="4" bestFit="1" customWidth="1"/>
    <col min="15" max="15" width="9.28515625" style="4" bestFit="1" customWidth="1"/>
    <col min="16" max="16" width="8.85546875" style="4"/>
    <col min="17" max="17" width="15.85546875" style="4" customWidth="1"/>
    <col min="18" max="18" width="30.5703125" style="92" customWidth="1"/>
    <col min="19" max="16384" width="8.85546875" style="2"/>
  </cols>
  <sheetData>
    <row r="1" spans="1:27" s="73" customFormat="1" ht="51" customHeight="1" x14ac:dyDescent="0.25">
      <c r="A1" s="129" t="s">
        <v>633</v>
      </c>
      <c r="B1" s="130"/>
      <c r="C1" s="130"/>
      <c r="D1" s="130"/>
      <c r="E1" s="130"/>
      <c r="F1" s="130"/>
      <c r="G1" s="130"/>
      <c r="H1" s="130"/>
      <c r="I1" s="130"/>
      <c r="J1" s="130"/>
      <c r="K1" s="130"/>
      <c r="L1" s="130"/>
      <c r="M1" s="130"/>
      <c r="N1" s="130"/>
      <c r="O1" s="130"/>
      <c r="P1" s="130"/>
      <c r="Q1" s="130"/>
      <c r="R1" s="130"/>
    </row>
    <row r="2" spans="1:27" s="1" customFormat="1" ht="30.75" customHeight="1" x14ac:dyDescent="0.45">
      <c r="A2" s="175" t="s">
        <v>578</v>
      </c>
      <c r="B2" s="176"/>
      <c r="C2" s="176"/>
      <c r="D2" s="176"/>
      <c r="E2" s="176"/>
      <c r="F2" s="176"/>
      <c r="G2" s="176"/>
      <c r="H2" s="176"/>
      <c r="I2" s="176"/>
      <c r="J2" s="176"/>
      <c r="K2" s="176"/>
      <c r="L2" s="176"/>
      <c r="M2" s="176"/>
      <c r="N2" s="176"/>
      <c r="O2" s="176"/>
      <c r="P2" s="176"/>
      <c r="Q2" s="176"/>
      <c r="R2" s="176"/>
      <c r="S2" s="2"/>
      <c r="T2" s="2"/>
    </row>
    <row r="3" spans="1:27" s="1" customFormat="1" ht="19.5" customHeight="1" thickBot="1" x14ac:dyDescent="0.5">
      <c r="A3" s="133" t="s">
        <v>529</v>
      </c>
      <c r="B3" s="134"/>
      <c r="C3" s="134"/>
      <c r="D3" s="134"/>
      <c r="E3" s="134"/>
      <c r="F3" s="134"/>
      <c r="G3" s="134"/>
      <c r="H3" s="134"/>
      <c r="I3" s="134"/>
      <c r="J3" s="134"/>
      <c r="K3" s="134"/>
      <c r="L3" s="134"/>
      <c r="M3" s="134"/>
      <c r="N3" s="134"/>
      <c r="O3" s="134"/>
      <c r="P3" s="134"/>
      <c r="Q3" s="134"/>
      <c r="R3" s="134"/>
      <c r="S3" s="2"/>
      <c r="T3" s="2"/>
    </row>
    <row r="4" spans="1:27" s="1" customFormat="1" ht="19.5" customHeight="1" thickBot="1" x14ac:dyDescent="0.5">
      <c r="A4" s="165" t="s">
        <v>4</v>
      </c>
      <c r="B4" s="167" t="s">
        <v>3</v>
      </c>
      <c r="C4" s="167" t="s">
        <v>406</v>
      </c>
      <c r="D4" s="169" t="s">
        <v>2</v>
      </c>
      <c r="E4" s="170"/>
      <c r="F4" s="170"/>
      <c r="G4" s="171"/>
      <c r="H4" s="169" t="s">
        <v>1</v>
      </c>
      <c r="I4" s="170"/>
      <c r="J4" s="170"/>
      <c r="K4" s="171"/>
      <c r="L4" s="169" t="s">
        <v>0</v>
      </c>
      <c r="M4" s="170"/>
      <c r="N4" s="170"/>
      <c r="O4" s="171"/>
      <c r="P4" s="167" t="s">
        <v>405</v>
      </c>
      <c r="Q4" s="167" t="s">
        <v>37</v>
      </c>
      <c r="R4" s="128" t="s">
        <v>632</v>
      </c>
      <c r="S4" s="2"/>
      <c r="T4" s="2"/>
    </row>
    <row r="5" spans="1:27" s="1" customFormat="1" ht="19.5" customHeight="1" thickBot="1" x14ac:dyDescent="0.5">
      <c r="A5" s="191"/>
      <c r="B5" s="218"/>
      <c r="C5" s="218"/>
      <c r="D5" s="16" t="s">
        <v>8</v>
      </c>
      <c r="E5" s="17" t="s">
        <v>7</v>
      </c>
      <c r="F5" s="17" t="s">
        <v>6</v>
      </c>
      <c r="G5" s="17" t="s">
        <v>5</v>
      </c>
      <c r="H5" s="17" t="s">
        <v>8</v>
      </c>
      <c r="I5" s="17"/>
      <c r="J5" s="17" t="s">
        <v>6</v>
      </c>
      <c r="K5" s="17" t="s">
        <v>5</v>
      </c>
      <c r="L5" s="17" t="s">
        <v>8</v>
      </c>
      <c r="M5" s="17" t="s">
        <v>7</v>
      </c>
      <c r="N5" s="17" t="s">
        <v>6</v>
      </c>
      <c r="O5" s="17" t="s">
        <v>5</v>
      </c>
      <c r="P5" s="194"/>
      <c r="Q5" s="217"/>
      <c r="R5" s="128"/>
      <c r="S5" s="2"/>
      <c r="T5" s="2"/>
    </row>
    <row r="6" spans="1:27" customFormat="1" ht="47.25" customHeight="1" thickBot="1" x14ac:dyDescent="0.3">
      <c r="A6" s="58" t="s">
        <v>346</v>
      </c>
      <c r="B6" s="19" t="s">
        <v>43</v>
      </c>
      <c r="C6" s="5" t="s">
        <v>414</v>
      </c>
      <c r="D6" s="207">
        <v>40000</v>
      </c>
      <c r="E6" s="208"/>
      <c r="F6" s="208"/>
      <c r="G6" s="209"/>
      <c r="H6" s="207">
        <f>D6-(D6*20/100)</f>
        <v>32000</v>
      </c>
      <c r="I6" s="208"/>
      <c r="J6" s="208"/>
      <c r="K6" s="209"/>
      <c r="L6" s="207">
        <f>D6-(D6*40/100)</f>
        <v>24000</v>
      </c>
      <c r="M6" s="208"/>
      <c r="N6" s="208"/>
      <c r="O6" s="209"/>
      <c r="P6" s="20" t="s">
        <v>9</v>
      </c>
      <c r="Q6" s="10" t="s">
        <v>69</v>
      </c>
      <c r="R6" s="74" t="s">
        <v>634</v>
      </c>
      <c r="W6" s="138"/>
      <c r="X6" s="139"/>
      <c r="Y6" s="139"/>
      <c r="Z6" s="139"/>
      <c r="AA6" s="139"/>
    </row>
    <row r="7" spans="1:27" s="15" customFormat="1" ht="18" customHeight="1" x14ac:dyDescent="0.45">
      <c r="A7" s="140" t="s">
        <v>386</v>
      </c>
      <c r="B7" s="179" t="s">
        <v>36</v>
      </c>
      <c r="C7" s="6" t="s">
        <v>415</v>
      </c>
      <c r="D7" s="10">
        <v>2000</v>
      </c>
      <c r="E7" s="11">
        <f>D7-(D7*10/100)</f>
        <v>1800</v>
      </c>
      <c r="F7" s="11">
        <f>D7-(D7*20/100)</f>
        <v>1600</v>
      </c>
      <c r="G7" s="11">
        <f>D7-(D7*30/100)</f>
        <v>1400</v>
      </c>
      <c r="H7" s="11">
        <f>D7-(D7*10/100)</f>
        <v>1800</v>
      </c>
      <c r="I7" s="11">
        <f>H7-(H7*10/100)</f>
        <v>1620</v>
      </c>
      <c r="J7" s="11">
        <f>H7-(H7*20/100)</f>
        <v>1440</v>
      </c>
      <c r="K7" s="11">
        <f>H7-(H7*30/100)</f>
        <v>1260</v>
      </c>
      <c r="L7" s="11">
        <f>D7-(D7*20/100)</f>
        <v>1600</v>
      </c>
      <c r="M7" s="11">
        <f>L7-(L7*10/100)</f>
        <v>1440</v>
      </c>
      <c r="N7" s="11">
        <f>L7-(L7*20/100)</f>
        <v>1280</v>
      </c>
      <c r="O7" s="11">
        <f>L7-(L7*30/100)</f>
        <v>1120</v>
      </c>
      <c r="P7" s="148" t="s">
        <v>10</v>
      </c>
      <c r="Q7" s="214" t="s">
        <v>69</v>
      </c>
      <c r="R7" s="201" t="s">
        <v>682</v>
      </c>
      <c r="S7"/>
      <c r="T7"/>
    </row>
    <row r="8" spans="1:27" customFormat="1" ht="18.75" customHeight="1" thickBot="1" x14ac:dyDescent="0.3">
      <c r="A8" s="141"/>
      <c r="B8" s="180"/>
      <c r="C8" s="7" t="s">
        <v>416</v>
      </c>
      <c r="D8" s="11">
        <f t="shared" ref="D8:O8" si="0">D7*50/100</f>
        <v>1000</v>
      </c>
      <c r="E8" s="11">
        <f t="shared" si="0"/>
        <v>900</v>
      </c>
      <c r="F8" s="11">
        <f t="shared" si="0"/>
        <v>800</v>
      </c>
      <c r="G8" s="11">
        <f t="shared" si="0"/>
        <v>700</v>
      </c>
      <c r="H8" s="11">
        <f t="shared" si="0"/>
        <v>900</v>
      </c>
      <c r="I8" s="11">
        <f t="shared" si="0"/>
        <v>810</v>
      </c>
      <c r="J8" s="11">
        <f t="shared" si="0"/>
        <v>720</v>
      </c>
      <c r="K8" s="11">
        <f t="shared" si="0"/>
        <v>630</v>
      </c>
      <c r="L8" s="11">
        <f t="shared" si="0"/>
        <v>800</v>
      </c>
      <c r="M8" s="11">
        <f t="shared" si="0"/>
        <v>720</v>
      </c>
      <c r="N8" s="11">
        <f t="shared" si="0"/>
        <v>640</v>
      </c>
      <c r="O8" s="11">
        <f t="shared" si="0"/>
        <v>560</v>
      </c>
      <c r="P8" s="149"/>
      <c r="Q8" s="215"/>
      <c r="R8" s="202"/>
      <c r="W8" s="137"/>
      <c r="X8" s="137"/>
      <c r="Y8" s="137"/>
      <c r="Z8" s="137"/>
      <c r="AA8" s="137"/>
    </row>
    <row r="9" spans="1:27" customFormat="1" ht="47.25" customHeight="1" thickBot="1" x14ac:dyDescent="0.3">
      <c r="A9" s="58" t="s">
        <v>387</v>
      </c>
      <c r="B9" s="19" t="s">
        <v>579</v>
      </c>
      <c r="C9" s="5" t="s">
        <v>414</v>
      </c>
      <c r="D9" s="207">
        <v>30000</v>
      </c>
      <c r="E9" s="208"/>
      <c r="F9" s="208"/>
      <c r="G9" s="209"/>
      <c r="H9" s="207">
        <f>D9-(D9*20/100)</f>
        <v>24000</v>
      </c>
      <c r="I9" s="208"/>
      <c r="J9" s="208"/>
      <c r="K9" s="209"/>
      <c r="L9" s="207">
        <f>D9-(D9*40/100)</f>
        <v>18000</v>
      </c>
      <c r="M9" s="208"/>
      <c r="N9" s="208"/>
      <c r="O9" s="209"/>
      <c r="P9" s="20" t="s">
        <v>9</v>
      </c>
      <c r="Q9" s="10" t="s">
        <v>69</v>
      </c>
      <c r="R9" s="74" t="s">
        <v>638</v>
      </c>
      <c r="W9" s="137"/>
      <c r="X9" s="137"/>
      <c r="Y9" s="137"/>
      <c r="Z9" s="137"/>
      <c r="AA9" s="137"/>
    </row>
    <row r="10" spans="1:27" s="15" customFormat="1" ht="18" customHeight="1" x14ac:dyDescent="0.45">
      <c r="A10" s="140" t="s">
        <v>388</v>
      </c>
      <c r="B10" s="179" t="s">
        <v>540</v>
      </c>
      <c r="C10" s="6" t="s">
        <v>415</v>
      </c>
      <c r="D10" s="10">
        <v>2000</v>
      </c>
      <c r="E10" s="11">
        <f t="shared" ref="E10:E16" si="1">D10-(D10*10/100)</f>
        <v>1800</v>
      </c>
      <c r="F10" s="11">
        <f>D10-(D10*20/100)</f>
        <v>1600</v>
      </c>
      <c r="G10" s="11">
        <f>D10-(D10*30/100)</f>
        <v>1400</v>
      </c>
      <c r="H10" s="11">
        <f>D10-(D10*10/100)</f>
        <v>1800</v>
      </c>
      <c r="I10" s="11">
        <f>H10-(H10*10/100)</f>
        <v>1620</v>
      </c>
      <c r="J10" s="11">
        <f>H10-(H10*20/100)</f>
        <v>1440</v>
      </c>
      <c r="K10" s="11">
        <f>H10-(H10*30/100)</f>
        <v>1260</v>
      </c>
      <c r="L10" s="11">
        <f>D10-(D10*20/100)</f>
        <v>1600</v>
      </c>
      <c r="M10" s="11">
        <f>L10-(L10*10/100)</f>
        <v>1440</v>
      </c>
      <c r="N10" s="11">
        <f>L10-(L10*20/100)</f>
        <v>1280</v>
      </c>
      <c r="O10" s="11">
        <f>L10-(L10*30/100)</f>
        <v>1120</v>
      </c>
      <c r="P10" s="148" t="s">
        <v>10</v>
      </c>
      <c r="Q10" s="205" t="s">
        <v>69</v>
      </c>
      <c r="R10" s="201" t="s">
        <v>638</v>
      </c>
      <c r="S10"/>
      <c r="T10"/>
    </row>
    <row r="11" spans="1:27" customFormat="1" ht="18.75" customHeight="1" thickBot="1" x14ac:dyDescent="0.3">
      <c r="A11" s="141"/>
      <c r="B11" s="180"/>
      <c r="C11" s="7" t="s">
        <v>416</v>
      </c>
      <c r="D11" s="11">
        <f t="shared" ref="D11:O11" si="2">D10*50/100</f>
        <v>1000</v>
      </c>
      <c r="E11" s="11">
        <f t="shared" si="2"/>
        <v>900</v>
      </c>
      <c r="F11" s="11">
        <f t="shared" si="2"/>
        <v>800</v>
      </c>
      <c r="G11" s="11">
        <f t="shared" si="2"/>
        <v>700</v>
      </c>
      <c r="H11" s="11">
        <f t="shared" si="2"/>
        <v>900</v>
      </c>
      <c r="I11" s="11">
        <f t="shared" si="2"/>
        <v>810</v>
      </c>
      <c r="J11" s="11">
        <f t="shared" si="2"/>
        <v>720</v>
      </c>
      <c r="K11" s="11">
        <f t="shared" si="2"/>
        <v>630</v>
      </c>
      <c r="L11" s="11">
        <f t="shared" si="2"/>
        <v>800</v>
      </c>
      <c r="M11" s="11">
        <f t="shared" si="2"/>
        <v>720</v>
      </c>
      <c r="N11" s="11">
        <f t="shared" si="2"/>
        <v>640</v>
      </c>
      <c r="O11" s="11">
        <f t="shared" si="2"/>
        <v>560</v>
      </c>
      <c r="P11" s="149"/>
      <c r="Q11" s="206"/>
      <c r="R11" s="202"/>
    </row>
    <row r="12" spans="1:27" s="15" customFormat="1" ht="18" customHeight="1" x14ac:dyDescent="0.45">
      <c r="A12" s="140" t="s">
        <v>389</v>
      </c>
      <c r="B12" s="179" t="s">
        <v>541</v>
      </c>
      <c r="C12" s="6" t="s">
        <v>415</v>
      </c>
      <c r="D12" s="10">
        <v>5000</v>
      </c>
      <c r="E12" s="11">
        <f>D12-(D12*10/100)</f>
        <v>4500</v>
      </c>
      <c r="F12" s="11">
        <f>D12-(D12*20/100)</f>
        <v>4000</v>
      </c>
      <c r="G12" s="11">
        <f>D12-(D12*30/100)</f>
        <v>3500</v>
      </c>
      <c r="H12" s="11">
        <f>D12-(D12*10/100)</f>
        <v>4500</v>
      </c>
      <c r="I12" s="11">
        <f>H12-(H12*10/100)</f>
        <v>4050</v>
      </c>
      <c r="J12" s="11">
        <f>H12-(H12*20/100)</f>
        <v>3600</v>
      </c>
      <c r="K12" s="11">
        <f>H12-(H12*30/100)</f>
        <v>3150</v>
      </c>
      <c r="L12" s="11">
        <f>D12-(D12*20/100)</f>
        <v>4000</v>
      </c>
      <c r="M12" s="11">
        <f>L12-(L12*10/100)</f>
        <v>3600</v>
      </c>
      <c r="N12" s="11">
        <f>L12-(L12*20/100)</f>
        <v>3200</v>
      </c>
      <c r="O12" s="11">
        <f>L12-(L12*30/100)</f>
        <v>2800</v>
      </c>
      <c r="P12" s="148" t="s">
        <v>10</v>
      </c>
      <c r="Q12" s="205" t="s">
        <v>55</v>
      </c>
      <c r="R12" s="181" t="s">
        <v>637</v>
      </c>
      <c r="S12"/>
      <c r="T12"/>
    </row>
    <row r="13" spans="1:27" customFormat="1" ht="18.75" customHeight="1" thickBot="1" x14ac:dyDescent="0.3">
      <c r="A13" s="141"/>
      <c r="B13" s="180"/>
      <c r="C13" s="7" t="s">
        <v>416</v>
      </c>
      <c r="D13" s="11">
        <f t="shared" ref="D13:O13" si="3">D12*50/100</f>
        <v>2500</v>
      </c>
      <c r="E13" s="11">
        <f t="shared" si="3"/>
        <v>2250</v>
      </c>
      <c r="F13" s="11">
        <f t="shared" si="3"/>
        <v>2000</v>
      </c>
      <c r="G13" s="11">
        <f t="shared" si="3"/>
        <v>1750</v>
      </c>
      <c r="H13" s="11">
        <f t="shared" si="3"/>
        <v>2250</v>
      </c>
      <c r="I13" s="11">
        <f t="shared" si="3"/>
        <v>2025</v>
      </c>
      <c r="J13" s="11">
        <f t="shared" si="3"/>
        <v>1800</v>
      </c>
      <c r="K13" s="11">
        <f t="shared" si="3"/>
        <v>1575</v>
      </c>
      <c r="L13" s="11">
        <f t="shared" si="3"/>
        <v>2000</v>
      </c>
      <c r="M13" s="11">
        <f t="shared" si="3"/>
        <v>1800</v>
      </c>
      <c r="N13" s="11">
        <f t="shared" si="3"/>
        <v>1600</v>
      </c>
      <c r="O13" s="11">
        <f t="shared" si="3"/>
        <v>1400</v>
      </c>
      <c r="P13" s="149"/>
      <c r="Q13" s="206"/>
      <c r="R13" s="181"/>
    </row>
    <row r="14" spans="1:27" s="15" customFormat="1" ht="21.75" x14ac:dyDescent="0.45">
      <c r="A14" s="140" t="s">
        <v>390</v>
      </c>
      <c r="B14" s="179" t="s">
        <v>22</v>
      </c>
      <c r="C14" s="6" t="s">
        <v>415</v>
      </c>
      <c r="D14" s="10">
        <v>5000</v>
      </c>
      <c r="E14" s="11">
        <f t="shared" si="1"/>
        <v>4500</v>
      </c>
      <c r="F14" s="11">
        <f>D14-(D14*20/100)</f>
        <v>4000</v>
      </c>
      <c r="G14" s="11">
        <f>D14-(D14*30/100)</f>
        <v>3500</v>
      </c>
      <c r="H14" s="11">
        <f>D14-(D14*10/100)</f>
        <v>4500</v>
      </c>
      <c r="I14" s="11">
        <f>H14-(H14*10/100)</f>
        <v>4050</v>
      </c>
      <c r="J14" s="11">
        <f>H14-(H14*20/100)</f>
        <v>3600</v>
      </c>
      <c r="K14" s="11">
        <f>H14-(H14*30/100)</f>
        <v>3150</v>
      </c>
      <c r="L14" s="11">
        <f>D14-(D14*20/100)</f>
        <v>4000</v>
      </c>
      <c r="M14" s="11">
        <f>L14-(L14*10/100)</f>
        <v>3600</v>
      </c>
      <c r="N14" s="11">
        <f>L14-(L14*20/100)</f>
        <v>3200</v>
      </c>
      <c r="O14" s="11">
        <f>L14-(L14*30/100)</f>
        <v>2800</v>
      </c>
      <c r="P14" s="148" t="s">
        <v>10</v>
      </c>
      <c r="Q14" s="205" t="s">
        <v>54</v>
      </c>
      <c r="R14" s="117" t="s">
        <v>635</v>
      </c>
      <c r="S14"/>
      <c r="T14"/>
    </row>
    <row r="15" spans="1:27" customFormat="1" ht="18.75" customHeight="1" thickBot="1" x14ac:dyDescent="0.3">
      <c r="A15" s="141"/>
      <c r="B15" s="180"/>
      <c r="C15" s="7" t="s">
        <v>416</v>
      </c>
      <c r="D15" s="11">
        <f t="shared" ref="D15:O15" si="4">D14*50/100</f>
        <v>2500</v>
      </c>
      <c r="E15" s="11">
        <f t="shared" si="4"/>
        <v>2250</v>
      </c>
      <c r="F15" s="11">
        <f t="shared" si="4"/>
        <v>2000</v>
      </c>
      <c r="G15" s="11">
        <f t="shared" si="4"/>
        <v>1750</v>
      </c>
      <c r="H15" s="11">
        <f t="shared" si="4"/>
        <v>2250</v>
      </c>
      <c r="I15" s="11">
        <f t="shared" si="4"/>
        <v>2025</v>
      </c>
      <c r="J15" s="11">
        <f t="shared" si="4"/>
        <v>1800</v>
      </c>
      <c r="K15" s="11">
        <f t="shared" si="4"/>
        <v>1575</v>
      </c>
      <c r="L15" s="11">
        <f t="shared" si="4"/>
        <v>2000</v>
      </c>
      <c r="M15" s="11">
        <f t="shared" si="4"/>
        <v>1800</v>
      </c>
      <c r="N15" s="11">
        <f t="shared" si="4"/>
        <v>1600</v>
      </c>
      <c r="O15" s="11">
        <f t="shared" si="4"/>
        <v>1400</v>
      </c>
      <c r="P15" s="149"/>
      <c r="Q15" s="206"/>
      <c r="R15" s="117"/>
    </row>
    <row r="16" spans="1:27" s="15" customFormat="1" ht="18" customHeight="1" x14ac:dyDescent="0.45">
      <c r="A16" s="140" t="s">
        <v>391</v>
      </c>
      <c r="B16" s="179" t="s">
        <v>23</v>
      </c>
      <c r="C16" s="6" t="s">
        <v>415</v>
      </c>
      <c r="D16" s="10">
        <v>2000</v>
      </c>
      <c r="E16" s="11">
        <f t="shared" si="1"/>
        <v>1800</v>
      </c>
      <c r="F16" s="11">
        <f>D16-(D16*20/100)</f>
        <v>1600</v>
      </c>
      <c r="G16" s="11">
        <f>D16-(D16*30/100)</f>
        <v>1400</v>
      </c>
      <c r="H16" s="11">
        <f>D16-(D16*10/100)</f>
        <v>1800</v>
      </c>
      <c r="I16" s="11">
        <f>H16-(H16*10/100)</f>
        <v>1620</v>
      </c>
      <c r="J16" s="11">
        <f>H16-(H16*20/100)</f>
        <v>1440</v>
      </c>
      <c r="K16" s="11">
        <f>H16-(H16*30/100)</f>
        <v>1260</v>
      </c>
      <c r="L16" s="11">
        <f>D16-(D16*20/100)</f>
        <v>1600</v>
      </c>
      <c r="M16" s="11">
        <f>L16-(L16*10/100)</f>
        <v>1440</v>
      </c>
      <c r="N16" s="11">
        <f>L16-(L16*20/100)</f>
        <v>1280</v>
      </c>
      <c r="O16" s="11">
        <f>L16-(L16*30/100)</f>
        <v>1120</v>
      </c>
      <c r="P16" s="148" t="s">
        <v>10</v>
      </c>
      <c r="Q16" s="205" t="s">
        <v>54</v>
      </c>
      <c r="R16" s="117" t="s">
        <v>635</v>
      </c>
      <c r="S16"/>
      <c r="T16"/>
    </row>
    <row r="17" spans="1:20" customFormat="1" ht="18.75" customHeight="1" thickBot="1" x14ac:dyDescent="0.3">
      <c r="A17" s="141"/>
      <c r="B17" s="180"/>
      <c r="C17" s="7" t="s">
        <v>416</v>
      </c>
      <c r="D17" s="11">
        <f t="shared" ref="D17:O17" si="5">D16*50/100</f>
        <v>1000</v>
      </c>
      <c r="E17" s="11">
        <f t="shared" si="5"/>
        <v>900</v>
      </c>
      <c r="F17" s="11">
        <f t="shared" si="5"/>
        <v>800</v>
      </c>
      <c r="G17" s="11">
        <f t="shared" si="5"/>
        <v>700</v>
      </c>
      <c r="H17" s="11">
        <f t="shared" si="5"/>
        <v>900</v>
      </c>
      <c r="I17" s="11">
        <f t="shared" si="5"/>
        <v>810</v>
      </c>
      <c r="J17" s="11">
        <f t="shared" si="5"/>
        <v>720</v>
      </c>
      <c r="K17" s="11">
        <f t="shared" si="5"/>
        <v>630</v>
      </c>
      <c r="L17" s="11">
        <f t="shared" si="5"/>
        <v>800</v>
      </c>
      <c r="M17" s="11">
        <f t="shared" si="5"/>
        <v>720</v>
      </c>
      <c r="N17" s="11">
        <f t="shared" si="5"/>
        <v>640</v>
      </c>
      <c r="O17" s="11">
        <f t="shared" si="5"/>
        <v>560</v>
      </c>
      <c r="P17" s="149"/>
      <c r="Q17" s="206"/>
      <c r="R17" s="117"/>
    </row>
    <row r="18" spans="1:20" s="15" customFormat="1" ht="18" customHeight="1" x14ac:dyDescent="0.45">
      <c r="A18" s="140" t="s">
        <v>392</v>
      </c>
      <c r="B18" s="179" t="s">
        <v>542</v>
      </c>
      <c r="C18" s="6" t="s">
        <v>415</v>
      </c>
      <c r="D18" s="10">
        <v>1000</v>
      </c>
      <c r="E18" s="11">
        <f>D18-(D18*10/100)</f>
        <v>900</v>
      </c>
      <c r="F18" s="11">
        <f>D18-(D18*20/100)</f>
        <v>800</v>
      </c>
      <c r="G18" s="11">
        <f>D18-(D18*30/100)</f>
        <v>700</v>
      </c>
      <c r="H18" s="11">
        <f>D18-(D18*10/100)</f>
        <v>900</v>
      </c>
      <c r="I18" s="11">
        <f>H18-(H18*10/100)</f>
        <v>810</v>
      </c>
      <c r="J18" s="11">
        <f>H18-(H18*20/100)</f>
        <v>720</v>
      </c>
      <c r="K18" s="11">
        <f>H18-(H18*30/100)</f>
        <v>630</v>
      </c>
      <c r="L18" s="11">
        <f>D18-(D18*20/100)</f>
        <v>800</v>
      </c>
      <c r="M18" s="11">
        <f>L18-(L18*10/100)</f>
        <v>720</v>
      </c>
      <c r="N18" s="11">
        <f>L18-(L18*20/100)</f>
        <v>640</v>
      </c>
      <c r="O18" s="11">
        <f>L18-(L18*30/100)</f>
        <v>560</v>
      </c>
      <c r="P18" s="148" t="s">
        <v>10</v>
      </c>
      <c r="Q18" s="205" t="s">
        <v>69</v>
      </c>
      <c r="R18" s="117" t="s">
        <v>639</v>
      </c>
      <c r="S18"/>
      <c r="T18"/>
    </row>
    <row r="19" spans="1:20" customFormat="1" ht="18.75" customHeight="1" thickBot="1" x14ac:dyDescent="0.3">
      <c r="A19" s="141"/>
      <c r="B19" s="180"/>
      <c r="C19" s="7" t="s">
        <v>416</v>
      </c>
      <c r="D19" s="11">
        <f t="shared" ref="D19:O19" si="6">D18*50/100</f>
        <v>500</v>
      </c>
      <c r="E19" s="11">
        <f t="shared" si="6"/>
        <v>450</v>
      </c>
      <c r="F19" s="11">
        <f t="shared" si="6"/>
        <v>400</v>
      </c>
      <c r="G19" s="11">
        <f t="shared" si="6"/>
        <v>350</v>
      </c>
      <c r="H19" s="11">
        <f t="shared" si="6"/>
        <v>450</v>
      </c>
      <c r="I19" s="11">
        <f t="shared" si="6"/>
        <v>405</v>
      </c>
      <c r="J19" s="11">
        <f t="shared" si="6"/>
        <v>360</v>
      </c>
      <c r="K19" s="11">
        <f t="shared" si="6"/>
        <v>315</v>
      </c>
      <c r="L19" s="11">
        <f t="shared" si="6"/>
        <v>400</v>
      </c>
      <c r="M19" s="11">
        <f t="shared" si="6"/>
        <v>360</v>
      </c>
      <c r="N19" s="11">
        <f t="shared" si="6"/>
        <v>320</v>
      </c>
      <c r="O19" s="11">
        <f t="shared" si="6"/>
        <v>280</v>
      </c>
      <c r="P19" s="149"/>
      <c r="Q19" s="206"/>
      <c r="R19" s="117"/>
    </row>
    <row r="20" spans="1:20" ht="19.5" customHeight="1" thickBot="1" x14ac:dyDescent="0.3">
      <c r="A20" s="133" t="s">
        <v>584</v>
      </c>
      <c r="B20" s="134"/>
      <c r="C20" s="134"/>
      <c r="D20" s="134"/>
      <c r="E20" s="134"/>
      <c r="F20" s="134"/>
      <c r="G20" s="134"/>
      <c r="H20" s="134"/>
      <c r="I20" s="134"/>
      <c r="J20" s="134"/>
      <c r="K20" s="134"/>
      <c r="L20" s="134"/>
      <c r="M20" s="134"/>
      <c r="N20" s="134"/>
      <c r="O20" s="134"/>
      <c r="P20" s="134"/>
      <c r="Q20" s="134"/>
      <c r="R20" s="134"/>
    </row>
    <row r="21" spans="1:20" s="1" customFormat="1" ht="24" customHeight="1" thickBot="1" x14ac:dyDescent="0.5">
      <c r="A21" s="165" t="s">
        <v>4</v>
      </c>
      <c r="B21" s="167" t="s">
        <v>3</v>
      </c>
      <c r="C21" s="167" t="s">
        <v>406</v>
      </c>
      <c r="D21" s="169" t="s">
        <v>2</v>
      </c>
      <c r="E21" s="170"/>
      <c r="F21" s="170"/>
      <c r="G21" s="171"/>
      <c r="H21" s="169" t="s">
        <v>1</v>
      </c>
      <c r="I21" s="170"/>
      <c r="J21" s="170"/>
      <c r="K21" s="171"/>
      <c r="L21" s="169" t="s">
        <v>0</v>
      </c>
      <c r="M21" s="170"/>
      <c r="N21" s="170"/>
      <c r="O21" s="171"/>
      <c r="P21" s="167" t="s">
        <v>405</v>
      </c>
      <c r="Q21" s="167" t="s">
        <v>37</v>
      </c>
      <c r="R21" s="128" t="s">
        <v>632</v>
      </c>
      <c r="S21" s="2"/>
      <c r="T21" s="2"/>
    </row>
    <row r="22" spans="1:20" s="1" customFormat="1" ht="18.75" customHeight="1" thickBot="1" x14ac:dyDescent="0.5">
      <c r="A22" s="191"/>
      <c r="B22" s="218"/>
      <c r="C22" s="218"/>
      <c r="D22" s="16" t="s">
        <v>8</v>
      </c>
      <c r="E22" s="17" t="s">
        <v>7</v>
      </c>
      <c r="F22" s="17" t="s">
        <v>6</v>
      </c>
      <c r="G22" s="17" t="s">
        <v>5</v>
      </c>
      <c r="H22" s="17" t="s">
        <v>8</v>
      </c>
      <c r="I22" s="17" t="s">
        <v>7</v>
      </c>
      <c r="J22" s="17" t="s">
        <v>6</v>
      </c>
      <c r="K22" s="17" t="s">
        <v>5</v>
      </c>
      <c r="L22" s="17" t="s">
        <v>8</v>
      </c>
      <c r="M22" s="17" t="s">
        <v>7</v>
      </c>
      <c r="N22" s="17" t="s">
        <v>6</v>
      </c>
      <c r="O22" s="17" t="s">
        <v>5</v>
      </c>
      <c r="P22" s="194"/>
      <c r="Q22" s="168"/>
      <c r="R22" s="128"/>
      <c r="S22" s="2"/>
      <c r="T22" s="2"/>
    </row>
    <row r="23" spans="1:20" customFormat="1" ht="47.25" customHeight="1" thickBot="1" x14ac:dyDescent="0.3">
      <c r="A23" s="58" t="s">
        <v>355</v>
      </c>
      <c r="B23" s="19" t="s">
        <v>770</v>
      </c>
      <c r="C23" s="5" t="s">
        <v>414</v>
      </c>
      <c r="D23" s="207">
        <v>5000</v>
      </c>
      <c r="E23" s="208"/>
      <c r="F23" s="208"/>
      <c r="G23" s="209"/>
      <c r="H23" s="207">
        <f>D23-(D23*20/100)</f>
        <v>4000</v>
      </c>
      <c r="I23" s="208"/>
      <c r="J23" s="208"/>
      <c r="K23" s="209"/>
      <c r="L23" s="207">
        <f>D23-(D23*40/100)</f>
        <v>3000</v>
      </c>
      <c r="M23" s="208"/>
      <c r="N23" s="208"/>
      <c r="O23" s="209"/>
      <c r="P23" s="20" t="s">
        <v>9</v>
      </c>
      <c r="Q23" s="10" t="s">
        <v>55</v>
      </c>
      <c r="R23" s="87" t="s">
        <v>637</v>
      </c>
    </row>
    <row r="24" spans="1:20" customFormat="1" ht="47.25" customHeight="1" thickBot="1" x14ac:dyDescent="0.3">
      <c r="A24" s="58" t="s">
        <v>393</v>
      </c>
      <c r="B24" s="19" t="s">
        <v>508</v>
      </c>
      <c r="C24" s="5" t="s">
        <v>414</v>
      </c>
      <c r="D24" s="211">
        <v>25000</v>
      </c>
      <c r="E24" s="208"/>
      <c r="F24" s="208"/>
      <c r="G24" s="209"/>
      <c r="H24" s="207">
        <f>D24-(D24*20/100)</f>
        <v>20000</v>
      </c>
      <c r="I24" s="208"/>
      <c r="J24" s="208"/>
      <c r="K24" s="209"/>
      <c r="L24" s="207">
        <f>D24-(D24*40/100)</f>
        <v>15000</v>
      </c>
      <c r="M24" s="208"/>
      <c r="N24" s="208"/>
      <c r="O24" s="209"/>
      <c r="P24" s="20" t="s">
        <v>9</v>
      </c>
      <c r="Q24" s="10" t="s">
        <v>583</v>
      </c>
      <c r="R24" s="74" t="s">
        <v>636</v>
      </c>
    </row>
    <row r="25" spans="1:20" customFormat="1" ht="47.25" customHeight="1" thickBot="1" x14ac:dyDescent="0.3">
      <c r="A25" s="58" t="s">
        <v>394</v>
      </c>
      <c r="B25" s="19" t="s">
        <v>447</v>
      </c>
      <c r="C25" s="5" t="s">
        <v>414</v>
      </c>
      <c r="D25" s="207">
        <v>2000</v>
      </c>
      <c r="E25" s="208"/>
      <c r="F25" s="208"/>
      <c r="G25" s="209"/>
      <c r="H25" s="207">
        <f>D25-(D25*20/100)</f>
        <v>1600</v>
      </c>
      <c r="I25" s="208"/>
      <c r="J25" s="208"/>
      <c r="K25" s="209"/>
      <c r="L25" s="207">
        <f>D25-(D25*40/100)</f>
        <v>1200</v>
      </c>
      <c r="M25" s="208"/>
      <c r="N25" s="208"/>
      <c r="O25" s="209"/>
      <c r="P25" s="20" t="s">
        <v>9</v>
      </c>
      <c r="Q25" s="10" t="s">
        <v>631</v>
      </c>
      <c r="R25" s="81" t="s">
        <v>640</v>
      </c>
    </row>
    <row r="26" spans="1:20" customFormat="1" ht="47.25" customHeight="1" thickBot="1" x14ac:dyDescent="0.3">
      <c r="A26" s="58" t="s">
        <v>395</v>
      </c>
      <c r="B26" s="19" t="s">
        <v>534</v>
      </c>
      <c r="C26" s="5" t="s">
        <v>414</v>
      </c>
      <c r="D26" s="207">
        <v>20000</v>
      </c>
      <c r="E26" s="208"/>
      <c r="F26" s="208"/>
      <c r="G26" s="209"/>
      <c r="H26" s="207">
        <f>D26-(D26*20/100)</f>
        <v>16000</v>
      </c>
      <c r="I26" s="208"/>
      <c r="J26" s="208"/>
      <c r="K26" s="209"/>
      <c r="L26" s="207">
        <f>D26-(D26*40/100)</f>
        <v>12000</v>
      </c>
      <c r="M26" s="208"/>
      <c r="N26" s="208"/>
      <c r="O26" s="209"/>
      <c r="P26" s="20" t="s">
        <v>9</v>
      </c>
      <c r="Q26" s="10" t="s">
        <v>69</v>
      </c>
      <c r="R26" s="81" t="s">
        <v>641</v>
      </c>
    </row>
    <row r="27" spans="1:20" s="15" customFormat="1" ht="18" customHeight="1" x14ac:dyDescent="0.45">
      <c r="A27" s="140" t="s">
        <v>396</v>
      </c>
      <c r="B27" s="179" t="s">
        <v>580</v>
      </c>
      <c r="C27" s="6" t="s">
        <v>415</v>
      </c>
      <c r="D27" s="10">
        <v>1000</v>
      </c>
      <c r="E27" s="11">
        <f>D27-(D27*10/100)</f>
        <v>900</v>
      </c>
      <c r="F27" s="11">
        <f>D27-(D27*20/100)</f>
        <v>800</v>
      </c>
      <c r="G27" s="11">
        <f>D27-(D27*30/100)</f>
        <v>700</v>
      </c>
      <c r="H27" s="11">
        <f>D27-(D27*10/100)</f>
        <v>900</v>
      </c>
      <c r="I27" s="11">
        <f>H27-(H27*10/100)</f>
        <v>810</v>
      </c>
      <c r="J27" s="11">
        <f>H27-(H27*20/100)</f>
        <v>720</v>
      </c>
      <c r="K27" s="11">
        <f>H27-(H27*30/100)</f>
        <v>630</v>
      </c>
      <c r="L27" s="11">
        <f>D27-(D27*20/100)</f>
        <v>800</v>
      </c>
      <c r="M27" s="11">
        <f>L27-(L27*10/100)</f>
        <v>720</v>
      </c>
      <c r="N27" s="11">
        <f>L27-(L27*20/100)</f>
        <v>640</v>
      </c>
      <c r="O27" s="11">
        <f>L27-(L27*30/100)</f>
        <v>560</v>
      </c>
      <c r="P27" s="148" t="s">
        <v>10</v>
      </c>
      <c r="Q27" s="205" t="s">
        <v>55</v>
      </c>
      <c r="R27" s="117" t="s">
        <v>658</v>
      </c>
      <c r="S27"/>
      <c r="T27"/>
    </row>
    <row r="28" spans="1:20" customFormat="1" ht="18.75" customHeight="1" thickBot="1" x14ac:dyDescent="0.3">
      <c r="A28" s="141"/>
      <c r="B28" s="180"/>
      <c r="C28" s="7" t="s">
        <v>416</v>
      </c>
      <c r="D28" s="11">
        <f t="shared" ref="D28:O28" si="7">D27*50/100</f>
        <v>500</v>
      </c>
      <c r="E28" s="11">
        <f t="shared" si="7"/>
        <v>450</v>
      </c>
      <c r="F28" s="11">
        <f t="shared" si="7"/>
        <v>400</v>
      </c>
      <c r="G28" s="11">
        <f t="shared" si="7"/>
        <v>350</v>
      </c>
      <c r="H28" s="11">
        <f t="shared" si="7"/>
        <v>450</v>
      </c>
      <c r="I28" s="11">
        <f t="shared" si="7"/>
        <v>405</v>
      </c>
      <c r="J28" s="11">
        <f t="shared" si="7"/>
        <v>360</v>
      </c>
      <c r="K28" s="11">
        <f t="shared" si="7"/>
        <v>315</v>
      </c>
      <c r="L28" s="11">
        <f t="shared" si="7"/>
        <v>400</v>
      </c>
      <c r="M28" s="11">
        <f t="shared" si="7"/>
        <v>360</v>
      </c>
      <c r="N28" s="11">
        <f t="shared" si="7"/>
        <v>320</v>
      </c>
      <c r="O28" s="11">
        <f t="shared" si="7"/>
        <v>280</v>
      </c>
      <c r="P28" s="149"/>
      <c r="Q28" s="206"/>
      <c r="R28" s="117"/>
    </row>
    <row r="29" spans="1:20" customFormat="1" ht="47.25" customHeight="1" thickBot="1" x14ac:dyDescent="0.3">
      <c r="A29" s="58" t="s">
        <v>397</v>
      </c>
      <c r="B29" s="19" t="s">
        <v>76</v>
      </c>
      <c r="C29" s="5" t="s">
        <v>414</v>
      </c>
      <c r="D29" s="207">
        <v>15000</v>
      </c>
      <c r="E29" s="208"/>
      <c r="F29" s="208"/>
      <c r="G29" s="209"/>
      <c r="H29" s="207">
        <f>D29-(D29*20/100)</f>
        <v>12000</v>
      </c>
      <c r="I29" s="208"/>
      <c r="J29" s="208"/>
      <c r="K29" s="209"/>
      <c r="L29" s="207">
        <f>D29-(D29*40/100)</f>
        <v>9000</v>
      </c>
      <c r="M29" s="208"/>
      <c r="N29" s="208"/>
      <c r="O29" s="209"/>
      <c r="P29" s="20" t="s">
        <v>9</v>
      </c>
      <c r="Q29" s="10" t="s">
        <v>69</v>
      </c>
      <c r="R29" s="81" t="s">
        <v>659</v>
      </c>
    </row>
    <row r="30" spans="1:20" customFormat="1" ht="47.25" customHeight="1" thickBot="1" x14ac:dyDescent="0.3">
      <c r="A30" s="58" t="s">
        <v>398</v>
      </c>
      <c r="B30" s="13" t="s">
        <v>45</v>
      </c>
      <c r="C30" s="5" t="s">
        <v>414</v>
      </c>
      <c r="D30" s="207">
        <v>30000</v>
      </c>
      <c r="E30" s="208"/>
      <c r="F30" s="208"/>
      <c r="G30" s="209"/>
      <c r="H30" s="207">
        <f>D30-(D30*20/100)</f>
        <v>24000</v>
      </c>
      <c r="I30" s="208"/>
      <c r="J30" s="208"/>
      <c r="K30" s="209"/>
      <c r="L30" s="207">
        <f>D30-(D30*40/100)</f>
        <v>18000</v>
      </c>
      <c r="M30" s="208"/>
      <c r="N30" s="208"/>
      <c r="O30" s="209"/>
      <c r="P30" s="20" t="s">
        <v>9</v>
      </c>
      <c r="Q30" s="10" t="s">
        <v>69</v>
      </c>
      <c r="R30" s="81" t="s">
        <v>649</v>
      </c>
    </row>
    <row r="31" spans="1:20" customFormat="1" ht="47.25" customHeight="1" thickBot="1" x14ac:dyDescent="0.3">
      <c r="A31" s="58" t="s">
        <v>363</v>
      </c>
      <c r="B31" s="13" t="s">
        <v>581</v>
      </c>
      <c r="C31" s="5" t="s">
        <v>414</v>
      </c>
      <c r="D31" s="207">
        <v>20000</v>
      </c>
      <c r="E31" s="208"/>
      <c r="F31" s="208"/>
      <c r="G31" s="209"/>
      <c r="H31" s="207">
        <f>D31-(D31*20/100)</f>
        <v>16000</v>
      </c>
      <c r="I31" s="208"/>
      <c r="J31" s="208"/>
      <c r="K31" s="209"/>
      <c r="L31" s="207">
        <f>D31-(D31*40/100)</f>
        <v>12000</v>
      </c>
      <c r="M31" s="208"/>
      <c r="N31" s="208"/>
      <c r="O31" s="209"/>
      <c r="P31" s="20" t="s">
        <v>9</v>
      </c>
      <c r="Q31" s="10" t="s">
        <v>69</v>
      </c>
      <c r="R31" s="81" t="s">
        <v>649</v>
      </c>
    </row>
    <row r="32" spans="1:20" customFormat="1" ht="47.25" customHeight="1" thickBot="1" x14ac:dyDescent="0.3">
      <c r="A32" s="58" t="s">
        <v>399</v>
      </c>
      <c r="B32" s="19" t="s">
        <v>582</v>
      </c>
      <c r="C32" s="5" t="s">
        <v>414</v>
      </c>
      <c r="D32" s="207">
        <v>80000</v>
      </c>
      <c r="E32" s="208"/>
      <c r="F32" s="208"/>
      <c r="G32" s="209"/>
      <c r="H32" s="207">
        <f>D32-(D32*20/100)</f>
        <v>64000</v>
      </c>
      <c r="I32" s="208"/>
      <c r="J32" s="208"/>
      <c r="K32" s="209"/>
      <c r="L32" s="207">
        <f>D32-(D32*40/100)</f>
        <v>48000</v>
      </c>
      <c r="M32" s="208"/>
      <c r="N32" s="208"/>
      <c r="O32" s="209"/>
      <c r="P32" s="20" t="s">
        <v>9</v>
      </c>
      <c r="Q32" s="10" t="s">
        <v>69</v>
      </c>
      <c r="R32" s="81" t="s">
        <v>642</v>
      </c>
    </row>
    <row r="33" spans="1:20" s="15" customFormat="1" ht="18" customHeight="1" x14ac:dyDescent="0.45">
      <c r="A33" s="140" t="s">
        <v>400</v>
      </c>
      <c r="B33" s="179" t="s">
        <v>42</v>
      </c>
      <c r="C33" s="6" t="s">
        <v>415</v>
      </c>
      <c r="D33" s="10">
        <v>5000</v>
      </c>
      <c r="E33" s="11">
        <f>D33-(D33*10/100)</f>
        <v>4500</v>
      </c>
      <c r="F33" s="11">
        <f>D33-(D33*20/100)</f>
        <v>4000</v>
      </c>
      <c r="G33" s="11">
        <f>D33-(D33*30/100)</f>
        <v>3500</v>
      </c>
      <c r="H33" s="11">
        <f>D33-(D33*10/100)</f>
        <v>4500</v>
      </c>
      <c r="I33" s="11">
        <f>H33-(H33*10/100)</f>
        <v>4050</v>
      </c>
      <c r="J33" s="11">
        <f>H33-(H33*20/100)</f>
        <v>3600</v>
      </c>
      <c r="K33" s="11">
        <f>H33-(H33*30/100)</f>
        <v>3150</v>
      </c>
      <c r="L33" s="11">
        <f>D33-(D33*20/100)</f>
        <v>4000</v>
      </c>
      <c r="M33" s="11">
        <f>L33-(L33*10/100)</f>
        <v>3600</v>
      </c>
      <c r="N33" s="11">
        <f>L33-(L33*20/100)</f>
        <v>3200</v>
      </c>
      <c r="O33" s="11">
        <f>L33-(L33*30/100)</f>
        <v>2800</v>
      </c>
      <c r="P33" s="148" t="s">
        <v>10</v>
      </c>
      <c r="Q33" s="205" t="s">
        <v>59</v>
      </c>
      <c r="R33" s="117" t="s">
        <v>643</v>
      </c>
      <c r="S33"/>
      <c r="T33"/>
    </row>
    <row r="34" spans="1:20" customFormat="1" ht="18.75" customHeight="1" thickBot="1" x14ac:dyDescent="0.3">
      <c r="A34" s="141"/>
      <c r="B34" s="180"/>
      <c r="C34" s="7" t="s">
        <v>416</v>
      </c>
      <c r="D34" s="11">
        <f t="shared" ref="D34:O34" si="8">D33*50/100</f>
        <v>2500</v>
      </c>
      <c r="E34" s="11">
        <f t="shared" si="8"/>
        <v>2250</v>
      </c>
      <c r="F34" s="11">
        <f t="shared" si="8"/>
        <v>2000</v>
      </c>
      <c r="G34" s="11">
        <f t="shared" si="8"/>
        <v>1750</v>
      </c>
      <c r="H34" s="11">
        <f t="shared" si="8"/>
        <v>2250</v>
      </c>
      <c r="I34" s="11">
        <f t="shared" si="8"/>
        <v>2025</v>
      </c>
      <c r="J34" s="11">
        <f t="shared" si="8"/>
        <v>1800</v>
      </c>
      <c r="K34" s="11">
        <f t="shared" si="8"/>
        <v>1575</v>
      </c>
      <c r="L34" s="11">
        <f t="shared" si="8"/>
        <v>2000</v>
      </c>
      <c r="M34" s="11">
        <f t="shared" si="8"/>
        <v>1800</v>
      </c>
      <c r="N34" s="11">
        <f t="shared" si="8"/>
        <v>1600</v>
      </c>
      <c r="O34" s="11">
        <f t="shared" si="8"/>
        <v>1400</v>
      </c>
      <c r="P34" s="149"/>
      <c r="Q34" s="206"/>
      <c r="R34" s="117"/>
    </row>
    <row r="35" spans="1:20" s="15" customFormat="1" ht="18" customHeight="1" x14ac:dyDescent="0.45">
      <c r="A35" s="140" t="s">
        <v>401</v>
      </c>
      <c r="B35" s="179" t="s">
        <v>573</v>
      </c>
      <c r="C35" s="6" t="s">
        <v>415</v>
      </c>
      <c r="D35" s="10">
        <v>2000</v>
      </c>
      <c r="E35" s="11">
        <f>D35-(D35*10/100)</f>
        <v>1800</v>
      </c>
      <c r="F35" s="11">
        <f>D35-(D35*20/100)</f>
        <v>1600</v>
      </c>
      <c r="G35" s="11">
        <f>D35-(D35*30/100)</f>
        <v>1400</v>
      </c>
      <c r="H35" s="11">
        <f>D35-(D35*10/100)</f>
        <v>1800</v>
      </c>
      <c r="I35" s="11">
        <f>H35-(H35*10/100)</f>
        <v>1620</v>
      </c>
      <c r="J35" s="11">
        <f>H35-(H35*20/100)</f>
        <v>1440</v>
      </c>
      <c r="K35" s="11">
        <f>H35-(H35*30/100)</f>
        <v>1260</v>
      </c>
      <c r="L35" s="11">
        <f>D35-(D35*20/100)</f>
        <v>1600</v>
      </c>
      <c r="M35" s="11">
        <f>L35-(L35*10/100)</f>
        <v>1440</v>
      </c>
      <c r="N35" s="11">
        <f>L35-(L35*20/100)</f>
        <v>1280</v>
      </c>
      <c r="O35" s="11">
        <f>L35-(L35*30/100)</f>
        <v>1120</v>
      </c>
      <c r="P35" s="148" t="s">
        <v>10</v>
      </c>
      <c r="Q35" s="205" t="s">
        <v>55</v>
      </c>
      <c r="R35" s="117" t="s">
        <v>644</v>
      </c>
      <c r="S35"/>
      <c r="T35"/>
    </row>
    <row r="36" spans="1:20" customFormat="1" ht="18.75" customHeight="1" thickBot="1" x14ac:dyDescent="0.3">
      <c r="A36" s="141"/>
      <c r="B36" s="180"/>
      <c r="C36" s="7" t="s">
        <v>416</v>
      </c>
      <c r="D36" s="11">
        <f t="shared" ref="D36:O36" si="9">D35*50/100</f>
        <v>1000</v>
      </c>
      <c r="E36" s="11">
        <f t="shared" si="9"/>
        <v>900</v>
      </c>
      <c r="F36" s="11">
        <f t="shared" si="9"/>
        <v>800</v>
      </c>
      <c r="G36" s="11">
        <f t="shared" si="9"/>
        <v>700</v>
      </c>
      <c r="H36" s="11">
        <f t="shared" si="9"/>
        <v>900</v>
      </c>
      <c r="I36" s="11">
        <f t="shared" si="9"/>
        <v>810</v>
      </c>
      <c r="J36" s="11">
        <f t="shared" si="9"/>
        <v>720</v>
      </c>
      <c r="K36" s="11">
        <f t="shared" si="9"/>
        <v>630</v>
      </c>
      <c r="L36" s="11">
        <f t="shared" si="9"/>
        <v>800</v>
      </c>
      <c r="M36" s="11">
        <f t="shared" si="9"/>
        <v>720</v>
      </c>
      <c r="N36" s="11">
        <f t="shared" si="9"/>
        <v>640</v>
      </c>
      <c r="O36" s="11">
        <f t="shared" si="9"/>
        <v>560</v>
      </c>
      <c r="P36" s="149"/>
      <c r="Q36" s="206"/>
      <c r="R36" s="117"/>
    </row>
    <row r="37" spans="1:20" s="15" customFormat="1" ht="18" customHeight="1" x14ac:dyDescent="0.45">
      <c r="A37" s="140" t="s">
        <v>402</v>
      </c>
      <c r="B37" s="179" t="s">
        <v>11</v>
      </c>
      <c r="C37" s="6" t="s">
        <v>415</v>
      </c>
      <c r="D37" s="10">
        <v>4000</v>
      </c>
      <c r="E37" s="11">
        <f>D37-(D37*10/100)</f>
        <v>3600</v>
      </c>
      <c r="F37" s="11">
        <f>D37-(D37*20/100)</f>
        <v>3200</v>
      </c>
      <c r="G37" s="11">
        <f>D37-(D37*30/100)</f>
        <v>2800</v>
      </c>
      <c r="H37" s="11">
        <f>D37-(D37*10/100)</f>
        <v>3600</v>
      </c>
      <c r="I37" s="11">
        <f>H37-(H37*10/100)</f>
        <v>3240</v>
      </c>
      <c r="J37" s="11">
        <f>H37-(H37*20/100)</f>
        <v>2880</v>
      </c>
      <c r="K37" s="11">
        <f>H37-(H37*30/100)</f>
        <v>2520</v>
      </c>
      <c r="L37" s="11">
        <f>D37-(D37*20/100)</f>
        <v>3200</v>
      </c>
      <c r="M37" s="11">
        <f>L37-(L37*10/100)</f>
        <v>2880</v>
      </c>
      <c r="N37" s="11">
        <f>L37-(L37*20/100)</f>
        <v>2560</v>
      </c>
      <c r="O37" s="11">
        <f>L37-(L37*30/100)</f>
        <v>2240</v>
      </c>
      <c r="P37" s="148" t="s">
        <v>10</v>
      </c>
      <c r="Q37" s="205" t="s">
        <v>55</v>
      </c>
      <c r="R37" s="117" t="s">
        <v>645</v>
      </c>
      <c r="S37"/>
      <c r="T37"/>
    </row>
    <row r="38" spans="1:20" customFormat="1" ht="18.75" customHeight="1" thickBot="1" x14ac:dyDescent="0.3">
      <c r="A38" s="141"/>
      <c r="B38" s="180"/>
      <c r="C38" s="7" t="s">
        <v>416</v>
      </c>
      <c r="D38" s="11">
        <f>D37*50/100</f>
        <v>2000</v>
      </c>
      <c r="E38" s="11">
        <f t="shared" ref="E38:O38" si="10">E37*50/100</f>
        <v>1800</v>
      </c>
      <c r="F38" s="11">
        <f t="shared" si="10"/>
        <v>1600</v>
      </c>
      <c r="G38" s="11">
        <f t="shared" si="10"/>
        <v>1400</v>
      </c>
      <c r="H38" s="11">
        <f t="shared" si="10"/>
        <v>1800</v>
      </c>
      <c r="I38" s="11">
        <f t="shared" si="10"/>
        <v>1620</v>
      </c>
      <c r="J38" s="11">
        <f t="shared" si="10"/>
        <v>1440</v>
      </c>
      <c r="K38" s="11">
        <f t="shared" si="10"/>
        <v>1260</v>
      </c>
      <c r="L38" s="11">
        <f t="shared" si="10"/>
        <v>1600</v>
      </c>
      <c r="M38" s="11">
        <f t="shared" si="10"/>
        <v>1440</v>
      </c>
      <c r="N38" s="11">
        <f t="shared" si="10"/>
        <v>1280</v>
      </c>
      <c r="O38" s="11">
        <f t="shared" si="10"/>
        <v>1120</v>
      </c>
      <c r="P38" s="149"/>
      <c r="Q38" s="206"/>
      <c r="R38" s="117"/>
    </row>
    <row r="39" spans="1:20" customFormat="1" ht="18" customHeight="1" x14ac:dyDescent="0.25">
      <c r="A39" s="140" t="s">
        <v>403</v>
      </c>
      <c r="B39" s="179" t="s">
        <v>504</v>
      </c>
      <c r="C39" s="6" t="s">
        <v>415</v>
      </c>
      <c r="D39" s="10">
        <v>2000</v>
      </c>
      <c r="E39" s="11">
        <f>D39-(D39*10/100)</f>
        <v>1800</v>
      </c>
      <c r="F39" s="11">
        <f>D39-(D39*20/100)</f>
        <v>1600</v>
      </c>
      <c r="G39" s="11">
        <f>D39-(D39*30/100)</f>
        <v>1400</v>
      </c>
      <c r="H39" s="11">
        <f>D39-(D39*10/100)</f>
        <v>1800</v>
      </c>
      <c r="I39" s="11">
        <f>H39-(H39*10/100)</f>
        <v>1620</v>
      </c>
      <c r="J39" s="11">
        <f>H39-(H39*20/100)</f>
        <v>1440</v>
      </c>
      <c r="K39" s="11">
        <f>H39-(H39*30/100)</f>
        <v>1260</v>
      </c>
      <c r="L39" s="11">
        <f>D39-(D39*20/100)</f>
        <v>1600</v>
      </c>
      <c r="M39" s="11">
        <f>L39-(L39*10/100)</f>
        <v>1440</v>
      </c>
      <c r="N39" s="11">
        <f>L39-(L39*20/100)</f>
        <v>1280</v>
      </c>
      <c r="O39" s="11">
        <f>L39-(L39*30/100)</f>
        <v>1120</v>
      </c>
      <c r="P39" s="148" t="s">
        <v>10</v>
      </c>
      <c r="Q39" s="205" t="s">
        <v>55</v>
      </c>
      <c r="R39" s="117" t="s">
        <v>637</v>
      </c>
    </row>
    <row r="40" spans="1:20" customFormat="1" ht="18.75" customHeight="1" thickBot="1" x14ac:dyDescent="0.3">
      <c r="A40" s="141"/>
      <c r="B40" s="180"/>
      <c r="C40" s="7" t="s">
        <v>416</v>
      </c>
      <c r="D40" s="11">
        <f t="shared" ref="D40:O40" si="11">D39*50/100</f>
        <v>1000</v>
      </c>
      <c r="E40" s="11">
        <f t="shared" si="11"/>
        <v>900</v>
      </c>
      <c r="F40" s="11">
        <f t="shared" si="11"/>
        <v>800</v>
      </c>
      <c r="G40" s="11">
        <f t="shared" si="11"/>
        <v>700</v>
      </c>
      <c r="H40" s="11">
        <f t="shared" si="11"/>
        <v>900</v>
      </c>
      <c r="I40" s="11">
        <f t="shared" si="11"/>
        <v>810</v>
      </c>
      <c r="J40" s="11">
        <f t="shared" si="11"/>
        <v>720</v>
      </c>
      <c r="K40" s="11">
        <f t="shared" si="11"/>
        <v>630</v>
      </c>
      <c r="L40" s="11">
        <f t="shared" si="11"/>
        <v>800</v>
      </c>
      <c r="M40" s="11">
        <f t="shared" si="11"/>
        <v>720</v>
      </c>
      <c r="N40" s="11">
        <f t="shared" si="11"/>
        <v>640</v>
      </c>
      <c r="O40" s="11">
        <f t="shared" si="11"/>
        <v>560</v>
      </c>
      <c r="P40" s="149"/>
      <c r="Q40" s="206"/>
      <c r="R40" s="117"/>
    </row>
    <row r="41" spans="1:20" customFormat="1" ht="47.25" customHeight="1" x14ac:dyDescent="0.25">
      <c r="A41" s="58" t="s">
        <v>370</v>
      </c>
      <c r="B41" s="19" t="s">
        <v>48</v>
      </c>
      <c r="C41" s="8" t="s">
        <v>414</v>
      </c>
      <c r="D41" s="208">
        <v>15000</v>
      </c>
      <c r="E41" s="208"/>
      <c r="F41" s="208"/>
      <c r="G41" s="209"/>
      <c r="H41" s="207">
        <f>D41-(D41*20/100)</f>
        <v>12000</v>
      </c>
      <c r="I41" s="208"/>
      <c r="J41" s="208"/>
      <c r="K41" s="209"/>
      <c r="L41" s="207">
        <f>D41-(D41*40/100)</f>
        <v>9000</v>
      </c>
      <c r="M41" s="208"/>
      <c r="N41" s="208"/>
      <c r="O41" s="209"/>
      <c r="P41" s="20" t="s">
        <v>9</v>
      </c>
      <c r="Q41" s="10" t="s">
        <v>69</v>
      </c>
      <c r="R41" s="81" t="s">
        <v>646</v>
      </c>
    </row>
    <row r="42" spans="1:20" x14ac:dyDescent="0.25">
      <c r="C42"/>
    </row>
    <row r="43" spans="1:20" x14ac:dyDescent="0.25">
      <c r="C43"/>
    </row>
    <row r="44" spans="1:20" x14ac:dyDescent="0.25">
      <c r="C44"/>
    </row>
    <row r="45" spans="1:20" x14ac:dyDescent="0.25">
      <c r="C45"/>
    </row>
    <row r="46" spans="1:20" x14ac:dyDescent="0.25">
      <c r="C46"/>
    </row>
    <row r="47" spans="1:20" x14ac:dyDescent="0.25">
      <c r="C47"/>
    </row>
    <row r="48" spans="1:20" x14ac:dyDescent="0.25">
      <c r="C48"/>
    </row>
    <row r="49" spans="3:3" x14ac:dyDescent="0.25">
      <c r="C49"/>
    </row>
    <row r="50" spans="3:3" x14ac:dyDescent="0.25">
      <c r="C50"/>
    </row>
    <row r="51" spans="3:3" x14ac:dyDescent="0.25">
      <c r="C51"/>
    </row>
    <row r="52" spans="3:3" x14ac:dyDescent="0.25">
      <c r="C52"/>
    </row>
    <row r="53" spans="3:3" x14ac:dyDescent="0.25">
      <c r="C53"/>
    </row>
    <row r="54" spans="3:3" x14ac:dyDescent="0.25">
      <c r="C54"/>
    </row>
    <row r="55" spans="3:3" x14ac:dyDescent="0.25">
      <c r="C55"/>
    </row>
    <row r="56" spans="3:3" x14ac:dyDescent="0.25">
      <c r="C56"/>
    </row>
    <row r="57" spans="3:3" x14ac:dyDescent="0.25">
      <c r="C57"/>
    </row>
    <row r="58" spans="3:3" x14ac:dyDescent="0.25">
      <c r="C58"/>
    </row>
    <row r="59" spans="3:3" x14ac:dyDescent="0.25">
      <c r="C59"/>
    </row>
    <row r="60" spans="3:3" x14ac:dyDescent="0.25">
      <c r="C60"/>
    </row>
    <row r="61" spans="3:3" x14ac:dyDescent="0.25">
      <c r="C61"/>
    </row>
    <row r="62" spans="3:3" x14ac:dyDescent="0.25">
      <c r="C62"/>
    </row>
    <row r="63" spans="3:3" x14ac:dyDescent="0.25">
      <c r="C63"/>
    </row>
    <row r="64" spans="3:3" x14ac:dyDescent="0.25">
      <c r="C64"/>
    </row>
    <row r="65" spans="3:3" x14ac:dyDescent="0.25">
      <c r="C65"/>
    </row>
    <row r="66" spans="3:3" x14ac:dyDescent="0.25">
      <c r="C66"/>
    </row>
    <row r="67" spans="3:3" x14ac:dyDescent="0.25">
      <c r="C67"/>
    </row>
    <row r="68" spans="3:3" x14ac:dyDescent="0.25">
      <c r="C68"/>
    </row>
    <row r="69" spans="3:3" x14ac:dyDescent="0.25">
      <c r="C69"/>
    </row>
    <row r="70" spans="3:3" x14ac:dyDescent="0.25">
      <c r="C70"/>
    </row>
    <row r="71" spans="3:3" x14ac:dyDescent="0.25">
      <c r="C71"/>
    </row>
    <row r="72" spans="3:3" x14ac:dyDescent="0.25">
      <c r="C72"/>
    </row>
    <row r="73" spans="3:3" x14ac:dyDescent="0.25">
      <c r="C73"/>
    </row>
    <row r="74" spans="3:3" x14ac:dyDescent="0.25">
      <c r="C74"/>
    </row>
    <row r="75" spans="3:3" x14ac:dyDescent="0.25">
      <c r="C75"/>
    </row>
    <row r="76" spans="3:3" x14ac:dyDescent="0.25">
      <c r="C76"/>
    </row>
    <row r="77" spans="3:3" x14ac:dyDescent="0.25">
      <c r="C77"/>
    </row>
    <row r="78" spans="3:3" x14ac:dyDescent="0.25">
      <c r="C78"/>
    </row>
    <row r="79" spans="3:3" x14ac:dyDescent="0.25">
      <c r="C79"/>
    </row>
    <row r="80" spans="3:3" x14ac:dyDescent="0.25">
      <c r="C80"/>
    </row>
    <row r="81" spans="3:3" x14ac:dyDescent="0.25">
      <c r="C81"/>
    </row>
    <row r="82" spans="3:3" x14ac:dyDescent="0.25">
      <c r="C82"/>
    </row>
    <row r="83" spans="3:3" x14ac:dyDescent="0.25">
      <c r="C83"/>
    </row>
    <row r="84" spans="3:3" x14ac:dyDescent="0.25">
      <c r="C84"/>
    </row>
    <row r="85" spans="3:3" x14ac:dyDescent="0.25">
      <c r="C85"/>
    </row>
    <row r="86" spans="3:3" x14ac:dyDescent="0.25">
      <c r="C86"/>
    </row>
    <row r="87" spans="3:3" x14ac:dyDescent="0.25">
      <c r="C87"/>
    </row>
    <row r="88" spans="3:3" x14ac:dyDescent="0.25">
      <c r="C88"/>
    </row>
    <row r="89" spans="3:3" x14ac:dyDescent="0.25">
      <c r="C89"/>
    </row>
    <row r="90" spans="3:3" x14ac:dyDescent="0.25">
      <c r="C90"/>
    </row>
    <row r="91" spans="3:3" x14ac:dyDescent="0.25">
      <c r="C91"/>
    </row>
    <row r="92" spans="3:3" x14ac:dyDescent="0.25">
      <c r="C92"/>
    </row>
    <row r="93" spans="3:3" x14ac:dyDescent="0.25">
      <c r="C93"/>
    </row>
    <row r="94" spans="3:3" x14ac:dyDescent="0.25">
      <c r="C94"/>
    </row>
    <row r="95" spans="3:3" x14ac:dyDescent="0.25">
      <c r="C95"/>
    </row>
    <row r="96" spans="3:3" x14ac:dyDescent="0.25">
      <c r="C96"/>
    </row>
    <row r="97" spans="3:3" x14ac:dyDescent="0.25">
      <c r="C97"/>
    </row>
    <row r="98" spans="3:3" x14ac:dyDescent="0.25">
      <c r="C98"/>
    </row>
    <row r="99" spans="3:3" x14ac:dyDescent="0.25">
      <c r="C99"/>
    </row>
    <row r="100" spans="3:3" x14ac:dyDescent="0.25">
      <c r="C100"/>
    </row>
    <row r="101" spans="3:3" x14ac:dyDescent="0.25">
      <c r="C101"/>
    </row>
    <row r="102" spans="3:3" x14ac:dyDescent="0.25">
      <c r="C102"/>
    </row>
    <row r="103" spans="3:3" x14ac:dyDescent="0.25">
      <c r="C103"/>
    </row>
    <row r="104" spans="3:3" x14ac:dyDescent="0.25">
      <c r="C104"/>
    </row>
    <row r="105" spans="3:3" x14ac:dyDescent="0.25">
      <c r="C105"/>
    </row>
    <row r="106" spans="3:3" x14ac:dyDescent="0.25">
      <c r="C106"/>
    </row>
    <row r="107" spans="3:3" x14ac:dyDescent="0.25">
      <c r="C107"/>
    </row>
    <row r="108" spans="3:3" x14ac:dyDescent="0.25">
      <c r="C108"/>
    </row>
    <row r="109" spans="3:3" x14ac:dyDescent="0.25">
      <c r="C109"/>
    </row>
    <row r="110" spans="3:3" x14ac:dyDescent="0.25">
      <c r="C110"/>
    </row>
    <row r="111" spans="3:3" x14ac:dyDescent="0.25">
      <c r="C111"/>
    </row>
    <row r="112" spans="3:3" x14ac:dyDescent="0.25">
      <c r="C112"/>
    </row>
    <row r="113" spans="3:3" x14ac:dyDescent="0.25">
      <c r="C113"/>
    </row>
    <row r="114" spans="3:3" x14ac:dyDescent="0.25">
      <c r="C114"/>
    </row>
    <row r="115" spans="3:3" x14ac:dyDescent="0.25">
      <c r="C115"/>
    </row>
    <row r="116" spans="3:3" x14ac:dyDescent="0.25">
      <c r="C116"/>
    </row>
    <row r="117" spans="3:3" x14ac:dyDescent="0.25">
      <c r="C117"/>
    </row>
    <row r="118" spans="3:3" x14ac:dyDescent="0.25">
      <c r="C118"/>
    </row>
    <row r="119" spans="3:3" x14ac:dyDescent="0.25">
      <c r="C119"/>
    </row>
    <row r="120" spans="3:3" x14ac:dyDescent="0.25">
      <c r="C120"/>
    </row>
    <row r="121" spans="3:3" x14ac:dyDescent="0.25">
      <c r="C121"/>
    </row>
    <row r="122" spans="3:3" x14ac:dyDescent="0.25">
      <c r="C122"/>
    </row>
    <row r="123" spans="3:3" x14ac:dyDescent="0.25">
      <c r="C123"/>
    </row>
    <row r="124" spans="3:3" x14ac:dyDescent="0.25">
      <c r="C124"/>
    </row>
    <row r="125" spans="3:3" x14ac:dyDescent="0.25">
      <c r="C125"/>
    </row>
    <row r="126" spans="3:3" x14ac:dyDescent="0.25">
      <c r="C126"/>
    </row>
    <row r="127" spans="3:3" x14ac:dyDescent="0.25">
      <c r="C127"/>
    </row>
    <row r="128" spans="3:3" x14ac:dyDescent="0.25">
      <c r="C128"/>
    </row>
    <row r="129" spans="3:3" x14ac:dyDescent="0.25">
      <c r="C129"/>
    </row>
    <row r="130" spans="3:3" x14ac:dyDescent="0.25">
      <c r="C130"/>
    </row>
    <row r="131" spans="3:3" x14ac:dyDescent="0.25">
      <c r="C131"/>
    </row>
    <row r="132" spans="3:3" x14ac:dyDescent="0.25">
      <c r="C132"/>
    </row>
    <row r="133" spans="3:3" x14ac:dyDescent="0.25">
      <c r="C133"/>
    </row>
    <row r="134" spans="3:3" x14ac:dyDescent="0.25">
      <c r="C134"/>
    </row>
    <row r="135" spans="3:3" x14ac:dyDescent="0.25">
      <c r="C135"/>
    </row>
    <row r="136" spans="3:3" x14ac:dyDescent="0.25">
      <c r="C136"/>
    </row>
    <row r="137" spans="3:3" x14ac:dyDescent="0.25">
      <c r="C137"/>
    </row>
    <row r="138" spans="3:3" x14ac:dyDescent="0.25">
      <c r="C138"/>
    </row>
    <row r="139" spans="3:3" x14ac:dyDescent="0.25">
      <c r="C139"/>
    </row>
    <row r="140" spans="3:3" x14ac:dyDescent="0.25">
      <c r="C140"/>
    </row>
    <row r="141" spans="3:3" x14ac:dyDescent="0.25">
      <c r="C141"/>
    </row>
    <row r="142" spans="3:3" x14ac:dyDescent="0.25">
      <c r="C142"/>
    </row>
    <row r="143" spans="3:3" x14ac:dyDescent="0.25">
      <c r="C143"/>
    </row>
    <row r="144" spans="3:3" x14ac:dyDescent="0.25">
      <c r="C144"/>
    </row>
    <row r="145" spans="3:3" x14ac:dyDescent="0.25">
      <c r="C145"/>
    </row>
    <row r="146" spans="3:3" x14ac:dyDescent="0.25">
      <c r="C146"/>
    </row>
    <row r="147" spans="3:3" x14ac:dyDescent="0.25">
      <c r="C147"/>
    </row>
    <row r="148" spans="3:3" x14ac:dyDescent="0.25">
      <c r="C148"/>
    </row>
    <row r="149" spans="3:3" x14ac:dyDescent="0.25">
      <c r="C149"/>
    </row>
    <row r="150" spans="3:3" x14ac:dyDescent="0.25">
      <c r="C150"/>
    </row>
    <row r="151" spans="3:3" x14ac:dyDescent="0.25">
      <c r="C151"/>
    </row>
    <row r="152" spans="3:3" x14ac:dyDescent="0.25">
      <c r="C152"/>
    </row>
    <row r="153" spans="3:3" x14ac:dyDescent="0.25">
      <c r="C153"/>
    </row>
    <row r="154" spans="3:3" x14ac:dyDescent="0.25">
      <c r="C154"/>
    </row>
    <row r="155" spans="3:3" x14ac:dyDescent="0.25">
      <c r="C155"/>
    </row>
    <row r="156" spans="3:3" x14ac:dyDescent="0.25">
      <c r="C156"/>
    </row>
    <row r="157" spans="3:3" x14ac:dyDescent="0.25">
      <c r="C157"/>
    </row>
    <row r="158" spans="3:3" x14ac:dyDescent="0.25">
      <c r="C158"/>
    </row>
    <row r="159" spans="3:3" x14ac:dyDescent="0.25">
      <c r="C159"/>
    </row>
    <row r="160" spans="3:3" x14ac:dyDescent="0.25">
      <c r="C160"/>
    </row>
    <row r="161" spans="3:3" x14ac:dyDescent="0.25">
      <c r="C161"/>
    </row>
    <row r="162" spans="3:3" x14ac:dyDescent="0.25">
      <c r="C162"/>
    </row>
    <row r="163" spans="3:3" x14ac:dyDescent="0.25">
      <c r="C163"/>
    </row>
    <row r="164" spans="3:3" x14ac:dyDescent="0.25">
      <c r="C164"/>
    </row>
    <row r="165" spans="3:3" x14ac:dyDescent="0.25">
      <c r="C165"/>
    </row>
    <row r="166" spans="3:3" x14ac:dyDescent="0.25">
      <c r="C166"/>
    </row>
    <row r="167" spans="3:3" x14ac:dyDescent="0.25">
      <c r="C167"/>
    </row>
    <row r="168" spans="3:3" x14ac:dyDescent="0.25">
      <c r="C168"/>
    </row>
    <row r="169" spans="3:3" x14ac:dyDescent="0.25">
      <c r="C169"/>
    </row>
    <row r="170" spans="3:3" x14ac:dyDescent="0.25">
      <c r="C170"/>
    </row>
    <row r="171" spans="3:3" x14ac:dyDescent="0.25">
      <c r="C171"/>
    </row>
    <row r="172" spans="3:3" x14ac:dyDescent="0.25">
      <c r="C172"/>
    </row>
    <row r="173" spans="3:3" x14ac:dyDescent="0.25">
      <c r="C173"/>
    </row>
    <row r="174" spans="3:3" x14ac:dyDescent="0.25">
      <c r="C174"/>
    </row>
    <row r="175" spans="3:3" x14ac:dyDescent="0.25">
      <c r="C175"/>
    </row>
    <row r="176" spans="3:3" x14ac:dyDescent="0.25">
      <c r="C176"/>
    </row>
    <row r="177" spans="3:3" x14ac:dyDescent="0.25">
      <c r="C177"/>
    </row>
    <row r="178" spans="3:3" x14ac:dyDescent="0.25">
      <c r="C178"/>
    </row>
    <row r="179" spans="3:3" x14ac:dyDescent="0.25">
      <c r="C179"/>
    </row>
    <row r="180" spans="3:3" x14ac:dyDescent="0.25">
      <c r="C180"/>
    </row>
    <row r="181" spans="3:3" x14ac:dyDescent="0.25">
      <c r="C181"/>
    </row>
    <row r="182" spans="3:3" x14ac:dyDescent="0.25">
      <c r="C182"/>
    </row>
    <row r="183" spans="3:3" x14ac:dyDescent="0.25">
      <c r="C183"/>
    </row>
    <row r="184" spans="3:3" x14ac:dyDescent="0.25">
      <c r="C184"/>
    </row>
    <row r="185" spans="3:3" x14ac:dyDescent="0.25">
      <c r="C185"/>
    </row>
    <row r="186" spans="3:3" x14ac:dyDescent="0.25">
      <c r="C186"/>
    </row>
    <row r="187" spans="3:3" x14ac:dyDescent="0.25">
      <c r="C187"/>
    </row>
    <row r="188" spans="3:3" x14ac:dyDescent="0.25">
      <c r="C188"/>
    </row>
    <row r="189" spans="3:3" x14ac:dyDescent="0.25">
      <c r="C189"/>
    </row>
    <row r="190" spans="3:3" x14ac:dyDescent="0.25">
      <c r="C190"/>
    </row>
    <row r="191" spans="3:3" x14ac:dyDescent="0.25">
      <c r="C191"/>
    </row>
    <row r="192" spans="3:3" x14ac:dyDescent="0.25">
      <c r="C192"/>
    </row>
    <row r="193" spans="3:3" x14ac:dyDescent="0.25">
      <c r="C193"/>
    </row>
    <row r="194" spans="3:3" x14ac:dyDescent="0.25">
      <c r="C194"/>
    </row>
    <row r="195" spans="3:3" x14ac:dyDescent="0.25">
      <c r="C195"/>
    </row>
    <row r="196" spans="3:3" x14ac:dyDescent="0.25">
      <c r="C196"/>
    </row>
    <row r="197" spans="3:3" x14ac:dyDescent="0.25">
      <c r="C197"/>
    </row>
    <row r="198" spans="3:3" x14ac:dyDescent="0.25">
      <c r="C198"/>
    </row>
    <row r="199" spans="3:3" x14ac:dyDescent="0.25">
      <c r="C199"/>
    </row>
    <row r="200" spans="3:3" x14ac:dyDescent="0.25">
      <c r="C200"/>
    </row>
    <row r="201" spans="3:3" x14ac:dyDescent="0.25">
      <c r="C201"/>
    </row>
    <row r="202" spans="3:3" x14ac:dyDescent="0.25">
      <c r="C202"/>
    </row>
    <row r="203" spans="3:3" x14ac:dyDescent="0.25">
      <c r="C203"/>
    </row>
    <row r="204" spans="3:3" x14ac:dyDescent="0.25">
      <c r="C204"/>
    </row>
    <row r="205" spans="3:3" x14ac:dyDescent="0.25">
      <c r="C205"/>
    </row>
    <row r="206" spans="3:3" x14ac:dyDescent="0.25">
      <c r="C206"/>
    </row>
    <row r="207" spans="3:3" x14ac:dyDescent="0.25">
      <c r="C207"/>
    </row>
    <row r="208" spans="3:3" x14ac:dyDescent="0.25">
      <c r="C208"/>
    </row>
    <row r="209" spans="3:3" x14ac:dyDescent="0.25">
      <c r="C209"/>
    </row>
    <row r="210" spans="3:3" x14ac:dyDescent="0.25">
      <c r="C210"/>
    </row>
    <row r="211" spans="3:3" x14ac:dyDescent="0.25">
      <c r="C211"/>
    </row>
    <row r="212" spans="3:3" x14ac:dyDescent="0.25">
      <c r="C212"/>
    </row>
    <row r="213" spans="3:3" x14ac:dyDescent="0.25">
      <c r="C213"/>
    </row>
    <row r="214" spans="3:3" x14ac:dyDescent="0.25">
      <c r="C214"/>
    </row>
    <row r="215" spans="3:3" x14ac:dyDescent="0.25">
      <c r="C215"/>
    </row>
    <row r="216" spans="3:3" x14ac:dyDescent="0.25">
      <c r="C216"/>
    </row>
    <row r="217" spans="3:3" x14ac:dyDescent="0.25">
      <c r="C217"/>
    </row>
    <row r="218" spans="3:3" x14ac:dyDescent="0.25">
      <c r="C218"/>
    </row>
    <row r="219" spans="3:3" x14ac:dyDescent="0.25">
      <c r="C219"/>
    </row>
    <row r="220" spans="3:3" x14ac:dyDescent="0.25">
      <c r="C220"/>
    </row>
    <row r="221" spans="3:3" x14ac:dyDescent="0.25">
      <c r="C221"/>
    </row>
    <row r="222" spans="3:3" x14ac:dyDescent="0.25">
      <c r="C222"/>
    </row>
    <row r="223" spans="3:3" x14ac:dyDescent="0.25">
      <c r="C223"/>
    </row>
    <row r="224" spans="3:3" x14ac:dyDescent="0.25">
      <c r="C224"/>
    </row>
    <row r="225" spans="3:3" x14ac:dyDescent="0.25">
      <c r="C225"/>
    </row>
    <row r="226" spans="3:3" x14ac:dyDescent="0.25">
      <c r="C226"/>
    </row>
    <row r="227" spans="3:3" x14ac:dyDescent="0.25">
      <c r="C227"/>
    </row>
    <row r="228" spans="3:3" x14ac:dyDescent="0.25">
      <c r="C228"/>
    </row>
    <row r="229" spans="3:3" x14ac:dyDescent="0.25">
      <c r="C229"/>
    </row>
    <row r="230" spans="3:3" x14ac:dyDescent="0.25">
      <c r="C230"/>
    </row>
    <row r="231" spans="3:3" x14ac:dyDescent="0.25">
      <c r="C231"/>
    </row>
    <row r="232" spans="3:3" x14ac:dyDescent="0.25">
      <c r="C232"/>
    </row>
    <row r="233" spans="3:3" x14ac:dyDescent="0.25">
      <c r="C233"/>
    </row>
    <row r="234" spans="3:3" x14ac:dyDescent="0.25">
      <c r="C234"/>
    </row>
    <row r="235" spans="3:3" x14ac:dyDescent="0.25">
      <c r="C235"/>
    </row>
    <row r="236" spans="3:3" x14ac:dyDescent="0.25">
      <c r="C236"/>
    </row>
    <row r="237" spans="3:3" x14ac:dyDescent="0.25">
      <c r="C237"/>
    </row>
    <row r="238" spans="3:3" x14ac:dyDescent="0.25">
      <c r="C238"/>
    </row>
    <row r="239" spans="3:3" x14ac:dyDescent="0.25">
      <c r="C239"/>
    </row>
    <row r="240" spans="3:3" x14ac:dyDescent="0.25">
      <c r="C240"/>
    </row>
    <row r="241" spans="3:3" x14ac:dyDescent="0.25">
      <c r="C241"/>
    </row>
    <row r="242" spans="3:3" x14ac:dyDescent="0.25">
      <c r="C242"/>
    </row>
    <row r="243" spans="3:3" x14ac:dyDescent="0.25">
      <c r="C243"/>
    </row>
    <row r="244" spans="3:3" x14ac:dyDescent="0.25">
      <c r="C244"/>
    </row>
    <row r="245" spans="3:3" x14ac:dyDescent="0.25">
      <c r="C245"/>
    </row>
    <row r="246" spans="3:3" x14ac:dyDescent="0.25">
      <c r="C246"/>
    </row>
    <row r="247" spans="3:3" x14ac:dyDescent="0.25">
      <c r="C247"/>
    </row>
    <row r="248" spans="3:3" x14ac:dyDescent="0.25">
      <c r="C248"/>
    </row>
    <row r="249" spans="3:3" x14ac:dyDescent="0.25">
      <c r="C249"/>
    </row>
    <row r="250" spans="3:3" x14ac:dyDescent="0.25">
      <c r="C250"/>
    </row>
    <row r="251" spans="3:3" x14ac:dyDescent="0.25">
      <c r="C251"/>
    </row>
    <row r="252" spans="3:3" x14ac:dyDescent="0.25">
      <c r="C252"/>
    </row>
    <row r="253" spans="3:3" x14ac:dyDescent="0.25">
      <c r="C253"/>
    </row>
    <row r="254" spans="3:3" x14ac:dyDescent="0.25">
      <c r="C254"/>
    </row>
    <row r="255" spans="3:3" x14ac:dyDescent="0.25">
      <c r="C255"/>
    </row>
    <row r="256" spans="3:3" x14ac:dyDescent="0.25">
      <c r="C256"/>
    </row>
    <row r="257" spans="3:3" x14ac:dyDescent="0.25">
      <c r="C257"/>
    </row>
    <row r="258" spans="3:3" x14ac:dyDescent="0.25">
      <c r="C258"/>
    </row>
    <row r="259" spans="3:3" x14ac:dyDescent="0.25">
      <c r="C259"/>
    </row>
    <row r="260" spans="3:3" x14ac:dyDescent="0.25">
      <c r="C260"/>
    </row>
    <row r="261" spans="3:3" x14ac:dyDescent="0.25">
      <c r="C261"/>
    </row>
    <row r="262" spans="3:3" x14ac:dyDescent="0.25">
      <c r="C262"/>
    </row>
    <row r="263" spans="3:3" x14ac:dyDescent="0.25">
      <c r="C263"/>
    </row>
    <row r="264" spans="3:3" x14ac:dyDescent="0.25">
      <c r="C264"/>
    </row>
    <row r="265" spans="3:3" x14ac:dyDescent="0.25">
      <c r="C265"/>
    </row>
    <row r="266" spans="3:3" x14ac:dyDescent="0.25">
      <c r="C266"/>
    </row>
    <row r="267" spans="3:3" x14ac:dyDescent="0.25">
      <c r="C267"/>
    </row>
    <row r="268" spans="3:3" x14ac:dyDescent="0.25">
      <c r="C268"/>
    </row>
    <row r="269" spans="3:3" x14ac:dyDescent="0.25">
      <c r="C269"/>
    </row>
    <row r="270" spans="3:3" x14ac:dyDescent="0.25">
      <c r="C270"/>
    </row>
    <row r="271" spans="3:3" x14ac:dyDescent="0.25">
      <c r="C271"/>
    </row>
    <row r="272" spans="3:3" x14ac:dyDescent="0.25">
      <c r="C272"/>
    </row>
    <row r="273" spans="3:3" x14ac:dyDescent="0.25">
      <c r="C273"/>
    </row>
    <row r="274" spans="3:3" x14ac:dyDescent="0.25">
      <c r="C274"/>
    </row>
    <row r="275" spans="3:3" x14ac:dyDescent="0.25">
      <c r="C275"/>
    </row>
    <row r="276" spans="3:3" x14ac:dyDescent="0.25">
      <c r="C276"/>
    </row>
    <row r="277" spans="3:3" x14ac:dyDescent="0.25">
      <c r="C277"/>
    </row>
    <row r="278" spans="3:3" x14ac:dyDescent="0.25">
      <c r="C278"/>
    </row>
    <row r="279" spans="3:3" x14ac:dyDescent="0.25">
      <c r="C279"/>
    </row>
    <row r="280" spans="3:3" x14ac:dyDescent="0.25">
      <c r="C280"/>
    </row>
    <row r="281" spans="3:3" x14ac:dyDescent="0.25">
      <c r="C281"/>
    </row>
    <row r="282" spans="3:3" x14ac:dyDescent="0.25">
      <c r="C282"/>
    </row>
    <row r="283" spans="3:3" x14ac:dyDescent="0.25">
      <c r="C283"/>
    </row>
    <row r="284" spans="3:3" x14ac:dyDescent="0.25">
      <c r="C284"/>
    </row>
    <row r="285" spans="3:3" x14ac:dyDescent="0.25">
      <c r="C285"/>
    </row>
    <row r="286" spans="3:3" x14ac:dyDescent="0.25">
      <c r="C286"/>
    </row>
    <row r="287" spans="3:3" x14ac:dyDescent="0.25">
      <c r="C287"/>
    </row>
    <row r="288" spans="3:3" x14ac:dyDescent="0.25">
      <c r="C288"/>
    </row>
    <row r="289" spans="3:3" x14ac:dyDescent="0.25">
      <c r="C289"/>
    </row>
    <row r="290" spans="3:3" x14ac:dyDescent="0.25">
      <c r="C290"/>
    </row>
    <row r="291" spans="3:3" x14ac:dyDescent="0.25">
      <c r="C291"/>
    </row>
    <row r="292" spans="3:3" x14ac:dyDescent="0.25">
      <c r="C292"/>
    </row>
    <row r="293" spans="3:3" x14ac:dyDescent="0.25">
      <c r="C293"/>
    </row>
    <row r="294" spans="3:3" x14ac:dyDescent="0.25">
      <c r="C294"/>
    </row>
    <row r="295" spans="3:3" x14ac:dyDescent="0.25">
      <c r="C295"/>
    </row>
    <row r="296" spans="3:3" x14ac:dyDescent="0.25">
      <c r="C296"/>
    </row>
    <row r="297" spans="3:3" x14ac:dyDescent="0.25">
      <c r="C297"/>
    </row>
    <row r="298" spans="3:3" x14ac:dyDescent="0.25">
      <c r="C298"/>
    </row>
    <row r="299" spans="3:3" x14ac:dyDescent="0.25">
      <c r="C299"/>
    </row>
    <row r="300" spans="3:3" x14ac:dyDescent="0.25">
      <c r="C300"/>
    </row>
    <row r="301" spans="3:3" x14ac:dyDescent="0.25">
      <c r="C301"/>
    </row>
    <row r="302" spans="3:3" x14ac:dyDescent="0.25">
      <c r="C302"/>
    </row>
    <row r="303" spans="3:3" x14ac:dyDescent="0.25">
      <c r="C303"/>
    </row>
    <row r="304" spans="3:3" x14ac:dyDescent="0.25">
      <c r="C304"/>
    </row>
    <row r="305" spans="3:3" x14ac:dyDescent="0.25">
      <c r="C305"/>
    </row>
    <row r="306" spans="3:3" x14ac:dyDescent="0.25">
      <c r="C306"/>
    </row>
    <row r="307" spans="3:3" x14ac:dyDescent="0.25">
      <c r="C307"/>
    </row>
    <row r="308" spans="3:3" x14ac:dyDescent="0.25">
      <c r="C308"/>
    </row>
    <row r="309" spans="3:3" x14ac:dyDescent="0.25">
      <c r="C309"/>
    </row>
    <row r="310" spans="3:3" x14ac:dyDescent="0.25">
      <c r="C310"/>
    </row>
    <row r="311" spans="3:3" x14ac:dyDescent="0.25">
      <c r="C311"/>
    </row>
    <row r="312" spans="3:3" x14ac:dyDescent="0.25">
      <c r="C312"/>
    </row>
    <row r="313" spans="3:3" x14ac:dyDescent="0.25">
      <c r="C313"/>
    </row>
    <row r="314" spans="3:3" x14ac:dyDescent="0.25">
      <c r="C314"/>
    </row>
    <row r="315" spans="3:3" x14ac:dyDescent="0.25">
      <c r="C315"/>
    </row>
    <row r="316" spans="3:3" x14ac:dyDescent="0.25">
      <c r="C316"/>
    </row>
    <row r="317" spans="3:3" x14ac:dyDescent="0.25">
      <c r="C317"/>
    </row>
    <row r="318" spans="3:3" x14ac:dyDescent="0.25">
      <c r="C318"/>
    </row>
    <row r="319" spans="3:3" x14ac:dyDescent="0.25">
      <c r="C319"/>
    </row>
    <row r="320" spans="3:3" x14ac:dyDescent="0.25">
      <c r="C320"/>
    </row>
    <row r="321" spans="3:3" x14ac:dyDescent="0.25">
      <c r="C321"/>
    </row>
    <row r="322" spans="3:3" x14ac:dyDescent="0.25">
      <c r="C322"/>
    </row>
    <row r="323" spans="3:3" x14ac:dyDescent="0.25">
      <c r="C323"/>
    </row>
    <row r="324" spans="3:3" x14ac:dyDescent="0.25">
      <c r="C324"/>
    </row>
    <row r="325" spans="3:3" x14ac:dyDescent="0.25">
      <c r="C325"/>
    </row>
    <row r="326" spans="3:3" x14ac:dyDescent="0.25">
      <c r="C326"/>
    </row>
    <row r="327" spans="3:3" x14ac:dyDescent="0.25">
      <c r="C327"/>
    </row>
    <row r="328" spans="3:3" x14ac:dyDescent="0.25">
      <c r="C328"/>
    </row>
    <row r="329" spans="3:3" x14ac:dyDescent="0.25">
      <c r="C329"/>
    </row>
    <row r="330" spans="3:3" x14ac:dyDescent="0.25">
      <c r="C330"/>
    </row>
    <row r="331" spans="3:3" x14ac:dyDescent="0.25">
      <c r="C331"/>
    </row>
    <row r="332" spans="3:3" x14ac:dyDescent="0.25">
      <c r="C332"/>
    </row>
    <row r="333" spans="3:3" x14ac:dyDescent="0.25">
      <c r="C333"/>
    </row>
    <row r="334" spans="3:3" x14ac:dyDescent="0.25">
      <c r="C334"/>
    </row>
    <row r="335" spans="3:3" x14ac:dyDescent="0.25">
      <c r="C335"/>
    </row>
    <row r="336" spans="3:3" x14ac:dyDescent="0.25">
      <c r="C336"/>
    </row>
    <row r="337" spans="3:3" x14ac:dyDescent="0.25">
      <c r="C337"/>
    </row>
    <row r="338" spans="3:3" x14ac:dyDescent="0.25">
      <c r="C338"/>
    </row>
    <row r="339" spans="3:3" x14ac:dyDescent="0.25">
      <c r="C339"/>
    </row>
    <row r="340" spans="3:3" x14ac:dyDescent="0.25">
      <c r="C340"/>
    </row>
    <row r="341" spans="3:3" x14ac:dyDescent="0.25">
      <c r="C341"/>
    </row>
    <row r="342" spans="3:3" x14ac:dyDescent="0.25">
      <c r="C342"/>
    </row>
    <row r="343" spans="3:3" x14ac:dyDescent="0.25">
      <c r="C343"/>
    </row>
    <row r="344" spans="3:3" x14ac:dyDescent="0.25">
      <c r="C344"/>
    </row>
    <row r="345" spans="3:3" x14ac:dyDescent="0.25">
      <c r="C345"/>
    </row>
    <row r="346" spans="3:3" x14ac:dyDescent="0.25">
      <c r="C346"/>
    </row>
    <row r="347" spans="3:3" x14ac:dyDescent="0.25">
      <c r="C347"/>
    </row>
    <row r="348" spans="3:3" x14ac:dyDescent="0.25">
      <c r="C348"/>
    </row>
    <row r="349" spans="3:3" x14ac:dyDescent="0.25">
      <c r="C349"/>
    </row>
    <row r="350" spans="3:3" x14ac:dyDescent="0.25">
      <c r="C350"/>
    </row>
    <row r="351" spans="3:3" x14ac:dyDescent="0.25">
      <c r="C351"/>
    </row>
    <row r="352" spans="3:3" x14ac:dyDescent="0.25">
      <c r="C352"/>
    </row>
    <row r="353" spans="3:3" x14ac:dyDescent="0.25">
      <c r="C353"/>
    </row>
    <row r="354" spans="3:3" x14ac:dyDescent="0.25">
      <c r="C354"/>
    </row>
    <row r="355" spans="3:3" x14ac:dyDescent="0.25">
      <c r="C355"/>
    </row>
    <row r="356" spans="3:3" x14ac:dyDescent="0.25">
      <c r="C356"/>
    </row>
    <row r="357" spans="3:3" x14ac:dyDescent="0.25">
      <c r="C357"/>
    </row>
    <row r="358" spans="3:3" x14ac:dyDescent="0.25">
      <c r="C358"/>
    </row>
    <row r="359" spans="3:3" x14ac:dyDescent="0.25">
      <c r="C359"/>
    </row>
    <row r="360" spans="3:3" x14ac:dyDescent="0.25">
      <c r="C360"/>
    </row>
    <row r="361" spans="3:3" x14ac:dyDescent="0.25">
      <c r="C361"/>
    </row>
    <row r="362" spans="3:3" x14ac:dyDescent="0.25">
      <c r="C362"/>
    </row>
    <row r="363" spans="3:3" x14ac:dyDescent="0.25">
      <c r="C363"/>
    </row>
    <row r="364" spans="3:3" x14ac:dyDescent="0.25">
      <c r="C364"/>
    </row>
    <row r="365" spans="3:3" x14ac:dyDescent="0.25">
      <c r="C365"/>
    </row>
    <row r="366" spans="3:3" x14ac:dyDescent="0.25">
      <c r="C366"/>
    </row>
    <row r="367" spans="3:3" x14ac:dyDescent="0.25">
      <c r="C367"/>
    </row>
    <row r="368" spans="3:3" x14ac:dyDescent="0.25">
      <c r="C368"/>
    </row>
    <row r="369" spans="3:3" x14ac:dyDescent="0.25">
      <c r="C369"/>
    </row>
    <row r="370" spans="3:3" x14ac:dyDescent="0.25">
      <c r="C370"/>
    </row>
    <row r="371" spans="3:3" x14ac:dyDescent="0.25">
      <c r="C371"/>
    </row>
    <row r="372" spans="3:3" x14ac:dyDescent="0.25">
      <c r="C372"/>
    </row>
    <row r="373" spans="3:3" x14ac:dyDescent="0.25">
      <c r="C373"/>
    </row>
    <row r="374" spans="3:3" x14ac:dyDescent="0.25">
      <c r="C374"/>
    </row>
    <row r="375" spans="3:3" x14ac:dyDescent="0.25">
      <c r="C375"/>
    </row>
    <row r="376" spans="3:3" x14ac:dyDescent="0.25">
      <c r="C376"/>
    </row>
    <row r="377" spans="3:3" x14ac:dyDescent="0.25">
      <c r="C377"/>
    </row>
    <row r="378" spans="3:3" x14ac:dyDescent="0.25">
      <c r="C378"/>
    </row>
    <row r="379" spans="3:3" x14ac:dyDescent="0.25">
      <c r="C379"/>
    </row>
    <row r="380" spans="3:3" x14ac:dyDescent="0.25">
      <c r="C380"/>
    </row>
    <row r="381" spans="3:3" x14ac:dyDescent="0.25">
      <c r="C381"/>
    </row>
    <row r="382" spans="3:3" x14ac:dyDescent="0.25">
      <c r="C382"/>
    </row>
    <row r="383" spans="3:3" x14ac:dyDescent="0.25">
      <c r="C383"/>
    </row>
    <row r="384" spans="3:3" x14ac:dyDescent="0.25">
      <c r="C384"/>
    </row>
    <row r="385" spans="3:3" x14ac:dyDescent="0.25">
      <c r="C385"/>
    </row>
    <row r="386" spans="3:3" x14ac:dyDescent="0.25">
      <c r="C386"/>
    </row>
    <row r="387" spans="3:3" x14ac:dyDescent="0.25">
      <c r="C387"/>
    </row>
    <row r="388" spans="3:3" x14ac:dyDescent="0.25">
      <c r="C388"/>
    </row>
    <row r="389" spans="3:3" x14ac:dyDescent="0.25">
      <c r="C389"/>
    </row>
    <row r="390" spans="3:3" x14ac:dyDescent="0.25">
      <c r="C390"/>
    </row>
    <row r="391" spans="3:3" x14ac:dyDescent="0.25">
      <c r="C391"/>
    </row>
    <row r="392" spans="3:3" x14ac:dyDescent="0.25">
      <c r="C392"/>
    </row>
    <row r="393" spans="3:3" x14ac:dyDescent="0.25">
      <c r="C393"/>
    </row>
    <row r="394" spans="3:3" x14ac:dyDescent="0.25">
      <c r="C394"/>
    </row>
    <row r="395" spans="3:3" x14ac:dyDescent="0.25">
      <c r="C395"/>
    </row>
    <row r="396" spans="3:3" x14ac:dyDescent="0.25">
      <c r="C396"/>
    </row>
    <row r="397" spans="3:3" x14ac:dyDescent="0.25">
      <c r="C397"/>
    </row>
    <row r="398" spans="3:3" x14ac:dyDescent="0.25">
      <c r="C398"/>
    </row>
    <row r="399" spans="3:3" x14ac:dyDescent="0.25">
      <c r="C399"/>
    </row>
    <row r="400" spans="3:3" x14ac:dyDescent="0.25">
      <c r="C400"/>
    </row>
    <row r="401" spans="3:3" x14ac:dyDescent="0.25">
      <c r="C401"/>
    </row>
    <row r="402" spans="3:3" x14ac:dyDescent="0.25">
      <c r="C402"/>
    </row>
    <row r="403" spans="3:3" x14ac:dyDescent="0.25">
      <c r="C403"/>
    </row>
    <row r="404" spans="3:3" x14ac:dyDescent="0.25">
      <c r="C404"/>
    </row>
    <row r="405" spans="3:3" x14ac:dyDescent="0.25">
      <c r="C405"/>
    </row>
    <row r="406" spans="3:3" x14ac:dyDescent="0.25">
      <c r="C406"/>
    </row>
    <row r="407" spans="3:3" x14ac:dyDescent="0.25">
      <c r="C407"/>
    </row>
    <row r="408" spans="3:3" x14ac:dyDescent="0.25">
      <c r="C408"/>
    </row>
    <row r="409" spans="3:3" x14ac:dyDescent="0.25">
      <c r="C409"/>
    </row>
    <row r="410" spans="3:3" x14ac:dyDescent="0.25">
      <c r="C410"/>
    </row>
    <row r="411" spans="3:3" x14ac:dyDescent="0.25">
      <c r="C411"/>
    </row>
    <row r="412" spans="3:3" x14ac:dyDescent="0.25">
      <c r="C412"/>
    </row>
    <row r="413" spans="3:3" x14ac:dyDescent="0.25">
      <c r="C413"/>
    </row>
    <row r="414" spans="3:3" x14ac:dyDescent="0.25">
      <c r="C414"/>
    </row>
    <row r="415" spans="3:3" x14ac:dyDescent="0.25">
      <c r="C415"/>
    </row>
    <row r="416" spans="3:3" x14ac:dyDescent="0.25">
      <c r="C416"/>
    </row>
    <row r="417" spans="3:3" x14ac:dyDescent="0.25">
      <c r="C417"/>
    </row>
    <row r="418" spans="3:3" x14ac:dyDescent="0.25">
      <c r="C418"/>
    </row>
    <row r="419" spans="3:3" x14ac:dyDescent="0.25">
      <c r="C419"/>
    </row>
    <row r="420" spans="3:3" x14ac:dyDescent="0.25">
      <c r="C420"/>
    </row>
    <row r="421" spans="3:3" x14ac:dyDescent="0.25">
      <c r="C421"/>
    </row>
    <row r="422" spans="3:3" x14ac:dyDescent="0.25">
      <c r="C422"/>
    </row>
    <row r="423" spans="3:3" x14ac:dyDescent="0.25">
      <c r="C423"/>
    </row>
    <row r="424" spans="3:3" x14ac:dyDescent="0.25">
      <c r="C424"/>
    </row>
    <row r="425" spans="3:3" x14ac:dyDescent="0.25">
      <c r="C425"/>
    </row>
    <row r="426" spans="3:3" x14ac:dyDescent="0.25">
      <c r="C426"/>
    </row>
    <row r="427" spans="3:3" x14ac:dyDescent="0.25">
      <c r="C427"/>
    </row>
    <row r="428" spans="3:3" x14ac:dyDescent="0.25">
      <c r="C428"/>
    </row>
    <row r="429" spans="3:3" x14ac:dyDescent="0.25">
      <c r="C429"/>
    </row>
    <row r="430" spans="3:3" x14ac:dyDescent="0.25">
      <c r="C430"/>
    </row>
    <row r="431" spans="3:3" x14ac:dyDescent="0.25">
      <c r="C431"/>
    </row>
    <row r="432" spans="3:3" x14ac:dyDescent="0.25">
      <c r="C432"/>
    </row>
    <row r="433" spans="3:3" x14ac:dyDescent="0.25">
      <c r="C433"/>
    </row>
    <row r="434" spans="3:3" x14ac:dyDescent="0.25">
      <c r="C434"/>
    </row>
    <row r="435" spans="3:3" x14ac:dyDescent="0.25">
      <c r="C435"/>
    </row>
    <row r="436" spans="3:3" x14ac:dyDescent="0.25">
      <c r="C436"/>
    </row>
    <row r="437" spans="3:3" x14ac:dyDescent="0.25">
      <c r="C437"/>
    </row>
    <row r="438" spans="3:3" x14ac:dyDescent="0.25">
      <c r="C438"/>
    </row>
    <row r="439" spans="3:3" x14ac:dyDescent="0.25">
      <c r="C439"/>
    </row>
    <row r="440" spans="3:3" x14ac:dyDescent="0.25">
      <c r="C440"/>
    </row>
    <row r="441" spans="3:3" x14ac:dyDescent="0.25">
      <c r="C441"/>
    </row>
    <row r="442" spans="3:3" x14ac:dyDescent="0.25">
      <c r="C442"/>
    </row>
    <row r="443" spans="3:3" x14ac:dyDescent="0.25">
      <c r="C443"/>
    </row>
    <row r="444" spans="3:3" x14ac:dyDescent="0.25">
      <c r="C444"/>
    </row>
    <row r="445" spans="3:3" x14ac:dyDescent="0.25">
      <c r="C445"/>
    </row>
    <row r="446" spans="3:3" x14ac:dyDescent="0.25">
      <c r="C446"/>
    </row>
    <row r="447" spans="3:3" x14ac:dyDescent="0.25">
      <c r="C447"/>
    </row>
    <row r="448" spans="3:3" x14ac:dyDescent="0.25">
      <c r="C448"/>
    </row>
    <row r="449" spans="3:3" x14ac:dyDescent="0.25">
      <c r="C449"/>
    </row>
    <row r="450" spans="3:3" x14ac:dyDescent="0.25">
      <c r="C450"/>
    </row>
    <row r="451" spans="3:3" x14ac:dyDescent="0.25">
      <c r="C451"/>
    </row>
    <row r="452" spans="3:3" x14ac:dyDescent="0.25">
      <c r="C452"/>
    </row>
    <row r="453" spans="3:3" x14ac:dyDescent="0.25">
      <c r="C453"/>
    </row>
    <row r="454" spans="3:3" x14ac:dyDescent="0.25">
      <c r="C454"/>
    </row>
    <row r="455" spans="3:3" x14ac:dyDescent="0.25">
      <c r="C455"/>
    </row>
    <row r="456" spans="3:3" x14ac:dyDescent="0.25">
      <c r="C456"/>
    </row>
    <row r="457" spans="3:3" x14ac:dyDescent="0.25">
      <c r="C457"/>
    </row>
    <row r="458" spans="3:3" x14ac:dyDescent="0.25">
      <c r="C458"/>
    </row>
    <row r="459" spans="3:3" x14ac:dyDescent="0.25">
      <c r="C459"/>
    </row>
    <row r="460" spans="3:3" x14ac:dyDescent="0.25">
      <c r="C460"/>
    </row>
    <row r="461" spans="3:3" x14ac:dyDescent="0.25">
      <c r="C461"/>
    </row>
    <row r="462" spans="3:3" x14ac:dyDescent="0.25">
      <c r="C462"/>
    </row>
    <row r="463" spans="3:3" x14ac:dyDescent="0.25">
      <c r="C463"/>
    </row>
    <row r="464" spans="3:3" x14ac:dyDescent="0.25">
      <c r="C464"/>
    </row>
    <row r="465" spans="3:3" x14ac:dyDescent="0.25">
      <c r="C465"/>
    </row>
    <row r="466" spans="3:3" x14ac:dyDescent="0.25">
      <c r="C466"/>
    </row>
    <row r="467" spans="3:3" x14ac:dyDescent="0.25">
      <c r="C467"/>
    </row>
    <row r="468" spans="3:3" x14ac:dyDescent="0.25">
      <c r="C468"/>
    </row>
    <row r="469" spans="3:3" x14ac:dyDescent="0.25">
      <c r="C469"/>
    </row>
    <row r="470" spans="3:3" x14ac:dyDescent="0.25">
      <c r="C470"/>
    </row>
    <row r="471" spans="3:3" x14ac:dyDescent="0.25">
      <c r="C471"/>
    </row>
    <row r="472" spans="3:3" x14ac:dyDescent="0.25">
      <c r="C472"/>
    </row>
    <row r="473" spans="3:3" x14ac:dyDescent="0.25">
      <c r="C473"/>
    </row>
    <row r="474" spans="3:3" x14ac:dyDescent="0.25">
      <c r="C474"/>
    </row>
    <row r="475" spans="3:3" x14ac:dyDescent="0.25">
      <c r="C475"/>
    </row>
    <row r="476" spans="3:3" x14ac:dyDescent="0.25">
      <c r="C476"/>
    </row>
    <row r="477" spans="3:3" x14ac:dyDescent="0.25">
      <c r="C477"/>
    </row>
    <row r="478" spans="3:3" x14ac:dyDescent="0.25">
      <c r="C478"/>
    </row>
    <row r="479" spans="3:3" x14ac:dyDescent="0.25">
      <c r="C479"/>
    </row>
    <row r="480" spans="3:3" x14ac:dyDescent="0.25">
      <c r="C480"/>
    </row>
    <row r="481" spans="3:3" x14ac:dyDescent="0.25">
      <c r="C481"/>
    </row>
    <row r="482" spans="3:3" x14ac:dyDescent="0.25">
      <c r="C482"/>
    </row>
    <row r="483" spans="3:3" x14ac:dyDescent="0.25">
      <c r="C483"/>
    </row>
    <row r="484" spans="3:3" x14ac:dyDescent="0.25">
      <c r="C484"/>
    </row>
    <row r="485" spans="3:3" x14ac:dyDescent="0.25">
      <c r="C485"/>
    </row>
    <row r="486" spans="3:3" x14ac:dyDescent="0.25">
      <c r="C486"/>
    </row>
    <row r="487" spans="3:3" x14ac:dyDescent="0.25">
      <c r="C487"/>
    </row>
    <row r="488" spans="3:3" x14ac:dyDescent="0.25">
      <c r="C488"/>
    </row>
    <row r="489" spans="3:3" x14ac:dyDescent="0.25">
      <c r="C489"/>
    </row>
    <row r="490" spans="3:3" x14ac:dyDescent="0.25">
      <c r="C490"/>
    </row>
    <row r="491" spans="3:3" x14ac:dyDescent="0.25">
      <c r="C491"/>
    </row>
    <row r="492" spans="3:3" x14ac:dyDescent="0.25">
      <c r="C492"/>
    </row>
    <row r="493" spans="3:3" x14ac:dyDescent="0.25">
      <c r="C493"/>
    </row>
    <row r="494" spans="3:3" x14ac:dyDescent="0.25">
      <c r="C494"/>
    </row>
    <row r="495" spans="3:3" x14ac:dyDescent="0.25">
      <c r="C495"/>
    </row>
    <row r="496" spans="3:3" x14ac:dyDescent="0.25">
      <c r="C496"/>
    </row>
    <row r="497" spans="3:3" x14ac:dyDescent="0.25">
      <c r="C497"/>
    </row>
    <row r="498" spans="3:3" x14ac:dyDescent="0.25">
      <c r="C498"/>
    </row>
    <row r="499" spans="3:3" x14ac:dyDescent="0.25">
      <c r="C499"/>
    </row>
    <row r="500" spans="3:3" x14ac:dyDescent="0.25">
      <c r="C500"/>
    </row>
    <row r="501" spans="3:3" x14ac:dyDescent="0.25">
      <c r="C501"/>
    </row>
    <row r="502" spans="3:3" x14ac:dyDescent="0.25">
      <c r="C502"/>
    </row>
    <row r="503" spans="3:3" x14ac:dyDescent="0.25">
      <c r="C503"/>
    </row>
    <row r="504" spans="3:3" x14ac:dyDescent="0.25">
      <c r="C504"/>
    </row>
    <row r="505" spans="3:3" x14ac:dyDescent="0.25">
      <c r="C505"/>
    </row>
    <row r="506" spans="3:3" x14ac:dyDescent="0.25">
      <c r="C506"/>
    </row>
    <row r="507" spans="3:3" x14ac:dyDescent="0.25">
      <c r="C507"/>
    </row>
    <row r="508" spans="3:3" x14ac:dyDescent="0.25">
      <c r="C508"/>
    </row>
    <row r="509" spans="3:3" x14ac:dyDescent="0.25">
      <c r="C509"/>
    </row>
    <row r="510" spans="3:3" x14ac:dyDescent="0.25">
      <c r="C510"/>
    </row>
    <row r="511" spans="3:3" x14ac:dyDescent="0.25">
      <c r="C511"/>
    </row>
    <row r="512" spans="3:3" x14ac:dyDescent="0.25">
      <c r="C512"/>
    </row>
    <row r="513" spans="3:3" x14ac:dyDescent="0.25">
      <c r="C513"/>
    </row>
    <row r="514" spans="3:3" x14ac:dyDescent="0.25">
      <c r="C514"/>
    </row>
    <row r="515" spans="3:3" x14ac:dyDescent="0.25">
      <c r="C515"/>
    </row>
    <row r="516" spans="3:3" x14ac:dyDescent="0.25">
      <c r="C516"/>
    </row>
    <row r="517" spans="3:3" x14ac:dyDescent="0.25">
      <c r="C517"/>
    </row>
    <row r="518" spans="3:3" x14ac:dyDescent="0.25">
      <c r="C518"/>
    </row>
    <row r="519" spans="3:3" x14ac:dyDescent="0.25">
      <c r="C519"/>
    </row>
    <row r="520" spans="3:3" x14ac:dyDescent="0.25">
      <c r="C520"/>
    </row>
    <row r="521" spans="3:3" x14ac:dyDescent="0.25">
      <c r="C521"/>
    </row>
    <row r="522" spans="3:3" x14ac:dyDescent="0.25">
      <c r="C522"/>
    </row>
    <row r="523" spans="3:3" x14ac:dyDescent="0.25">
      <c r="C523"/>
    </row>
    <row r="524" spans="3:3" x14ac:dyDescent="0.25">
      <c r="C524"/>
    </row>
    <row r="525" spans="3:3" x14ac:dyDescent="0.25">
      <c r="C525"/>
    </row>
    <row r="526" spans="3:3" x14ac:dyDescent="0.25">
      <c r="C526"/>
    </row>
    <row r="527" spans="3:3" x14ac:dyDescent="0.25">
      <c r="C527"/>
    </row>
    <row r="528" spans="3:3" x14ac:dyDescent="0.25">
      <c r="C528"/>
    </row>
    <row r="529" spans="3:3" x14ac:dyDescent="0.25">
      <c r="C529"/>
    </row>
    <row r="530" spans="3:3" x14ac:dyDescent="0.25">
      <c r="C530"/>
    </row>
    <row r="531" spans="3:3" x14ac:dyDescent="0.25">
      <c r="C531"/>
    </row>
    <row r="532" spans="3:3" x14ac:dyDescent="0.25">
      <c r="C532"/>
    </row>
    <row r="533" spans="3:3" x14ac:dyDescent="0.25">
      <c r="C533"/>
    </row>
    <row r="534" spans="3:3" x14ac:dyDescent="0.25">
      <c r="C534"/>
    </row>
    <row r="535" spans="3:3" x14ac:dyDescent="0.25">
      <c r="C535"/>
    </row>
    <row r="536" spans="3:3" x14ac:dyDescent="0.25">
      <c r="C536"/>
    </row>
    <row r="537" spans="3:3" x14ac:dyDescent="0.25">
      <c r="C537"/>
    </row>
    <row r="538" spans="3:3" x14ac:dyDescent="0.25">
      <c r="C538"/>
    </row>
    <row r="539" spans="3:3" x14ac:dyDescent="0.25">
      <c r="C539"/>
    </row>
    <row r="540" spans="3:3" x14ac:dyDescent="0.25">
      <c r="C540"/>
    </row>
    <row r="541" spans="3:3" x14ac:dyDescent="0.25">
      <c r="C541"/>
    </row>
    <row r="542" spans="3:3" x14ac:dyDescent="0.25">
      <c r="C542"/>
    </row>
    <row r="543" spans="3:3" x14ac:dyDescent="0.25">
      <c r="C543"/>
    </row>
    <row r="544" spans="3:3" x14ac:dyDescent="0.25">
      <c r="C544"/>
    </row>
    <row r="545" spans="3:3" x14ac:dyDescent="0.25">
      <c r="C545"/>
    </row>
    <row r="546" spans="3:3" x14ac:dyDescent="0.25">
      <c r="C546"/>
    </row>
    <row r="547" spans="3:3" x14ac:dyDescent="0.25">
      <c r="C547"/>
    </row>
    <row r="548" spans="3:3" x14ac:dyDescent="0.25">
      <c r="C548"/>
    </row>
    <row r="549" spans="3:3" x14ac:dyDescent="0.25">
      <c r="C549"/>
    </row>
    <row r="550" spans="3:3" x14ac:dyDescent="0.25">
      <c r="C550"/>
    </row>
    <row r="551" spans="3:3" x14ac:dyDescent="0.25">
      <c r="C551"/>
    </row>
    <row r="552" spans="3:3" x14ac:dyDescent="0.25">
      <c r="C552"/>
    </row>
    <row r="553" spans="3:3" x14ac:dyDescent="0.25">
      <c r="C553"/>
    </row>
    <row r="554" spans="3:3" x14ac:dyDescent="0.25">
      <c r="C554"/>
    </row>
    <row r="555" spans="3:3" x14ac:dyDescent="0.25">
      <c r="C555"/>
    </row>
    <row r="556" spans="3:3" x14ac:dyDescent="0.25">
      <c r="C556"/>
    </row>
    <row r="557" spans="3:3" x14ac:dyDescent="0.25">
      <c r="C557"/>
    </row>
    <row r="558" spans="3:3" x14ac:dyDescent="0.25">
      <c r="C558"/>
    </row>
    <row r="559" spans="3:3" x14ac:dyDescent="0.25">
      <c r="C559"/>
    </row>
    <row r="560" spans="3:3" x14ac:dyDescent="0.25">
      <c r="C560"/>
    </row>
    <row r="561" spans="3:3" x14ac:dyDescent="0.25">
      <c r="C561"/>
    </row>
    <row r="562" spans="3:3" x14ac:dyDescent="0.25">
      <c r="C562"/>
    </row>
    <row r="563" spans="3:3" x14ac:dyDescent="0.25">
      <c r="C563"/>
    </row>
    <row r="564" spans="3:3" x14ac:dyDescent="0.25">
      <c r="C564"/>
    </row>
    <row r="565" spans="3:3" x14ac:dyDescent="0.25">
      <c r="C565"/>
    </row>
    <row r="566" spans="3:3" x14ac:dyDescent="0.25">
      <c r="C566"/>
    </row>
    <row r="567" spans="3:3" x14ac:dyDescent="0.25">
      <c r="C567"/>
    </row>
    <row r="568" spans="3:3" x14ac:dyDescent="0.25">
      <c r="C568"/>
    </row>
    <row r="569" spans="3:3" x14ac:dyDescent="0.25">
      <c r="C569"/>
    </row>
    <row r="570" spans="3:3" x14ac:dyDescent="0.25">
      <c r="C570"/>
    </row>
    <row r="571" spans="3:3" x14ac:dyDescent="0.25">
      <c r="C571"/>
    </row>
    <row r="572" spans="3:3" x14ac:dyDescent="0.25">
      <c r="C572"/>
    </row>
    <row r="573" spans="3:3" x14ac:dyDescent="0.25">
      <c r="C573"/>
    </row>
    <row r="574" spans="3:3" x14ac:dyDescent="0.25">
      <c r="C574"/>
    </row>
    <row r="575" spans="3:3" x14ac:dyDescent="0.25">
      <c r="C575"/>
    </row>
    <row r="576" spans="3:3" x14ac:dyDescent="0.25">
      <c r="C576"/>
    </row>
    <row r="577" spans="3:3" x14ac:dyDescent="0.25">
      <c r="C577"/>
    </row>
    <row r="578" spans="3:3" x14ac:dyDescent="0.25">
      <c r="C578"/>
    </row>
    <row r="579" spans="3:3" x14ac:dyDescent="0.25">
      <c r="C579"/>
    </row>
    <row r="580" spans="3:3" x14ac:dyDescent="0.25">
      <c r="C580"/>
    </row>
    <row r="581" spans="3:3" x14ac:dyDescent="0.25">
      <c r="C581"/>
    </row>
    <row r="582" spans="3:3" x14ac:dyDescent="0.25">
      <c r="C582"/>
    </row>
    <row r="583" spans="3:3" x14ac:dyDescent="0.25">
      <c r="C583"/>
    </row>
    <row r="584" spans="3:3" x14ac:dyDescent="0.25">
      <c r="C584"/>
    </row>
    <row r="585" spans="3:3" x14ac:dyDescent="0.25">
      <c r="C585"/>
    </row>
    <row r="586" spans="3:3" x14ac:dyDescent="0.25">
      <c r="C586"/>
    </row>
    <row r="587" spans="3:3" x14ac:dyDescent="0.25">
      <c r="C587"/>
    </row>
    <row r="588" spans="3:3" x14ac:dyDescent="0.25">
      <c r="C588"/>
    </row>
    <row r="589" spans="3:3" x14ac:dyDescent="0.25">
      <c r="C589"/>
    </row>
    <row r="590" spans="3:3" x14ac:dyDescent="0.25">
      <c r="C590"/>
    </row>
    <row r="591" spans="3:3" x14ac:dyDescent="0.25">
      <c r="C591"/>
    </row>
    <row r="592" spans="3:3" x14ac:dyDescent="0.25">
      <c r="C592"/>
    </row>
    <row r="593" spans="3:3" x14ac:dyDescent="0.25">
      <c r="C593"/>
    </row>
    <row r="594" spans="3:3" x14ac:dyDescent="0.25">
      <c r="C594"/>
    </row>
    <row r="595" spans="3:3" x14ac:dyDescent="0.25">
      <c r="C595"/>
    </row>
    <row r="596" spans="3:3" x14ac:dyDescent="0.25">
      <c r="C596"/>
    </row>
    <row r="597" spans="3:3" x14ac:dyDescent="0.25">
      <c r="C597"/>
    </row>
    <row r="598" spans="3:3" x14ac:dyDescent="0.25">
      <c r="C598"/>
    </row>
    <row r="599" spans="3:3" x14ac:dyDescent="0.25">
      <c r="C599"/>
    </row>
    <row r="600" spans="3:3" x14ac:dyDescent="0.25">
      <c r="C600"/>
    </row>
    <row r="601" spans="3:3" x14ac:dyDescent="0.25">
      <c r="C601"/>
    </row>
    <row r="602" spans="3:3" x14ac:dyDescent="0.25">
      <c r="C602"/>
    </row>
    <row r="603" spans="3:3" x14ac:dyDescent="0.25">
      <c r="C603"/>
    </row>
    <row r="604" spans="3:3" x14ac:dyDescent="0.25">
      <c r="C604"/>
    </row>
    <row r="605" spans="3:3" x14ac:dyDescent="0.25">
      <c r="C605"/>
    </row>
    <row r="606" spans="3:3" x14ac:dyDescent="0.25">
      <c r="C606"/>
    </row>
    <row r="607" spans="3:3" x14ac:dyDescent="0.25">
      <c r="C607"/>
    </row>
    <row r="608" spans="3:3" x14ac:dyDescent="0.25">
      <c r="C608"/>
    </row>
    <row r="609" spans="3:3" x14ac:dyDescent="0.25">
      <c r="C609"/>
    </row>
    <row r="610" spans="3:3" x14ac:dyDescent="0.25">
      <c r="C610"/>
    </row>
    <row r="611" spans="3:3" x14ac:dyDescent="0.25">
      <c r="C611"/>
    </row>
    <row r="612" spans="3:3" x14ac:dyDescent="0.25">
      <c r="C612"/>
    </row>
    <row r="613" spans="3:3" x14ac:dyDescent="0.25">
      <c r="C613"/>
    </row>
    <row r="614" spans="3:3" x14ac:dyDescent="0.25">
      <c r="C614"/>
    </row>
    <row r="615" spans="3:3" x14ac:dyDescent="0.25">
      <c r="C615"/>
    </row>
    <row r="616" spans="3:3" x14ac:dyDescent="0.25">
      <c r="C616"/>
    </row>
    <row r="617" spans="3:3" x14ac:dyDescent="0.25">
      <c r="C617"/>
    </row>
    <row r="618" spans="3:3" x14ac:dyDescent="0.25">
      <c r="C618"/>
    </row>
    <row r="619" spans="3:3" x14ac:dyDescent="0.25">
      <c r="C619"/>
    </row>
    <row r="620" spans="3:3" x14ac:dyDescent="0.25">
      <c r="C620"/>
    </row>
    <row r="621" spans="3:3" x14ac:dyDescent="0.25">
      <c r="C621"/>
    </row>
    <row r="622" spans="3:3" x14ac:dyDescent="0.25">
      <c r="C622"/>
    </row>
    <row r="623" spans="3:3" x14ac:dyDescent="0.25">
      <c r="C623"/>
    </row>
    <row r="624" spans="3:3" x14ac:dyDescent="0.25">
      <c r="C624"/>
    </row>
    <row r="625" spans="3:3" x14ac:dyDescent="0.25">
      <c r="C625"/>
    </row>
    <row r="626" spans="3:3" x14ac:dyDescent="0.25">
      <c r="C626"/>
    </row>
    <row r="627" spans="3:3" x14ac:dyDescent="0.25">
      <c r="C627"/>
    </row>
    <row r="628" spans="3:3" x14ac:dyDescent="0.25">
      <c r="C628"/>
    </row>
    <row r="629" spans="3:3" x14ac:dyDescent="0.25">
      <c r="C629"/>
    </row>
    <row r="630" spans="3:3" x14ac:dyDescent="0.25">
      <c r="C630"/>
    </row>
    <row r="631" spans="3:3" x14ac:dyDescent="0.25">
      <c r="C631"/>
    </row>
    <row r="632" spans="3:3" x14ac:dyDescent="0.25">
      <c r="C632"/>
    </row>
    <row r="633" spans="3:3" x14ac:dyDescent="0.25">
      <c r="C633"/>
    </row>
    <row r="634" spans="3:3" x14ac:dyDescent="0.25">
      <c r="C634"/>
    </row>
    <row r="635" spans="3:3" x14ac:dyDescent="0.25">
      <c r="C635"/>
    </row>
    <row r="636" spans="3:3" x14ac:dyDescent="0.25">
      <c r="C636"/>
    </row>
    <row r="637" spans="3:3" x14ac:dyDescent="0.25">
      <c r="C637"/>
    </row>
    <row r="638" spans="3:3" x14ac:dyDescent="0.25">
      <c r="C638"/>
    </row>
    <row r="639" spans="3:3" x14ac:dyDescent="0.25">
      <c r="C639"/>
    </row>
    <row r="640" spans="3:3" x14ac:dyDescent="0.25">
      <c r="C640"/>
    </row>
    <row r="641" spans="3:3" x14ac:dyDescent="0.25">
      <c r="C641"/>
    </row>
    <row r="642" spans="3:3" x14ac:dyDescent="0.25">
      <c r="C642"/>
    </row>
    <row r="643" spans="3:3" x14ac:dyDescent="0.25">
      <c r="C643"/>
    </row>
    <row r="644" spans="3:3" x14ac:dyDescent="0.25">
      <c r="C644"/>
    </row>
    <row r="645" spans="3:3" x14ac:dyDescent="0.25">
      <c r="C645"/>
    </row>
    <row r="646" spans="3:3" x14ac:dyDescent="0.25">
      <c r="C646"/>
    </row>
    <row r="647" spans="3:3" x14ac:dyDescent="0.25">
      <c r="C647"/>
    </row>
    <row r="648" spans="3:3" x14ac:dyDescent="0.25">
      <c r="C648"/>
    </row>
    <row r="649" spans="3:3" x14ac:dyDescent="0.25">
      <c r="C649"/>
    </row>
    <row r="650" spans="3:3" x14ac:dyDescent="0.25">
      <c r="C650"/>
    </row>
    <row r="651" spans="3:3" x14ac:dyDescent="0.25">
      <c r="C651"/>
    </row>
    <row r="652" spans="3:3" x14ac:dyDescent="0.25">
      <c r="C652"/>
    </row>
    <row r="653" spans="3:3" x14ac:dyDescent="0.25">
      <c r="C653"/>
    </row>
    <row r="654" spans="3:3" x14ac:dyDescent="0.25">
      <c r="C654"/>
    </row>
    <row r="655" spans="3:3" x14ac:dyDescent="0.25">
      <c r="C655"/>
    </row>
    <row r="656" spans="3:3" x14ac:dyDescent="0.25">
      <c r="C656"/>
    </row>
    <row r="657" spans="3:3" x14ac:dyDescent="0.25">
      <c r="C657"/>
    </row>
    <row r="658" spans="3:3" x14ac:dyDescent="0.25">
      <c r="C658"/>
    </row>
    <row r="659" spans="3:3" x14ac:dyDescent="0.25">
      <c r="C659"/>
    </row>
    <row r="660" spans="3:3" x14ac:dyDescent="0.25">
      <c r="C660"/>
    </row>
    <row r="661" spans="3:3" x14ac:dyDescent="0.25">
      <c r="C661"/>
    </row>
    <row r="662" spans="3:3" x14ac:dyDescent="0.25">
      <c r="C662"/>
    </row>
    <row r="663" spans="3:3" x14ac:dyDescent="0.25">
      <c r="C663"/>
    </row>
    <row r="664" spans="3:3" x14ac:dyDescent="0.25">
      <c r="C664"/>
    </row>
    <row r="665" spans="3:3" x14ac:dyDescent="0.25">
      <c r="C665"/>
    </row>
    <row r="666" spans="3:3" x14ac:dyDescent="0.25">
      <c r="C666"/>
    </row>
    <row r="667" spans="3:3" x14ac:dyDescent="0.25">
      <c r="C667"/>
    </row>
    <row r="668" spans="3:3" x14ac:dyDescent="0.25">
      <c r="C668"/>
    </row>
    <row r="669" spans="3:3" x14ac:dyDescent="0.25">
      <c r="C669"/>
    </row>
    <row r="670" spans="3:3" x14ac:dyDescent="0.25">
      <c r="C670"/>
    </row>
    <row r="671" spans="3:3" x14ac:dyDescent="0.25">
      <c r="C671"/>
    </row>
    <row r="672" spans="3:3" x14ac:dyDescent="0.25">
      <c r="C672"/>
    </row>
    <row r="673" spans="3:3" x14ac:dyDescent="0.25">
      <c r="C673"/>
    </row>
    <row r="674" spans="3:3" x14ac:dyDescent="0.25">
      <c r="C674"/>
    </row>
    <row r="675" spans="3:3" x14ac:dyDescent="0.25">
      <c r="C675"/>
    </row>
    <row r="676" spans="3:3" x14ac:dyDescent="0.25">
      <c r="C676"/>
    </row>
    <row r="677" spans="3:3" x14ac:dyDescent="0.25">
      <c r="C677"/>
    </row>
    <row r="678" spans="3:3" x14ac:dyDescent="0.25">
      <c r="C678"/>
    </row>
    <row r="679" spans="3:3" x14ac:dyDescent="0.25">
      <c r="C679"/>
    </row>
    <row r="680" spans="3:3" x14ac:dyDescent="0.25">
      <c r="C680"/>
    </row>
    <row r="681" spans="3:3" x14ac:dyDescent="0.25">
      <c r="C681"/>
    </row>
    <row r="682" spans="3:3" x14ac:dyDescent="0.25">
      <c r="C682"/>
    </row>
    <row r="683" spans="3:3" x14ac:dyDescent="0.25">
      <c r="C683"/>
    </row>
    <row r="684" spans="3:3" x14ac:dyDescent="0.25">
      <c r="C684"/>
    </row>
    <row r="685" spans="3:3" x14ac:dyDescent="0.25">
      <c r="C685"/>
    </row>
    <row r="686" spans="3:3" x14ac:dyDescent="0.25">
      <c r="C686"/>
    </row>
    <row r="687" spans="3:3" x14ac:dyDescent="0.25">
      <c r="C687"/>
    </row>
    <row r="688" spans="3:3" x14ac:dyDescent="0.25">
      <c r="C688"/>
    </row>
    <row r="689" spans="3:3" x14ac:dyDescent="0.25">
      <c r="C689"/>
    </row>
    <row r="690" spans="3:3" x14ac:dyDescent="0.25">
      <c r="C690"/>
    </row>
    <row r="691" spans="3:3" x14ac:dyDescent="0.25">
      <c r="C691"/>
    </row>
    <row r="692" spans="3:3" x14ac:dyDescent="0.25">
      <c r="C692"/>
    </row>
    <row r="693" spans="3:3" x14ac:dyDescent="0.25">
      <c r="C693"/>
    </row>
    <row r="694" spans="3:3" x14ac:dyDescent="0.25">
      <c r="C694"/>
    </row>
    <row r="695" spans="3:3" x14ac:dyDescent="0.25">
      <c r="C695"/>
    </row>
    <row r="696" spans="3:3" x14ac:dyDescent="0.25">
      <c r="C696"/>
    </row>
    <row r="697" spans="3:3" x14ac:dyDescent="0.25">
      <c r="C697"/>
    </row>
    <row r="698" spans="3:3" x14ac:dyDescent="0.25">
      <c r="C698"/>
    </row>
    <row r="699" spans="3:3" x14ac:dyDescent="0.25">
      <c r="C699"/>
    </row>
    <row r="700" spans="3:3" x14ac:dyDescent="0.25">
      <c r="C700"/>
    </row>
    <row r="701" spans="3:3" x14ac:dyDescent="0.25">
      <c r="C701"/>
    </row>
    <row r="702" spans="3:3" x14ac:dyDescent="0.25">
      <c r="C702"/>
    </row>
    <row r="703" spans="3:3" x14ac:dyDescent="0.25">
      <c r="C703"/>
    </row>
    <row r="704" spans="3:3" x14ac:dyDescent="0.25">
      <c r="C704"/>
    </row>
    <row r="705" spans="3:3" x14ac:dyDescent="0.25">
      <c r="C705"/>
    </row>
    <row r="706" spans="3:3" x14ac:dyDescent="0.25">
      <c r="C706"/>
    </row>
    <row r="707" spans="3:3" x14ac:dyDescent="0.25">
      <c r="C707"/>
    </row>
    <row r="708" spans="3:3" x14ac:dyDescent="0.25">
      <c r="C708"/>
    </row>
    <row r="709" spans="3:3" x14ac:dyDescent="0.25">
      <c r="C709"/>
    </row>
    <row r="710" spans="3:3" x14ac:dyDescent="0.25">
      <c r="C710"/>
    </row>
    <row r="711" spans="3:3" x14ac:dyDescent="0.25">
      <c r="C711"/>
    </row>
    <row r="712" spans="3:3" x14ac:dyDescent="0.25">
      <c r="C712"/>
    </row>
    <row r="713" spans="3:3" x14ac:dyDescent="0.25">
      <c r="C713"/>
    </row>
    <row r="714" spans="3:3" x14ac:dyDescent="0.25">
      <c r="C714"/>
    </row>
    <row r="715" spans="3:3" x14ac:dyDescent="0.25">
      <c r="C715"/>
    </row>
    <row r="716" spans="3:3" x14ac:dyDescent="0.25">
      <c r="C716"/>
    </row>
    <row r="717" spans="3:3" x14ac:dyDescent="0.25">
      <c r="C717"/>
    </row>
    <row r="718" spans="3:3" x14ac:dyDescent="0.25">
      <c r="C718"/>
    </row>
    <row r="719" spans="3:3" x14ac:dyDescent="0.25">
      <c r="C719"/>
    </row>
    <row r="720" spans="3:3" x14ac:dyDescent="0.25">
      <c r="C720"/>
    </row>
    <row r="721" spans="3:3" x14ac:dyDescent="0.25">
      <c r="C721"/>
    </row>
    <row r="722" spans="3:3" x14ac:dyDescent="0.25">
      <c r="C722"/>
    </row>
    <row r="723" spans="3:3" x14ac:dyDescent="0.25">
      <c r="C723"/>
    </row>
    <row r="724" spans="3:3" x14ac:dyDescent="0.25">
      <c r="C724"/>
    </row>
    <row r="725" spans="3:3" x14ac:dyDescent="0.25">
      <c r="C725"/>
    </row>
    <row r="726" spans="3:3" x14ac:dyDescent="0.25">
      <c r="C726"/>
    </row>
    <row r="727" spans="3:3" x14ac:dyDescent="0.25">
      <c r="C727"/>
    </row>
    <row r="728" spans="3:3" x14ac:dyDescent="0.25">
      <c r="C728"/>
    </row>
    <row r="729" spans="3:3" x14ac:dyDescent="0.25">
      <c r="C729"/>
    </row>
    <row r="730" spans="3:3" x14ac:dyDescent="0.25">
      <c r="C730"/>
    </row>
    <row r="731" spans="3:3" x14ac:dyDescent="0.25">
      <c r="C731"/>
    </row>
    <row r="732" spans="3:3" x14ac:dyDescent="0.25">
      <c r="C732"/>
    </row>
    <row r="733" spans="3:3" x14ac:dyDescent="0.25">
      <c r="C733"/>
    </row>
    <row r="734" spans="3:3" x14ac:dyDescent="0.25">
      <c r="C734"/>
    </row>
    <row r="735" spans="3:3" x14ac:dyDescent="0.25">
      <c r="C735"/>
    </row>
    <row r="736" spans="3:3" x14ac:dyDescent="0.25">
      <c r="C736"/>
    </row>
    <row r="737" spans="3:3" x14ac:dyDescent="0.25">
      <c r="C737"/>
    </row>
    <row r="738" spans="3:3" x14ac:dyDescent="0.25">
      <c r="C738"/>
    </row>
    <row r="739" spans="3:3" x14ac:dyDescent="0.25">
      <c r="C739"/>
    </row>
    <row r="740" spans="3:3" x14ac:dyDescent="0.25">
      <c r="C740"/>
    </row>
    <row r="741" spans="3:3" x14ac:dyDescent="0.25">
      <c r="C741"/>
    </row>
    <row r="742" spans="3:3" x14ac:dyDescent="0.25">
      <c r="C742"/>
    </row>
    <row r="743" spans="3:3" x14ac:dyDescent="0.25">
      <c r="C743"/>
    </row>
    <row r="744" spans="3:3" x14ac:dyDescent="0.25">
      <c r="C744"/>
    </row>
    <row r="745" spans="3:3" x14ac:dyDescent="0.25">
      <c r="C745"/>
    </row>
    <row r="746" spans="3:3" x14ac:dyDescent="0.25">
      <c r="C746"/>
    </row>
    <row r="747" spans="3:3" x14ac:dyDescent="0.25">
      <c r="C747"/>
    </row>
    <row r="748" spans="3:3" x14ac:dyDescent="0.25">
      <c r="C748"/>
    </row>
    <row r="749" spans="3:3" x14ac:dyDescent="0.25">
      <c r="C749"/>
    </row>
    <row r="750" spans="3:3" x14ac:dyDescent="0.25">
      <c r="C750"/>
    </row>
    <row r="751" spans="3:3" x14ac:dyDescent="0.25">
      <c r="C751"/>
    </row>
    <row r="752" spans="3:3" x14ac:dyDescent="0.25">
      <c r="C752"/>
    </row>
    <row r="753" spans="3:3" x14ac:dyDescent="0.25">
      <c r="C753"/>
    </row>
    <row r="754" spans="3:3" x14ac:dyDescent="0.25">
      <c r="C754"/>
    </row>
    <row r="755" spans="3:3" x14ac:dyDescent="0.25">
      <c r="C755"/>
    </row>
    <row r="756" spans="3:3" x14ac:dyDescent="0.25">
      <c r="C756"/>
    </row>
    <row r="757" spans="3:3" x14ac:dyDescent="0.25">
      <c r="C757"/>
    </row>
    <row r="758" spans="3:3" x14ac:dyDescent="0.25">
      <c r="C758"/>
    </row>
    <row r="759" spans="3:3" x14ac:dyDescent="0.25">
      <c r="C759"/>
    </row>
    <row r="760" spans="3:3" x14ac:dyDescent="0.25">
      <c r="C760"/>
    </row>
    <row r="761" spans="3:3" x14ac:dyDescent="0.25">
      <c r="C761"/>
    </row>
    <row r="762" spans="3:3" x14ac:dyDescent="0.25">
      <c r="C762"/>
    </row>
    <row r="763" spans="3:3" x14ac:dyDescent="0.25">
      <c r="C763"/>
    </row>
    <row r="764" spans="3:3" x14ac:dyDescent="0.25">
      <c r="C764"/>
    </row>
    <row r="765" spans="3:3" x14ac:dyDescent="0.25">
      <c r="C765"/>
    </row>
    <row r="766" spans="3:3" x14ac:dyDescent="0.25">
      <c r="C766"/>
    </row>
    <row r="767" spans="3:3" x14ac:dyDescent="0.25">
      <c r="C767"/>
    </row>
    <row r="768" spans="3:3" x14ac:dyDescent="0.25">
      <c r="C768"/>
    </row>
    <row r="769" spans="3:3" x14ac:dyDescent="0.25">
      <c r="C769"/>
    </row>
    <row r="770" spans="3:3" x14ac:dyDescent="0.25">
      <c r="C770"/>
    </row>
    <row r="771" spans="3:3" x14ac:dyDescent="0.25">
      <c r="C771"/>
    </row>
    <row r="772" spans="3:3" x14ac:dyDescent="0.25">
      <c r="C772"/>
    </row>
    <row r="773" spans="3:3" x14ac:dyDescent="0.25">
      <c r="C773"/>
    </row>
    <row r="774" spans="3:3" x14ac:dyDescent="0.25">
      <c r="C774"/>
    </row>
    <row r="775" spans="3:3" x14ac:dyDescent="0.25">
      <c r="C775"/>
    </row>
    <row r="776" spans="3:3" x14ac:dyDescent="0.25">
      <c r="C776"/>
    </row>
    <row r="777" spans="3:3" x14ac:dyDescent="0.25">
      <c r="C777"/>
    </row>
    <row r="778" spans="3:3" x14ac:dyDescent="0.25">
      <c r="C778"/>
    </row>
    <row r="779" spans="3:3" x14ac:dyDescent="0.25">
      <c r="C779"/>
    </row>
    <row r="780" spans="3:3" x14ac:dyDescent="0.25">
      <c r="C780"/>
    </row>
    <row r="781" spans="3:3" x14ac:dyDescent="0.25">
      <c r="C781"/>
    </row>
    <row r="782" spans="3:3" x14ac:dyDescent="0.25">
      <c r="C782"/>
    </row>
    <row r="783" spans="3:3" x14ac:dyDescent="0.25">
      <c r="C783"/>
    </row>
    <row r="784" spans="3:3" x14ac:dyDescent="0.25">
      <c r="C784"/>
    </row>
    <row r="785" spans="3:3" x14ac:dyDescent="0.25">
      <c r="C785"/>
    </row>
    <row r="786" spans="3:3" x14ac:dyDescent="0.25">
      <c r="C786"/>
    </row>
    <row r="787" spans="3:3" x14ac:dyDescent="0.25">
      <c r="C787"/>
    </row>
    <row r="788" spans="3:3" x14ac:dyDescent="0.25">
      <c r="C788"/>
    </row>
    <row r="789" spans="3:3" x14ac:dyDescent="0.25">
      <c r="C789"/>
    </row>
    <row r="790" spans="3:3" x14ac:dyDescent="0.25">
      <c r="C790"/>
    </row>
    <row r="791" spans="3:3" x14ac:dyDescent="0.25">
      <c r="C791"/>
    </row>
    <row r="792" spans="3:3" x14ac:dyDescent="0.25">
      <c r="C792"/>
    </row>
    <row r="793" spans="3:3" x14ac:dyDescent="0.25">
      <c r="C793"/>
    </row>
    <row r="794" spans="3:3" x14ac:dyDescent="0.25">
      <c r="C794"/>
    </row>
    <row r="795" spans="3:3" x14ac:dyDescent="0.25">
      <c r="C795"/>
    </row>
    <row r="796" spans="3:3" x14ac:dyDescent="0.25">
      <c r="C796"/>
    </row>
    <row r="797" spans="3:3" x14ac:dyDescent="0.25">
      <c r="C797"/>
    </row>
    <row r="798" spans="3:3" x14ac:dyDescent="0.25">
      <c r="C798"/>
    </row>
    <row r="799" spans="3:3" x14ac:dyDescent="0.25">
      <c r="C799"/>
    </row>
    <row r="800" spans="3:3" x14ac:dyDescent="0.25">
      <c r="C800"/>
    </row>
    <row r="801" spans="3:3" x14ac:dyDescent="0.25">
      <c r="C801"/>
    </row>
    <row r="802" spans="3:3" x14ac:dyDescent="0.25">
      <c r="C802"/>
    </row>
    <row r="803" spans="3:3" x14ac:dyDescent="0.25">
      <c r="C803"/>
    </row>
    <row r="804" spans="3:3" x14ac:dyDescent="0.25">
      <c r="C804"/>
    </row>
    <row r="805" spans="3:3" x14ac:dyDescent="0.25">
      <c r="C805"/>
    </row>
    <row r="806" spans="3:3" x14ac:dyDescent="0.25">
      <c r="C806"/>
    </row>
    <row r="807" spans="3:3" x14ac:dyDescent="0.25">
      <c r="C807"/>
    </row>
    <row r="808" spans="3:3" x14ac:dyDescent="0.25">
      <c r="C808"/>
    </row>
    <row r="809" spans="3:3" x14ac:dyDescent="0.25">
      <c r="C809"/>
    </row>
    <row r="810" spans="3:3" x14ac:dyDescent="0.25">
      <c r="C810"/>
    </row>
    <row r="811" spans="3:3" x14ac:dyDescent="0.25">
      <c r="C811"/>
    </row>
    <row r="812" spans="3:3" x14ac:dyDescent="0.25">
      <c r="C812"/>
    </row>
    <row r="813" spans="3:3" x14ac:dyDescent="0.25">
      <c r="C813"/>
    </row>
    <row r="814" spans="3:3" x14ac:dyDescent="0.25">
      <c r="C814"/>
    </row>
    <row r="815" spans="3:3" x14ac:dyDescent="0.25">
      <c r="C815"/>
    </row>
    <row r="816" spans="3:3" x14ac:dyDescent="0.25">
      <c r="C816"/>
    </row>
    <row r="817" spans="3:3" x14ac:dyDescent="0.25">
      <c r="C817"/>
    </row>
    <row r="818" spans="3:3" x14ac:dyDescent="0.25">
      <c r="C818"/>
    </row>
    <row r="819" spans="3:3" x14ac:dyDescent="0.25">
      <c r="C819"/>
    </row>
    <row r="820" spans="3:3" x14ac:dyDescent="0.25">
      <c r="C820"/>
    </row>
    <row r="821" spans="3:3" x14ac:dyDescent="0.25">
      <c r="C821"/>
    </row>
    <row r="822" spans="3:3" x14ac:dyDescent="0.25">
      <c r="C822"/>
    </row>
    <row r="823" spans="3:3" x14ac:dyDescent="0.25">
      <c r="C823"/>
    </row>
    <row r="824" spans="3:3" x14ac:dyDescent="0.25">
      <c r="C824"/>
    </row>
    <row r="825" spans="3:3" x14ac:dyDescent="0.25">
      <c r="C825"/>
    </row>
    <row r="826" spans="3:3" x14ac:dyDescent="0.25">
      <c r="C826"/>
    </row>
    <row r="827" spans="3:3" x14ac:dyDescent="0.25">
      <c r="C827"/>
    </row>
    <row r="828" spans="3:3" x14ac:dyDescent="0.25">
      <c r="C828"/>
    </row>
    <row r="829" spans="3:3" x14ac:dyDescent="0.25">
      <c r="C829"/>
    </row>
    <row r="830" spans="3:3" x14ac:dyDescent="0.25">
      <c r="C830"/>
    </row>
    <row r="831" spans="3:3" x14ac:dyDescent="0.25">
      <c r="C831"/>
    </row>
    <row r="832" spans="3:3" x14ac:dyDescent="0.25">
      <c r="C832"/>
    </row>
    <row r="833" spans="3:3" x14ac:dyDescent="0.25">
      <c r="C833"/>
    </row>
    <row r="834" spans="3:3" x14ac:dyDescent="0.25">
      <c r="C834"/>
    </row>
    <row r="835" spans="3:3" x14ac:dyDescent="0.25">
      <c r="C835"/>
    </row>
    <row r="836" spans="3:3" x14ac:dyDescent="0.25">
      <c r="C836"/>
    </row>
    <row r="837" spans="3:3" x14ac:dyDescent="0.25">
      <c r="C837"/>
    </row>
    <row r="838" spans="3:3" x14ac:dyDescent="0.25">
      <c r="C838"/>
    </row>
    <row r="839" spans="3:3" x14ac:dyDescent="0.25">
      <c r="C839"/>
    </row>
    <row r="840" spans="3:3" x14ac:dyDescent="0.25">
      <c r="C840"/>
    </row>
    <row r="841" spans="3:3" x14ac:dyDescent="0.25">
      <c r="C841"/>
    </row>
    <row r="842" spans="3:3" x14ac:dyDescent="0.25">
      <c r="C842"/>
    </row>
    <row r="843" spans="3:3" x14ac:dyDescent="0.25">
      <c r="C843"/>
    </row>
    <row r="844" spans="3:3" x14ac:dyDescent="0.25">
      <c r="C844"/>
    </row>
    <row r="845" spans="3:3" x14ac:dyDescent="0.25">
      <c r="C845"/>
    </row>
    <row r="846" spans="3:3" x14ac:dyDescent="0.25">
      <c r="C846"/>
    </row>
    <row r="847" spans="3:3" x14ac:dyDescent="0.25">
      <c r="C847"/>
    </row>
    <row r="848" spans="3:3" x14ac:dyDescent="0.25">
      <c r="C848"/>
    </row>
    <row r="849" spans="3:3" x14ac:dyDescent="0.25">
      <c r="C849"/>
    </row>
    <row r="850" spans="3:3" x14ac:dyDescent="0.25">
      <c r="C850"/>
    </row>
    <row r="851" spans="3:3" x14ac:dyDescent="0.25">
      <c r="C851"/>
    </row>
    <row r="852" spans="3:3" x14ac:dyDescent="0.25">
      <c r="C852"/>
    </row>
    <row r="853" spans="3:3" x14ac:dyDescent="0.25">
      <c r="C853"/>
    </row>
    <row r="854" spans="3:3" x14ac:dyDescent="0.25">
      <c r="C854"/>
    </row>
    <row r="855" spans="3:3" x14ac:dyDescent="0.25">
      <c r="C855"/>
    </row>
    <row r="856" spans="3:3" x14ac:dyDescent="0.25">
      <c r="C856"/>
    </row>
    <row r="857" spans="3:3" x14ac:dyDescent="0.25">
      <c r="C857"/>
    </row>
    <row r="858" spans="3:3" x14ac:dyDescent="0.25">
      <c r="C858"/>
    </row>
    <row r="859" spans="3:3" x14ac:dyDescent="0.25">
      <c r="C859"/>
    </row>
    <row r="860" spans="3:3" x14ac:dyDescent="0.25">
      <c r="C860"/>
    </row>
    <row r="861" spans="3:3" x14ac:dyDescent="0.25">
      <c r="C861"/>
    </row>
    <row r="862" spans="3:3" x14ac:dyDescent="0.25">
      <c r="C862"/>
    </row>
    <row r="863" spans="3:3" x14ac:dyDescent="0.25">
      <c r="C863"/>
    </row>
    <row r="864" spans="3:3" x14ac:dyDescent="0.25">
      <c r="C864"/>
    </row>
    <row r="865" spans="3:3" x14ac:dyDescent="0.25">
      <c r="C865"/>
    </row>
    <row r="866" spans="3:3" x14ac:dyDescent="0.25">
      <c r="C866"/>
    </row>
    <row r="867" spans="3:3" x14ac:dyDescent="0.25">
      <c r="C867"/>
    </row>
    <row r="868" spans="3:3" x14ac:dyDescent="0.25">
      <c r="C868"/>
    </row>
    <row r="869" spans="3:3" x14ac:dyDescent="0.25">
      <c r="C869"/>
    </row>
    <row r="870" spans="3:3" x14ac:dyDescent="0.25">
      <c r="C870"/>
    </row>
    <row r="871" spans="3:3" x14ac:dyDescent="0.25">
      <c r="C871"/>
    </row>
    <row r="872" spans="3:3" x14ac:dyDescent="0.25">
      <c r="C872"/>
    </row>
    <row r="873" spans="3:3" x14ac:dyDescent="0.25">
      <c r="C873"/>
    </row>
    <row r="874" spans="3:3" x14ac:dyDescent="0.25">
      <c r="C874"/>
    </row>
    <row r="875" spans="3:3" x14ac:dyDescent="0.25">
      <c r="C875"/>
    </row>
    <row r="876" spans="3:3" x14ac:dyDescent="0.25">
      <c r="C876"/>
    </row>
    <row r="877" spans="3:3" x14ac:dyDescent="0.25">
      <c r="C877"/>
    </row>
    <row r="878" spans="3:3" x14ac:dyDescent="0.25">
      <c r="C878"/>
    </row>
    <row r="879" spans="3:3" x14ac:dyDescent="0.25">
      <c r="C879"/>
    </row>
    <row r="880" spans="3:3" x14ac:dyDescent="0.25">
      <c r="C880"/>
    </row>
    <row r="881" spans="3:3" x14ac:dyDescent="0.25">
      <c r="C881"/>
    </row>
    <row r="882" spans="3:3" x14ac:dyDescent="0.25">
      <c r="C882"/>
    </row>
    <row r="883" spans="3:3" x14ac:dyDescent="0.25">
      <c r="C883"/>
    </row>
    <row r="884" spans="3:3" x14ac:dyDescent="0.25">
      <c r="C884"/>
    </row>
    <row r="885" spans="3:3" x14ac:dyDescent="0.25">
      <c r="C885"/>
    </row>
    <row r="886" spans="3:3" x14ac:dyDescent="0.25">
      <c r="C886"/>
    </row>
    <row r="887" spans="3:3" x14ac:dyDescent="0.25">
      <c r="C887"/>
    </row>
    <row r="888" spans="3:3" x14ac:dyDescent="0.25">
      <c r="C888"/>
    </row>
    <row r="889" spans="3:3" x14ac:dyDescent="0.25">
      <c r="C889"/>
    </row>
    <row r="890" spans="3:3" x14ac:dyDescent="0.25">
      <c r="C890"/>
    </row>
    <row r="891" spans="3:3" x14ac:dyDescent="0.25">
      <c r="C891"/>
    </row>
    <row r="892" spans="3:3" x14ac:dyDescent="0.25">
      <c r="C892"/>
    </row>
    <row r="893" spans="3:3" x14ac:dyDescent="0.25">
      <c r="C893"/>
    </row>
    <row r="894" spans="3:3" x14ac:dyDescent="0.25">
      <c r="C894"/>
    </row>
    <row r="895" spans="3:3" x14ac:dyDescent="0.25">
      <c r="C895"/>
    </row>
    <row r="896" spans="3:3" x14ac:dyDescent="0.25">
      <c r="C896"/>
    </row>
    <row r="897" spans="3:3" x14ac:dyDescent="0.25">
      <c r="C897"/>
    </row>
    <row r="898" spans="3:3" x14ac:dyDescent="0.25">
      <c r="C898"/>
    </row>
    <row r="899" spans="3:3" x14ac:dyDescent="0.25">
      <c r="C899"/>
    </row>
    <row r="900" spans="3:3" x14ac:dyDescent="0.25">
      <c r="C900"/>
    </row>
    <row r="901" spans="3:3" x14ac:dyDescent="0.25">
      <c r="C901"/>
    </row>
    <row r="902" spans="3:3" x14ac:dyDescent="0.25">
      <c r="C902"/>
    </row>
    <row r="903" spans="3:3" x14ac:dyDescent="0.25">
      <c r="C903"/>
    </row>
    <row r="904" spans="3:3" x14ac:dyDescent="0.25">
      <c r="C904"/>
    </row>
    <row r="905" spans="3:3" x14ac:dyDescent="0.25">
      <c r="C905"/>
    </row>
    <row r="906" spans="3:3" x14ac:dyDescent="0.25">
      <c r="C906"/>
    </row>
    <row r="907" spans="3:3" x14ac:dyDescent="0.25">
      <c r="C907"/>
    </row>
    <row r="908" spans="3:3" x14ac:dyDescent="0.25">
      <c r="C908"/>
    </row>
    <row r="909" spans="3:3" x14ac:dyDescent="0.25">
      <c r="C909"/>
    </row>
    <row r="910" spans="3:3" x14ac:dyDescent="0.25">
      <c r="C910"/>
    </row>
    <row r="911" spans="3:3" x14ac:dyDescent="0.25">
      <c r="C911"/>
    </row>
    <row r="912" spans="3:3" x14ac:dyDescent="0.25">
      <c r="C912"/>
    </row>
    <row r="913" spans="3:3" x14ac:dyDescent="0.25">
      <c r="C913"/>
    </row>
    <row r="914" spans="3:3" x14ac:dyDescent="0.25">
      <c r="C914"/>
    </row>
    <row r="915" spans="3:3" x14ac:dyDescent="0.25">
      <c r="C915"/>
    </row>
    <row r="916" spans="3:3" x14ac:dyDescent="0.25">
      <c r="C916"/>
    </row>
    <row r="917" spans="3:3" x14ac:dyDescent="0.25">
      <c r="C917"/>
    </row>
    <row r="918" spans="3:3" x14ac:dyDescent="0.25">
      <c r="C918"/>
    </row>
    <row r="919" spans="3:3" x14ac:dyDescent="0.25">
      <c r="C919"/>
    </row>
    <row r="920" spans="3:3" x14ac:dyDescent="0.25">
      <c r="C920"/>
    </row>
    <row r="921" spans="3:3" x14ac:dyDescent="0.25">
      <c r="C921"/>
    </row>
    <row r="922" spans="3:3" x14ac:dyDescent="0.25">
      <c r="C922"/>
    </row>
    <row r="923" spans="3:3" x14ac:dyDescent="0.25">
      <c r="C923"/>
    </row>
    <row r="924" spans="3:3" x14ac:dyDescent="0.25">
      <c r="C924"/>
    </row>
    <row r="925" spans="3:3" x14ac:dyDescent="0.25">
      <c r="C925"/>
    </row>
    <row r="926" spans="3:3" x14ac:dyDescent="0.25">
      <c r="C926"/>
    </row>
    <row r="927" spans="3:3" x14ac:dyDescent="0.25">
      <c r="C927"/>
    </row>
    <row r="928" spans="3:3" x14ac:dyDescent="0.25">
      <c r="C928"/>
    </row>
    <row r="929" spans="3:3" x14ac:dyDescent="0.25">
      <c r="C929"/>
    </row>
    <row r="930" spans="3:3" x14ac:dyDescent="0.25">
      <c r="C930"/>
    </row>
    <row r="931" spans="3:3" x14ac:dyDescent="0.25">
      <c r="C931"/>
    </row>
    <row r="932" spans="3:3" x14ac:dyDescent="0.25">
      <c r="C932"/>
    </row>
    <row r="933" spans="3:3" x14ac:dyDescent="0.25">
      <c r="C933"/>
    </row>
    <row r="934" spans="3:3" x14ac:dyDescent="0.25">
      <c r="C934"/>
    </row>
    <row r="935" spans="3:3" x14ac:dyDescent="0.25">
      <c r="C935"/>
    </row>
    <row r="936" spans="3:3" x14ac:dyDescent="0.25">
      <c r="C936"/>
    </row>
    <row r="937" spans="3:3" x14ac:dyDescent="0.25">
      <c r="C937"/>
    </row>
    <row r="938" spans="3:3" x14ac:dyDescent="0.25">
      <c r="C938"/>
    </row>
    <row r="939" spans="3:3" x14ac:dyDescent="0.25">
      <c r="C939"/>
    </row>
    <row r="940" spans="3:3" x14ac:dyDescent="0.25">
      <c r="C940"/>
    </row>
    <row r="941" spans="3:3" x14ac:dyDescent="0.25">
      <c r="C941"/>
    </row>
    <row r="942" spans="3:3" x14ac:dyDescent="0.25">
      <c r="C942"/>
    </row>
    <row r="943" spans="3:3" x14ac:dyDescent="0.25">
      <c r="C943"/>
    </row>
    <row r="944" spans="3:3" x14ac:dyDescent="0.25">
      <c r="C944"/>
    </row>
    <row r="945" spans="3:3" x14ac:dyDescent="0.25">
      <c r="C945"/>
    </row>
    <row r="946" spans="3:3" x14ac:dyDescent="0.25">
      <c r="C946"/>
    </row>
    <row r="947" spans="3:3" x14ac:dyDescent="0.25">
      <c r="C947"/>
    </row>
    <row r="948" spans="3:3" x14ac:dyDescent="0.25">
      <c r="C948"/>
    </row>
    <row r="949" spans="3:3" x14ac:dyDescent="0.25">
      <c r="C949"/>
    </row>
    <row r="950" spans="3:3" x14ac:dyDescent="0.25">
      <c r="C950"/>
    </row>
    <row r="951" spans="3:3" x14ac:dyDescent="0.25">
      <c r="C951"/>
    </row>
    <row r="952" spans="3:3" x14ac:dyDescent="0.25">
      <c r="C952"/>
    </row>
    <row r="953" spans="3:3" x14ac:dyDescent="0.25">
      <c r="C953"/>
    </row>
    <row r="954" spans="3:3" x14ac:dyDescent="0.25">
      <c r="C954"/>
    </row>
    <row r="955" spans="3:3" x14ac:dyDescent="0.25">
      <c r="C955"/>
    </row>
    <row r="956" spans="3:3" x14ac:dyDescent="0.25">
      <c r="C956"/>
    </row>
    <row r="957" spans="3:3" x14ac:dyDescent="0.25">
      <c r="C957"/>
    </row>
    <row r="958" spans="3:3" x14ac:dyDescent="0.25">
      <c r="C958"/>
    </row>
    <row r="959" spans="3:3" x14ac:dyDescent="0.25">
      <c r="C959"/>
    </row>
    <row r="960" spans="3:3" x14ac:dyDescent="0.25">
      <c r="C960"/>
    </row>
    <row r="961" spans="3:3" x14ac:dyDescent="0.25">
      <c r="C961"/>
    </row>
    <row r="962" spans="3:3" x14ac:dyDescent="0.25">
      <c r="C962"/>
    </row>
    <row r="963" spans="3:3" x14ac:dyDescent="0.25">
      <c r="C963"/>
    </row>
    <row r="964" spans="3:3" x14ac:dyDescent="0.25">
      <c r="C964"/>
    </row>
    <row r="965" spans="3:3" x14ac:dyDescent="0.25">
      <c r="C965"/>
    </row>
    <row r="966" spans="3:3" x14ac:dyDescent="0.25">
      <c r="C966"/>
    </row>
    <row r="967" spans="3:3" x14ac:dyDescent="0.25">
      <c r="C967"/>
    </row>
    <row r="968" spans="3:3" x14ac:dyDescent="0.25">
      <c r="C968"/>
    </row>
    <row r="969" spans="3:3" x14ac:dyDescent="0.25">
      <c r="C969"/>
    </row>
    <row r="970" spans="3:3" x14ac:dyDescent="0.25">
      <c r="C970"/>
    </row>
    <row r="971" spans="3:3" x14ac:dyDescent="0.25">
      <c r="C971"/>
    </row>
    <row r="972" spans="3:3" x14ac:dyDescent="0.25">
      <c r="C972"/>
    </row>
    <row r="973" spans="3:3" x14ac:dyDescent="0.25">
      <c r="C973"/>
    </row>
    <row r="974" spans="3:3" x14ac:dyDescent="0.25">
      <c r="C974"/>
    </row>
    <row r="975" spans="3:3" x14ac:dyDescent="0.25">
      <c r="C975"/>
    </row>
    <row r="976" spans="3:3" x14ac:dyDescent="0.25">
      <c r="C976"/>
    </row>
    <row r="977" spans="3:3" x14ac:dyDescent="0.25">
      <c r="C977"/>
    </row>
    <row r="978" spans="3:3" x14ac:dyDescent="0.25">
      <c r="C978"/>
    </row>
    <row r="979" spans="3:3" x14ac:dyDescent="0.25">
      <c r="C979"/>
    </row>
    <row r="980" spans="3:3" x14ac:dyDescent="0.25">
      <c r="C980"/>
    </row>
    <row r="981" spans="3:3" x14ac:dyDescent="0.25">
      <c r="C981"/>
    </row>
    <row r="982" spans="3:3" x14ac:dyDescent="0.25">
      <c r="C982"/>
    </row>
    <row r="983" spans="3:3" x14ac:dyDescent="0.25">
      <c r="C983"/>
    </row>
    <row r="984" spans="3:3" x14ac:dyDescent="0.25">
      <c r="C984"/>
    </row>
    <row r="985" spans="3:3" x14ac:dyDescent="0.25">
      <c r="C985"/>
    </row>
    <row r="986" spans="3:3" x14ac:dyDescent="0.25">
      <c r="C986"/>
    </row>
    <row r="987" spans="3:3" x14ac:dyDescent="0.25">
      <c r="C987"/>
    </row>
    <row r="988" spans="3:3" x14ac:dyDescent="0.25">
      <c r="C988"/>
    </row>
    <row r="989" spans="3:3" x14ac:dyDescent="0.25">
      <c r="C989"/>
    </row>
    <row r="990" spans="3:3" x14ac:dyDescent="0.25">
      <c r="C990"/>
    </row>
    <row r="991" spans="3:3" x14ac:dyDescent="0.25">
      <c r="C991"/>
    </row>
    <row r="992" spans="3:3" x14ac:dyDescent="0.25">
      <c r="C992"/>
    </row>
    <row r="993" spans="3:3" x14ac:dyDescent="0.25">
      <c r="C993"/>
    </row>
    <row r="994" spans="3:3" x14ac:dyDescent="0.25">
      <c r="C994"/>
    </row>
    <row r="995" spans="3:3" x14ac:dyDescent="0.25">
      <c r="C995"/>
    </row>
    <row r="996" spans="3:3" x14ac:dyDescent="0.25">
      <c r="C996"/>
    </row>
    <row r="997" spans="3:3" x14ac:dyDescent="0.25">
      <c r="C997"/>
    </row>
    <row r="998" spans="3:3" x14ac:dyDescent="0.25">
      <c r="C998"/>
    </row>
    <row r="999" spans="3:3" x14ac:dyDescent="0.25">
      <c r="C999"/>
    </row>
    <row r="1000" spans="3:3" x14ac:dyDescent="0.25">
      <c r="C1000"/>
    </row>
    <row r="1001" spans="3:3" x14ac:dyDescent="0.25">
      <c r="C1001"/>
    </row>
    <row r="1002" spans="3:3" x14ac:dyDescent="0.25">
      <c r="C1002"/>
    </row>
    <row r="1003" spans="3:3" x14ac:dyDescent="0.25">
      <c r="C1003"/>
    </row>
    <row r="1004" spans="3:3" x14ac:dyDescent="0.25">
      <c r="C1004"/>
    </row>
    <row r="1005" spans="3:3" x14ac:dyDescent="0.25">
      <c r="C1005"/>
    </row>
    <row r="1006" spans="3:3" x14ac:dyDescent="0.25">
      <c r="C1006"/>
    </row>
    <row r="1007" spans="3:3" x14ac:dyDescent="0.25">
      <c r="C1007"/>
    </row>
    <row r="1008" spans="3:3" x14ac:dyDescent="0.25">
      <c r="C1008"/>
    </row>
    <row r="1009" spans="3:3" x14ac:dyDescent="0.25">
      <c r="C1009"/>
    </row>
    <row r="1010" spans="3:3" x14ac:dyDescent="0.25">
      <c r="C1010"/>
    </row>
    <row r="1011" spans="3:3" x14ac:dyDescent="0.25">
      <c r="C1011"/>
    </row>
    <row r="1012" spans="3:3" x14ac:dyDescent="0.25">
      <c r="C1012"/>
    </row>
    <row r="1013" spans="3:3" x14ac:dyDescent="0.25">
      <c r="C1013"/>
    </row>
    <row r="1014" spans="3:3" x14ac:dyDescent="0.25">
      <c r="C1014"/>
    </row>
    <row r="1015" spans="3:3" x14ac:dyDescent="0.25">
      <c r="C1015"/>
    </row>
    <row r="1016" spans="3:3" x14ac:dyDescent="0.25">
      <c r="C1016"/>
    </row>
    <row r="1017" spans="3:3" x14ac:dyDescent="0.25">
      <c r="C1017"/>
    </row>
    <row r="1018" spans="3:3" x14ac:dyDescent="0.25">
      <c r="C1018"/>
    </row>
    <row r="1019" spans="3:3" x14ac:dyDescent="0.25">
      <c r="C1019"/>
    </row>
    <row r="1020" spans="3:3" x14ac:dyDescent="0.25">
      <c r="C1020"/>
    </row>
    <row r="1021" spans="3:3" x14ac:dyDescent="0.25">
      <c r="C1021"/>
    </row>
    <row r="1022" spans="3:3" x14ac:dyDescent="0.25">
      <c r="C1022"/>
    </row>
    <row r="1023" spans="3:3" x14ac:dyDescent="0.25">
      <c r="C1023"/>
    </row>
    <row r="1024" spans="3:3" x14ac:dyDescent="0.25">
      <c r="C1024"/>
    </row>
    <row r="1025" spans="3:3" x14ac:dyDescent="0.25">
      <c r="C1025"/>
    </row>
    <row r="1026" spans="3:3" x14ac:dyDescent="0.25">
      <c r="C1026"/>
    </row>
    <row r="1027" spans="3:3" x14ac:dyDescent="0.25">
      <c r="C1027"/>
    </row>
    <row r="1028" spans="3:3" x14ac:dyDescent="0.25">
      <c r="C1028"/>
    </row>
    <row r="1029" spans="3:3" x14ac:dyDescent="0.25">
      <c r="C1029"/>
    </row>
    <row r="1030" spans="3:3" x14ac:dyDescent="0.25">
      <c r="C1030"/>
    </row>
    <row r="1031" spans="3:3" x14ac:dyDescent="0.25">
      <c r="C1031"/>
    </row>
    <row r="1032" spans="3:3" x14ac:dyDescent="0.25">
      <c r="C1032"/>
    </row>
    <row r="1033" spans="3:3" x14ac:dyDescent="0.25">
      <c r="C1033"/>
    </row>
    <row r="1034" spans="3:3" x14ac:dyDescent="0.25">
      <c r="C1034"/>
    </row>
    <row r="1035" spans="3:3" x14ac:dyDescent="0.25">
      <c r="C1035"/>
    </row>
    <row r="1036" spans="3:3" x14ac:dyDescent="0.25">
      <c r="C1036"/>
    </row>
    <row r="1037" spans="3:3" x14ac:dyDescent="0.25">
      <c r="C1037"/>
    </row>
    <row r="1038" spans="3:3" x14ac:dyDescent="0.25">
      <c r="C1038"/>
    </row>
    <row r="1039" spans="3:3" x14ac:dyDescent="0.25">
      <c r="C1039"/>
    </row>
    <row r="1040" spans="3:3" x14ac:dyDescent="0.25">
      <c r="C1040"/>
    </row>
    <row r="1041" spans="3:3" x14ac:dyDescent="0.25">
      <c r="C1041"/>
    </row>
    <row r="1042" spans="3:3" x14ac:dyDescent="0.25">
      <c r="C1042"/>
    </row>
    <row r="1043" spans="3:3" x14ac:dyDescent="0.25">
      <c r="C1043"/>
    </row>
    <row r="1044" spans="3:3" x14ac:dyDescent="0.25">
      <c r="C1044"/>
    </row>
    <row r="1045" spans="3:3" x14ac:dyDescent="0.25">
      <c r="C1045"/>
    </row>
    <row r="1046" spans="3:3" x14ac:dyDescent="0.25">
      <c r="C1046"/>
    </row>
    <row r="1047" spans="3:3" x14ac:dyDescent="0.25">
      <c r="C1047"/>
    </row>
    <row r="1048" spans="3:3" x14ac:dyDescent="0.25">
      <c r="C1048"/>
    </row>
    <row r="1049" spans="3:3" x14ac:dyDescent="0.25">
      <c r="C1049"/>
    </row>
    <row r="1050" spans="3:3" x14ac:dyDescent="0.25">
      <c r="C1050"/>
    </row>
    <row r="1051" spans="3:3" x14ac:dyDescent="0.25">
      <c r="C1051"/>
    </row>
    <row r="1052" spans="3:3" x14ac:dyDescent="0.25">
      <c r="C1052"/>
    </row>
    <row r="1053" spans="3:3" x14ac:dyDescent="0.25">
      <c r="C1053"/>
    </row>
    <row r="1054" spans="3:3" x14ac:dyDescent="0.25">
      <c r="C1054"/>
    </row>
    <row r="1055" spans="3:3" x14ac:dyDescent="0.25">
      <c r="C1055"/>
    </row>
    <row r="1056" spans="3:3" x14ac:dyDescent="0.25">
      <c r="C1056"/>
    </row>
    <row r="1057" spans="3:3" x14ac:dyDescent="0.25">
      <c r="C1057"/>
    </row>
    <row r="1058" spans="3:3" x14ac:dyDescent="0.25">
      <c r="C1058"/>
    </row>
    <row r="1059" spans="3:3" x14ac:dyDescent="0.25">
      <c r="C1059"/>
    </row>
    <row r="1060" spans="3:3" x14ac:dyDescent="0.25">
      <c r="C1060"/>
    </row>
    <row r="1061" spans="3:3" x14ac:dyDescent="0.25">
      <c r="C1061"/>
    </row>
    <row r="1062" spans="3:3" x14ac:dyDescent="0.25">
      <c r="C1062"/>
    </row>
    <row r="1063" spans="3:3" x14ac:dyDescent="0.25">
      <c r="C1063"/>
    </row>
    <row r="1064" spans="3:3" x14ac:dyDescent="0.25">
      <c r="C1064"/>
    </row>
    <row r="1065" spans="3:3" x14ac:dyDescent="0.25">
      <c r="C1065"/>
    </row>
    <row r="1066" spans="3:3" x14ac:dyDescent="0.25">
      <c r="C1066"/>
    </row>
    <row r="1067" spans="3:3" x14ac:dyDescent="0.25">
      <c r="C1067"/>
    </row>
    <row r="1068" spans="3:3" x14ac:dyDescent="0.25">
      <c r="C1068"/>
    </row>
    <row r="1069" spans="3:3" x14ac:dyDescent="0.25">
      <c r="C1069"/>
    </row>
    <row r="1070" spans="3:3" x14ac:dyDescent="0.25">
      <c r="C1070"/>
    </row>
    <row r="1071" spans="3:3" x14ac:dyDescent="0.25">
      <c r="C1071"/>
    </row>
    <row r="1072" spans="3:3" x14ac:dyDescent="0.25">
      <c r="C1072"/>
    </row>
    <row r="1073" spans="3:3" x14ac:dyDescent="0.25">
      <c r="C1073"/>
    </row>
    <row r="1074" spans="3:3" x14ac:dyDescent="0.25">
      <c r="C1074"/>
    </row>
    <row r="1075" spans="3:3" x14ac:dyDescent="0.25">
      <c r="C1075"/>
    </row>
    <row r="1076" spans="3:3" x14ac:dyDescent="0.25">
      <c r="C1076"/>
    </row>
    <row r="1077" spans="3:3" x14ac:dyDescent="0.25">
      <c r="C1077"/>
    </row>
    <row r="1078" spans="3:3" x14ac:dyDescent="0.25">
      <c r="C1078"/>
    </row>
    <row r="1079" spans="3:3" x14ac:dyDescent="0.25">
      <c r="C1079"/>
    </row>
    <row r="1080" spans="3:3" x14ac:dyDescent="0.25">
      <c r="C1080"/>
    </row>
    <row r="1081" spans="3:3" x14ac:dyDescent="0.25">
      <c r="C1081"/>
    </row>
    <row r="1082" spans="3:3" x14ac:dyDescent="0.25">
      <c r="C1082"/>
    </row>
    <row r="1083" spans="3:3" x14ac:dyDescent="0.25">
      <c r="C1083"/>
    </row>
    <row r="1084" spans="3:3" x14ac:dyDescent="0.25">
      <c r="C1084"/>
    </row>
    <row r="1085" spans="3:3" x14ac:dyDescent="0.25">
      <c r="C1085"/>
    </row>
    <row r="1086" spans="3:3" x14ac:dyDescent="0.25">
      <c r="C1086"/>
    </row>
    <row r="1087" spans="3:3" x14ac:dyDescent="0.25">
      <c r="C1087"/>
    </row>
    <row r="1088" spans="3:3" x14ac:dyDescent="0.25">
      <c r="C1088"/>
    </row>
    <row r="1089" spans="3:3" x14ac:dyDescent="0.25">
      <c r="C1089"/>
    </row>
    <row r="1090" spans="3:3" x14ac:dyDescent="0.25">
      <c r="C1090"/>
    </row>
    <row r="1091" spans="3:3" x14ac:dyDescent="0.25">
      <c r="C1091"/>
    </row>
    <row r="1092" spans="3:3" x14ac:dyDescent="0.25">
      <c r="C1092"/>
    </row>
    <row r="1093" spans="3:3" x14ac:dyDescent="0.25">
      <c r="C1093"/>
    </row>
    <row r="1094" spans="3:3" x14ac:dyDescent="0.25">
      <c r="C1094"/>
    </row>
    <row r="1095" spans="3:3" x14ac:dyDescent="0.25">
      <c r="C1095"/>
    </row>
    <row r="1096" spans="3:3" x14ac:dyDescent="0.25">
      <c r="C1096"/>
    </row>
    <row r="1097" spans="3:3" x14ac:dyDescent="0.25">
      <c r="C1097"/>
    </row>
    <row r="1098" spans="3:3" x14ac:dyDescent="0.25">
      <c r="C1098"/>
    </row>
    <row r="1099" spans="3:3" x14ac:dyDescent="0.25">
      <c r="C1099"/>
    </row>
    <row r="1100" spans="3:3" x14ac:dyDescent="0.25">
      <c r="C1100"/>
    </row>
    <row r="1101" spans="3:3" x14ac:dyDescent="0.25">
      <c r="C1101"/>
    </row>
    <row r="1102" spans="3:3" x14ac:dyDescent="0.25">
      <c r="C1102"/>
    </row>
    <row r="1103" spans="3:3" x14ac:dyDescent="0.25">
      <c r="C1103"/>
    </row>
    <row r="1104" spans="3:3" x14ac:dyDescent="0.25">
      <c r="C1104"/>
    </row>
    <row r="1105" spans="3:3" x14ac:dyDescent="0.25">
      <c r="C1105"/>
    </row>
    <row r="1106" spans="3:3" x14ac:dyDescent="0.25">
      <c r="C1106"/>
    </row>
    <row r="1107" spans="3:3" x14ac:dyDescent="0.25">
      <c r="C1107"/>
    </row>
    <row r="1108" spans="3:3" x14ac:dyDescent="0.25">
      <c r="C1108"/>
    </row>
    <row r="1109" spans="3:3" x14ac:dyDescent="0.25">
      <c r="C1109"/>
    </row>
    <row r="1110" spans="3:3" x14ac:dyDescent="0.25">
      <c r="C1110"/>
    </row>
    <row r="1111" spans="3:3" x14ac:dyDescent="0.25">
      <c r="C1111"/>
    </row>
    <row r="1112" spans="3:3" x14ac:dyDescent="0.25">
      <c r="C1112"/>
    </row>
    <row r="1113" spans="3:3" x14ac:dyDescent="0.25">
      <c r="C1113"/>
    </row>
    <row r="1114" spans="3:3" x14ac:dyDescent="0.25">
      <c r="C1114"/>
    </row>
    <row r="1115" spans="3:3" x14ac:dyDescent="0.25">
      <c r="C1115"/>
    </row>
    <row r="1116" spans="3:3" x14ac:dyDescent="0.25">
      <c r="C1116"/>
    </row>
    <row r="1117" spans="3:3" x14ac:dyDescent="0.25">
      <c r="C1117"/>
    </row>
    <row r="1118" spans="3:3" x14ac:dyDescent="0.25">
      <c r="C1118"/>
    </row>
    <row r="1119" spans="3:3" x14ac:dyDescent="0.25">
      <c r="C1119"/>
    </row>
    <row r="1120" spans="3:3" x14ac:dyDescent="0.25">
      <c r="C1120"/>
    </row>
    <row r="1121" spans="3:3" x14ac:dyDescent="0.25">
      <c r="C1121"/>
    </row>
    <row r="1122" spans="3:3" x14ac:dyDescent="0.25">
      <c r="C1122"/>
    </row>
    <row r="1123" spans="3:3" x14ac:dyDescent="0.25">
      <c r="C1123"/>
    </row>
    <row r="1124" spans="3:3" x14ac:dyDescent="0.25">
      <c r="C1124"/>
    </row>
    <row r="1125" spans="3:3" x14ac:dyDescent="0.25">
      <c r="C1125"/>
    </row>
    <row r="1126" spans="3:3" x14ac:dyDescent="0.25">
      <c r="C1126"/>
    </row>
    <row r="1127" spans="3:3" x14ac:dyDescent="0.25">
      <c r="C1127"/>
    </row>
    <row r="1128" spans="3:3" x14ac:dyDescent="0.25">
      <c r="C1128"/>
    </row>
    <row r="1129" spans="3:3" x14ac:dyDescent="0.25">
      <c r="C1129"/>
    </row>
    <row r="1130" spans="3:3" x14ac:dyDescent="0.25">
      <c r="C1130"/>
    </row>
    <row r="1131" spans="3:3" x14ac:dyDescent="0.25">
      <c r="C1131"/>
    </row>
    <row r="1132" spans="3:3" x14ac:dyDescent="0.25">
      <c r="C1132"/>
    </row>
    <row r="1133" spans="3:3" x14ac:dyDescent="0.25">
      <c r="C1133"/>
    </row>
    <row r="1134" spans="3:3" x14ac:dyDescent="0.25">
      <c r="C1134"/>
    </row>
    <row r="1135" spans="3:3" x14ac:dyDescent="0.25">
      <c r="C1135"/>
    </row>
    <row r="1136" spans="3:3" x14ac:dyDescent="0.25">
      <c r="C1136"/>
    </row>
    <row r="1137" spans="3:3" x14ac:dyDescent="0.25">
      <c r="C1137"/>
    </row>
    <row r="1138" spans="3:3" x14ac:dyDescent="0.25">
      <c r="C1138"/>
    </row>
    <row r="1139" spans="3:3" x14ac:dyDescent="0.25">
      <c r="C1139"/>
    </row>
    <row r="1140" spans="3:3" x14ac:dyDescent="0.25">
      <c r="C1140"/>
    </row>
    <row r="1141" spans="3:3" x14ac:dyDescent="0.25">
      <c r="C1141"/>
    </row>
    <row r="1142" spans="3:3" x14ac:dyDescent="0.25">
      <c r="C1142"/>
    </row>
    <row r="1143" spans="3:3" x14ac:dyDescent="0.25">
      <c r="C1143"/>
    </row>
    <row r="1144" spans="3:3" x14ac:dyDescent="0.25">
      <c r="C1144"/>
    </row>
    <row r="1145" spans="3:3" x14ac:dyDescent="0.25">
      <c r="C1145"/>
    </row>
    <row r="1146" spans="3:3" x14ac:dyDescent="0.25">
      <c r="C1146"/>
    </row>
    <row r="1147" spans="3:3" x14ac:dyDescent="0.25">
      <c r="C1147"/>
    </row>
    <row r="1148" spans="3:3" x14ac:dyDescent="0.25">
      <c r="C1148"/>
    </row>
    <row r="1149" spans="3:3" x14ac:dyDescent="0.25">
      <c r="C1149"/>
    </row>
    <row r="1150" spans="3:3" x14ac:dyDescent="0.25">
      <c r="C1150"/>
    </row>
    <row r="1151" spans="3:3" x14ac:dyDescent="0.25">
      <c r="C1151"/>
    </row>
    <row r="1152" spans="3:3" x14ac:dyDescent="0.25">
      <c r="C1152"/>
    </row>
    <row r="1153" spans="3:3" x14ac:dyDescent="0.25">
      <c r="C1153"/>
    </row>
    <row r="1154" spans="3:3" x14ac:dyDescent="0.25">
      <c r="C1154"/>
    </row>
    <row r="1155" spans="3:3" x14ac:dyDescent="0.25">
      <c r="C1155"/>
    </row>
    <row r="1156" spans="3:3" x14ac:dyDescent="0.25">
      <c r="C1156"/>
    </row>
    <row r="1157" spans="3:3" x14ac:dyDescent="0.25">
      <c r="C1157"/>
    </row>
    <row r="1158" spans="3:3" x14ac:dyDescent="0.25">
      <c r="C1158"/>
    </row>
    <row r="1159" spans="3:3" x14ac:dyDescent="0.25">
      <c r="C1159"/>
    </row>
    <row r="1160" spans="3:3" x14ac:dyDescent="0.25">
      <c r="C1160"/>
    </row>
    <row r="1161" spans="3:3" x14ac:dyDescent="0.25">
      <c r="C1161"/>
    </row>
    <row r="1162" spans="3:3" x14ac:dyDescent="0.25">
      <c r="C1162"/>
    </row>
    <row r="1163" spans="3:3" x14ac:dyDescent="0.25">
      <c r="C1163"/>
    </row>
    <row r="1164" spans="3:3" x14ac:dyDescent="0.25">
      <c r="C1164"/>
    </row>
    <row r="1165" spans="3:3" x14ac:dyDescent="0.25">
      <c r="C1165"/>
    </row>
    <row r="1166" spans="3:3" x14ac:dyDescent="0.25">
      <c r="C1166"/>
    </row>
    <row r="1167" spans="3:3" x14ac:dyDescent="0.25">
      <c r="C1167"/>
    </row>
    <row r="1168" spans="3:3" x14ac:dyDescent="0.25">
      <c r="C1168"/>
    </row>
    <row r="1169" spans="3:3" x14ac:dyDescent="0.25">
      <c r="C1169"/>
    </row>
    <row r="1170" spans="3:3" x14ac:dyDescent="0.25">
      <c r="C1170"/>
    </row>
    <row r="1171" spans="3:3" x14ac:dyDescent="0.25">
      <c r="C1171"/>
    </row>
    <row r="1172" spans="3:3" x14ac:dyDescent="0.25">
      <c r="C1172"/>
    </row>
    <row r="1173" spans="3:3" x14ac:dyDescent="0.25">
      <c r="C1173"/>
    </row>
    <row r="1174" spans="3:3" x14ac:dyDescent="0.25">
      <c r="C1174"/>
    </row>
    <row r="1175" spans="3:3" x14ac:dyDescent="0.25">
      <c r="C1175"/>
    </row>
    <row r="1176" spans="3:3" x14ac:dyDescent="0.25">
      <c r="C1176"/>
    </row>
    <row r="1177" spans="3:3" x14ac:dyDescent="0.25">
      <c r="C1177"/>
    </row>
    <row r="1178" spans="3:3" x14ac:dyDescent="0.25">
      <c r="C1178"/>
    </row>
    <row r="1179" spans="3:3" x14ac:dyDescent="0.25">
      <c r="C1179"/>
    </row>
    <row r="1180" spans="3:3" x14ac:dyDescent="0.25">
      <c r="C1180"/>
    </row>
    <row r="1181" spans="3:3" x14ac:dyDescent="0.25">
      <c r="C1181"/>
    </row>
    <row r="1182" spans="3:3" x14ac:dyDescent="0.25">
      <c r="C1182"/>
    </row>
    <row r="1183" spans="3:3" x14ac:dyDescent="0.25">
      <c r="C1183"/>
    </row>
    <row r="1184" spans="3:3" x14ac:dyDescent="0.25">
      <c r="C1184"/>
    </row>
    <row r="1185" spans="3:3" x14ac:dyDescent="0.25">
      <c r="C1185"/>
    </row>
    <row r="1186" spans="3:3" x14ac:dyDescent="0.25">
      <c r="C1186"/>
    </row>
    <row r="1187" spans="3:3" x14ac:dyDescent="0.25">
      <c r="C1187"/>
    </row>
    <row r="1188" spans="3:3" x14ac:dyDescent="0.25">
      <c r="C1188"/>
    </row>
    <row r="1189" spans="3:3" x14ac:dyDescent="0.25">
      <c r="C1189"/>
    </row>
    <row r="1190" spans="3:3" x14ac:dyDescent="0.25">
      <c r="C1190"/>
    </row>
    <row r="1191" spans="3:3" x14ac:dyDescent="0.25">
      <c r="C1191"/>
    </row>
    <row r="1192" spans="3:3" x14ac:dyDescent="0.25">
      <c r="C1192"/>
    </row>
    <row r="1193" spans="3:3" x14ac:dyDescent="0.25">
      <c r="C1193"/>
    </row>
    <row r="1194" spans="3:3" x14ac:dyDescent="0.25">
      <c r="C1194"/>
    </row>
    <row r="1195" spans="3:3" x14ac:dyDescent="0.25">
      <c r="C1195"/>
    </row>
    <row r="1196" spans="3:3" x14ac:dyDescent="0.25">
      <c r="C1196"/>
    </row>
    <row r="1197" spans="3:3" x14ac:dyDescent="0.25">
      <c r="C1197"/>
    </row>
    <row r="1198" spans="3:3" x14ac:dyDescent="0.25">
      <c r="C1198"/>
    </row>
    <row r="1199" spans="3:3" x14ac:dyDescent="0.25">
      <c r="C1199"/>
    </row>
    <row r="1200" spans="3:3" x14ac:dyDescent="0.25">
      <c r="C1200"/>
    </row>
    <row r="1201" spans="3:3" x14ac:dyDescent="0.25">
      <c r="C1201"/>
    </row>
    <row r="1202" spans="3:3" x14ac:dyDescent="0.25">
      <c r="C1202"/>
    </row>
    <row r="1203" spans="3:3" x14ac:dyDescent="0.25">
      <c r="C1203"/>
    </row>
    <row r="1204" spans="3:3" x14ac:dyDescent="0.25">
      <c r="C1204"/>
    </row>
    <row r="1205" spans="3:3" x14ac:dyDescent="0.25">
      <c r="C1205"/>
    </row>
    <row r="1206" spans="3:3" x14ac:dyDescent="0.25">
      <c r="C1206"/>
    </row>
    <row r="1207" spans="3:3" x14ac:dyDescent="0.25">
      <c r="C1207"/>
    </row>
    <row r="1208" spans="3:3" x14ac:dyDescent="0.25">
      <c r="C1208"/>
    </row>
    <row r="1209" spans="3:3" x14ac:dyDescent="0.25">
      <c r="C1209"/>
    </row>
    <row r="1210" spans="3:3" x14ac:dyDescent="0.25">
      <c r="C1210"/>
    </row>
    <row r="1211" spans="3:3" x14ac:dyDescent="0.25">
      <c r="C1211"/>
    </row>
    <row r="1212" spans="3:3" x14ac:dyDescent="0.25">
      <c r="C1212"/>
    </row>
    <row r="1213" spans="3:3" x14ac:dyDescent="0.25">
      <c r="C1213"/>
    </row>
    <row r="1214" spans="3:3" x14ac:dyDescent="0.25">
      <c r="C1214"/>
    </row>
    <row r="1215" spans="3:3" x14ac:dyDescent="0.25">
      <c r="C1215"/>
    </row>
    <row r="1216" spans="3:3" x14ac:dyDescent="0.25">
      <c r="C1216"/>
    </row>
    <row r="1217" spans="3:3" x14ac:dyDescent="0.25">
      <c r="C1217"/>
    </row>
    <row r="1218" spans="3:3" x14ac:dyDescent="0.25">
      <c r="C1218"/>
    </row>
    <row r="1219" spans="3:3" x14ac:dyDescent="0.25">
      <c r="C1219"/>
    </row>
    <row r="1220" spans="3:3" x14ac:dyDescent="0.25">
      <c r="C1220"/>
    </row>
    <row r="1221" spans="3:3" x14ac:dyDescent="0.25">
      <c r="C1221"/>
    </row>
    <row r="1222" spans="3:3" x14ac:dyDescent="0.25">
      <c r="C1222"/>
    </row>
    <row r="1223" spans="3:3" x14ac:dyDescent="0.25">
      <c r="C1223"/>
    </row>
    <row r="1224" spans="3:3" x14ac:dyDescent="0.25">
      <c r="C1224"/>
    </row>
    <row r="1225" spans="3:3" x14ac:dyDescent="0.25">
      <c r="C1225"/>
    </row>
    <row r="1226" spans="3:3" x14ac:dyDescent="0.25">
      <c r="C1226"/>
    </row>
    <row r="1227" spans="3:3" x14ac:dyDescent="0.25">
      <c r="C1227"/>
    </row>
    <row r="1228" spans="3:3" x14ac:dyDescent="0.25">
      <c r="C1228"/>
    </row>
    <row r="1229" spans="3:3" x14ac:dyDescent="0.25">
      <c r="C1229"/>
    </row>
    <row r="1230" spans="3:3" x14ac:dyDescent="0.25">
      <c r="C1230"/>
    </row>
    <row r="1231" spans="3:3" x14ac:dyDescent="0.25">
      <c r="C1231"/>
    </row>
    <row r="1232" spans="3:3" x14ac:dyDescent="0.25">
      <c r="C1232"/>
    </row>
    <row r="1233" spans="3:3" x14ac:dyDescent="0.25">
      <c r="C1233"/>
    </row>
    <row r="1234" spans="3:3" x14ac:dyDescent="0.25">
      <c r="C1234"/>
    </row>
    <row r="1235" spans="3:3" x14ac:dyDescent="0.25">
      <c r="C1235"/>
    </row>
    <row r="1236" spans="3:3" x14ac:dyDescent="0.25">
      <c r="C1236"/>
    </row>
    <row r="1237" spans="3:3" x14ac:dyDescent="0.25">
      <c r="C1237"/>
    </row>
    <row r="1238" spans="3:3" x14ac:dyDescent="0.25">
      <c r="C1238"/>
    </row>
    <row r="1239" spans="3:3" x14ac:dyDescent="0.25">
      <c r="C1239"/>
    </row>
    <row r="1240" spans="3:3" x14ac:dyDescent="0.25">
      <c r="C1240"/>
    </row>
    <row r="1241" spans="3:3" x14ac:dyDescent="0.25">
      <c r="C1241"/>
    </row>
    <row r="1242" spans="3:3" x14ac:dyDescent="0.25">
      <c r="C1242"/>
    </row>
    <row r="1243" spans="3:3" x14ac:dyDescent="0.25">
      <c r="C1243"/>
    </row>
    <row r="1244" spans="3:3" x14ac:dyDescent="0.25">
      <c r="C1244"/>
    </row>
    <row r="1245" spans="3:3" x14ac:dyDescent="0.25">
      <c r="C1245"/>
    </row>
    <row r="1246" spans="3:3" x14ac:dyDescent="0.25">
      <c r="C1246"/>
    </row>
    <row r="1247" spans="3:3" x14ac:dyDescent="0.25">
      <c r="C1247"/>
    </row>
    <row r="1248" spans="3:3" x14ac:dyDescent="0.25">
      <c r="C1248"/>
    </row>
    <row r="1249" spans="3:3" x14ac:dyDescent="0.25">
      <c r="C1249"/>
    </row>
    <row r="1250" spans="3:3" x14ac:dyDescent="0.25">
      <c r="C1250"/>
    </row>
    <row r="1251" spans="3:3" x14ac:dyDescent="0.25">
      <c r="C1251"/>
    </row>
    <row r="1252" spans="3:3" x14ac:dyDescent="0.25">
      <c r="C1252"/>
    </row>
    <row r="1253" spans="3:3" x14ac:dyDescent="0.25">
      <c r="C1253"/>
    </row>
    <row r="1254" spans="3:3" x14ac:dyDescent="0.25">
      <c r="C1254"/>
    </row>
    <row r="1255" spans="3:3" x14ac:dyDescent="0.25">
      <c r="C1255"/>
    </row>
    <row r="1256" spans="3:3" x14ac:dyDescent="0.25">
      <c r="C1256"/>
    </row>
    <row r="1257" spans="3:3" x14ac:dyDescent="0.25">
      <c r="C1257"/>
    </row>
    <row r="1258" spans="3:3" x14ac:dyDescent="0.25">
      <c r="C1258"/>
    </row>
    <row r="1259" spans="3:3" x14ac:dyDescent="0.25">
      <c r="C1259"/>
    </row>
    <row r="1260" spans="3:3" x14ac:dyDescent="0.25">
      <c r="C1260"/>
    </row>
    <row r="1261" spans="3:3" x14ac:dyDescent="0.25">
      <c r="C1261"/>
    </row>
    <row r="1262" spans="3:3" x14ac:dyDescent="0.25">
      <c r="C1262"/>
    </row>
    <row r="1263" spans="3:3" x14ac:dyDescent="0.25">
      <c r="C1263"/>
    </row>
    <row r="1264" spans="3:3" x14ac:dyDescent="0.25">
      <c r="C1264"/>
    </row>
    <row r="1265" spans="3:3" x14ac:dyDescent="0.25">
      <c r="C1265"/>
    </row>
    <row r="1266" spans="3:3" x14ac:dyDescent="0.25">
      <c r="C1266"/>
    </row>
    <row r="1267" spans="3:3" x14ac:dyDescent="0.25">
      <c r="C1267"/>
    </row>
    <row r="1268" spans="3:3" x14ac:dyDescent="0.25">
      <c r="C1268"/>
    </row>
    <row r="1269" spans="3:3" x14ac:dyDescent="0.25">
      <c r="C1269"/>
    </row>
    <row r="1270" spans="3:3" x14ac:dyDescent="0.25">
      <c r="C1270"/>
    </row>
    <row r="1271" spans="3:3" x14ac:dyDescent="0.25">
      <c r="C1271"/>
    </row>
    <row r="1272" spans="3:3" x14ac:dyDescent="0.25">
      <c r="C1272"/>
    </row>
    <row r="1273" spans="3:3" x14ac:dyDescent="0.25">
      <c r="C1273"/>
    </row>
    <row r="1274" spans="3:3" x14ac:dyDescent="0.25">
      <c r="C1274"/>
    </row>
    <row r="1275" spans="3:3" x14ac:dyDescent="0.25">
      <c r="C1275"/>
    </row>
    <row r="1276" spans="3:3" x14ac:dyDescent="0.25">
      <c r="C1276"/>
    </row>
    <row r="1277" spans="3:3" x14ac:dyDescent="0.25">
      <c r="C1277"/>
    </row>
    <row r="1278" spans="3:3" x14ac:dyDescent="0.25">
      <c r="C1278"/>
    </row>
    <row r="1279" spans="3:3" x14ac:dyDescent="0.25">
      <c r="C1279"/>
    </row>
    <row r="1280" spans="3:3" x14ac:dyDescent="0.25">
      <c r="C1280"/>
    </row>
    <row r="1281" spans="3:3" x14ac:dyDescent="0.25">
      <c r="C1281"/>
    </row>
    <row r="1282" spans="3:3" x14ac:dyDescent="0.25">
      <c r="C1282"/>
    </row>
    <row r="1283" spans="3:3" x14ac:dyDescent="0.25">
      <c r="C1283"/>
    </row>
    <row r="1284" spans="3:3" x14ac:dyDescent="0.25">
      <c r="C1284"/>
    </row>
    <row r="1285" spans="3:3" x14ac:dyDescent="0.25">
      <c r="C1285"/>
    </row>
    <row r="1286" spans="3:3" x14ac:dyDescent="0.25">
      <c r="C1286"/>
    </row>
    <row r="1287" spans="3:3" x14ac:dyDescent="0.25">
      <c r="C1287"/>
    </row>
    <row r="1288" spans="3:3" x14ac:dyDescent="0.25">
      <c r="C1288"/>
    </row>
    <row r="1289" spans="3:3" x14ac:dyDescent="0.25">
      <c r="C1289"/>
    </row>
    <row r="1290" spans="3:3" x14ac:dyDescent="0.25">
      <c r="C1290"/>
    </row>
    <row r="1291" spans="3:3" x14ac:dyDescent="0.25">
      <c r="C1291"/>
    </row>
    <row r="1292" spans="3:3" x14ac:dyDescent="0.25">
      <c r="C1292"/>
    </row>
    <row r="1293" spans="3:3" x14ac:dyDescent="0.25">
      <c r="C1293"/>
    </row>
    <row r="1294" spans="3:3" x14ac:dyDescent="0.25">
      <c r="C1294"/>
    </row>
    <row r="1295" spans="3:3" x14ac:dyDescent="0.25">
      <c r="C1295"/>
    </row>
    <row r="1296" spans="3:3" x14ac:dyDescent="0.25">
      <c r="C1296"/>
    </row>
    <row r="1297" spans="3:3" x14ac:dyDescent="0.25">
      <c r="C1297"/>
    </row>
    <row r="1298" spans="3:3" x14ac:dyDescent="0.25">
      <c r="C1298"/>
    </row>
    <row r="1299" spans="3:3" x14ac:dyDescent="0.25">
      <c r="C1299"/>
    </row>
    <row r="1300" spans="3:3" x14ac:dyDescent="0.25">
      <c r="C1300"/>
    </row>
    <row r="1301" spans="3:3" x14ac:dyDescent="0.25">
      <c r="C1301"/>
    </row>
    <row r="1302" spans="3:3" x14ac:dyDescent="0.25">
      <c r="C1302"/>
    </row>
    <row r="1303" spans="3:3" x14ac:dyDescent="0.25">
      <c r="C1303"/>
    </row>
    <row r="1304" spans="3:3" x14ac:dyDescent="0.25">
      <c r="C1304"/>
    </row>
    <row r="1305" spans="3:3" x14ac:dyDescent="0.25">
      <c r="C1305"/>
    </row>
    <row r="1306" spans="3:3" x14ac:dyDescent="0.25">
      <c r="C1306"/>
    </row>
    <row r="1307" spans="3:3" x14ac:dyDescent="0.25">
      <c r="C1307"/>
    </row>
    <row r="1308" spans="3:3" x14ac:dyDescent="0.25">
      <c r="C1308"/>
    </row>
    <row r="1309" spans="3:3" x14ac:dyDescent="0.25">
      <c r="C1309"/>
    </row>
    <row r="1310" spans="3:3" x14ac:dyDescent="0.25">
      <c r="C1310"/>
    </row>
    <row r="1311" spans="3:3" x14ac:dyDescent="0.25">
      <c r="C1311"/>
    </row>
    <row r="1312" spans="3:3" x14ac:dyDescent="0.25">
      <c r="C1312"/>
    </row>
    <row r="1313" spans="3:3" x14ac:dyDescent="0.25">
      <c r="C1313"/>
    </row>
    <row r="1314" spans="3:3" x14ac:dyDescent="0.25">
      <c r="C1314"/>
    </row>
    <row r="1315" spans="3:3" x14ac:dyDescent="0.25">
      <c r="C1315"/>
    </row>
    <row r="1316" spans="3:3" x14ac:dyDescent="0.25">
      <c r="C1316"/>
    </row>
    <row r="1317" spans="3:3" x14ac:dyDescent="0.25">
      <c r="C1317"/>
    </row>
    <row r="1318" spans="3:3" x14ac:dyDescent="0.25">
      <c r="C1318"/>
    </row>
    <row r="1319" spans="3:3" x14ac:dyDescent="0.25">
      <c r="C1319"/>
    </row>
    <row r="1320" spans="3:3" x14ac:dyDescent="0.25">
      <c r="C1320"/>
    </row>
    <row r="1321" spans="3:3" x14ac:dyDescent="0.25">
      <c r="C1321"/>
    </row>
    <row r="1322" spans="3:3" x14ac:dyDescent="0.25">
      <c r="C1322"/>
    </row>
    <row r="1323" spans="3:3" x14ac:dyDescent="0.25">
      <c r="C1323"/>
    </row>
    <row r="1324" spans="3:3" x14ac:dyDescent="0.25">
      <c r="C1324"/>
    </row>
    <row r="1325" spans="3:3" x14ac:dyDescent="0.25">
      <c r="C1325"/>
    </row>
    <row r="1326" spans="3:3" x14ac:dyDescent="0.25">
      <c r="C1326"/>
    </row>
    <row r="1327" spans="3:3" x14ac:dyDescent="0.25">
      <c r="C1327"/>
    </row>
    <row r="1328" spans="3:3" x14ac:dyDescent="0.25">
      <c r="C1328"/>
    </row>
    <row r="1329" spans="3:3" x14ac:dyDescent="0.25">
      <c r="C1329"/>
    </row>
    <row r="1330" spans="3:3" x14ac:dyDescent="0.25">
      <c r="C1330"/>
    </row>
    <row r="1331" spans="3:3" x14ac:dyDescent="0.25">
      <c r="C1331"/>
    </row>
    <row r="1332" spans="3:3" x14ac:dyDescent="0.25">
      <c r="C1332"/>
    </row>
    <row r="1333" spans="3:3" x14ac:dyDescent="0.25">
      <c r="C1333"/>
    </row>
    <row r="1334" spans="3:3" x14ac:dyDescent="0.25">
      <c r="C1334"/>
    </row>
    <row r="1335" spans="3:3" x14ac:dyDescent="0.25">
      <c r="C1335"/>
    </row>
    <row r="1336" spans="3:3" x14ac:dyDescent="0.25">
      <c r="C1336"/>
    </row>
    <row r="1337" spans="3:3" x14ac:dyDescent="0.25">
      <c r="C1337"/>
    </row>
    <row r="1338" spans="3:3" x14ac:dyDescent="0.25">
      <c r="C1338"/>
    </row>
    <row r="1339" spans="3:3" x14ac:dyDescent="0.25">
      <c r="C1339"/>
    </row>
    <row r="1340" spans="3:3" x14ac:dyDescent="0.25">
      <c r="C1340"/>
    </row>
    <row r="1341" spans="3:3" x14ac:dyDescent="0.25">
      <c r="C1341"/>
    </row>
    <row r="1342" spans="3:3" x14ac:dyDescent="0.25">
      <c r="C1342"/>
    </row>
    <row r="1343" spans="3:3" x14ac:dyDescent="0.25">
      <c r="C1343"/>
    </row>
    <row r="1344" spans="3:3" x14ac:dyDescent="0.25">
      <c r="C1344"/>
    </row>
    <row r="1345" spans="3:3" x14ac:dyDescent="0.25">
      <c r="C1345"/>
    </row>
    <row r="1346" spans="3:3" x14ac:dyDescent="0.25">
      <c r="C1346"/>
    </row>
    <row r="1347" spans="3:3" x14ac:dyDescent="0.25">
      <c r="C1347"/>
    </row>
    <row r="1348" spans="3:3" x14ac:dyDescent="0.25">
      <c r="C1348"/>
    </row>
    <row r="1349" spans="3:3" x14ac:dyDescent="0.25">
      <c r="C1349"/>
    </row>
    <row r="1350" spans="3:3" x14ac:dyDescent="0.25">
      <c r="C1350"/>
    </row>
    <row r="1351" spans="3:3" x14ac:dyDescent="0.25">
      <c r="C1351"/>
    </row>
    <row r="1352" spans="3:3" x14ac:dyDescent="0.25">
      <c r="C1352"/>
    </row>
    <row r="1353" spans="3:3" x14ac:dyDescent="0.25">
      <c r="C1353"/>
    </row>
    <row r="1354" spans="3:3" x14ac:dyDescent="0.25">
      <c r="C1354"/>
    </row>
    <row r="1355" spans="3:3" x14ac:dyDescent="0.25">
      <c r="C1355"/>
    </row>
    <row r="1356" spans="3:3" x14ac:dyDescent="0.25">
      <c r="C1356"/>
    </row>
    <row r="1357" spans="3:3" x14ac:dyDescent="0.25">
      <c r="C1357"/>
    </row>
    <row r="1358" spans="3:3" x14ac:dyDescent="0.25">
      <c r="C1358"/>
    </row>
    <row r="1359" spans="3:3" x14ac:dyDescent="0.25">
      <c r="C1359"/>
    </row>
    <row r="1360" spans="3:3" x14ac:dyDescent="0.25">
      <c r="C1360"/>
    </row>
    <row r="1361" spans="3:3" x14ac:dyDescent="0.25">
      <c r="C1361"/>
    </row>
    <row r="1362" spans="3:3" x14ac:dyDescent="0.25">
      <c r="C1362"/>
    </row>
    <row r="1363" spans="3:3" x14ac:dyDescent="0.25">
      <c r="C1363"/>
    </row>
    <row r="1364" spans="3:3" x14ac:dyDescent="0.25">
      <c r="C1364"/>
    </row>
    <row r="1365" spans="3:3" x14ac:dyDescent="0.25">
      <c r="C1365"/>
    </row>
    <row r="1366" spans="3:3" x14ac:dyDescent="0.25">
      <c r="C1366"/>
    </row>
    <row r="1367" spans="3:3" x14ac:dyDescent="0.25">
      <c r="C1367"/>
    </row>
    <row r="1368" spans="3:3" x14ac:dyDescent="0.25">
      <c r="C1368"/>
    </row>
    <row r="1369" spans="3:3" x14ac:dyDescent="0.25">
      <c r="C1369"/>
    </row>
    <row r="1370" spans="3:3" x14ac:dyDescent="0.25">
      <c r="C1370"/>
    </row>
    <row r="1371" spans="3:3" x14ac:dyDescent="0.25">
      <c r="C1371"/>
    </row>
    <row r="1372" spans="3:3" x14ac:dyDescent="0.25">
      <c r="C1372"/>
    </row>
    <row r="1373" spans="3:3" x14ac:dyDescent="0.25">
      <c r="C1373"/>
    </row>
    <row r="1374" spans="3:3" x14ac:dyDescent="0.25">
      <c r="C1374"/>
    </row>
    <row r="1375" spans="3:3" x14ac:dyDescent="0.25">
      <c r="C1375"/>
    </row>
    <row r="1376" spans="3:3" x14ac:dyDescent="0.25">
      <c r="C1376"/>
    </row>
    <row r="1377" spans="3:3" x14ac:dyDescent="0.25">
      <c r="C1377"/>
    </row>
    <row r="1378" spans="3:3" x14ac:dyDescent="0.25">
      <c r="C1378"/>
    </row>
    <row r="1379" spans="3:3" x14ac:dyDescent="0.25">
      <c r="C1379"/>
    </row>
  </sheetData>
  <mergeCells count="112">
    <mergeCell ref="L21:O21"/>
    <mergeCell ref="B18:B19"/>
    <mergeCell ref="B16:B17"/>
    <mergeCell ref="A16:A17"/>
    <mergeCell ref="W6:AA6"/>
    <mergeCell ref="W8:AA9"/>
    <mergeCell ref="A4:A5"/>
    <mergeCell ref="B4:B5"/>
    <mergeCell ref="C4:C5"/>
    <mergeCell ref="D4:G4"/>
    <mergeCell ref="H4:K4"/>
    <mergeCell ref="Q12:Q13"/>
    <mergeCell ref="P12:P13"/>
    <mergeCell ref="A10:A11"/>
    <mergeCell ref="B10:B11"/>
    <mergeCell ref="B12:B13"/>
    <mergeCell ref="A12:A13"/>
    <mergeCell ref="R7:R8"/>
    <mergeCell ref="Q16:Q17"/>
    <mergeCell ref="P16:P17"/>
    <mergeCell ref="Q18:Q19"/>
    <mergeCell ref="P18:P19"/>
    <mergeCell ref="A21:A22"/>
    <mergeCell ref="B21:B22"/>
    <mergeCell ref="C21:C22"/>
    <mergeCell ref="D21:G21"/>
    <mergeCell ref="A18:A19"/>
    <mergeCell ref="Q39:Q40"/>
    <mergeCell ref="P39:P40"/>
    <mergeCell ref="A35:A36"/>
    <mergeCell ref="B35:B36"/>
    <mergeCell ref="Q35:Q36"/>
    <mergeCell ref="P35:P36"/>
    <mergeCell ref="A37:A38"/>
    <mergeCell ref="B37:B38"/>
    <mergeCell ref="Q37:Q38"/>
    <mergeCell ref="P37:P38"/>
    <mergeCell ref="P27:P28"/>
    <mergeCell ref="D32:G32"/>
    <mergeCell ref="H32:K32"/>
    <mergeCell ref="L30:O30"/>
    <mergeCell ref="D24:G24"/>
    <mergeCell ref="H24:K24"/>
    <mergeCell ref="L24:O24"/>
    <mergeCell ref="D23:G23"/>
    <mergeCell ref="H23:K23"/>
    <mergeCell ref="D41:G41"/>
    <mergeCell ref="H41:K41"/>
    <mergeCell ref="L41:O41"/>
    <mergeCell ref="A39:A40"/>
    <mergeCell ref="B39:B40"/>
    <mergeCell ref="D31:G31"/>
    <mergeCell ref="H31:K31"/>
    <mergeCell ref="L31:O31"/>
    <mergeCell ref="H25:K25"/>
    <mergeCell ref="L25:O25"/>
    <mergeCell ref="D29:G29"/>
    <mergeCell ref="H29:K29"/>
    <mergeCell ref="L29:O29"/>
    <mergeCell ref="D30:G30"/>
    <mergeCell ref="H30:K30"/>
    <mergeCell ref="D26:G26"/>
    <mergeCell ref="H26:K26"/>
    <mergeCell ref="L26:O26"/>
    <mergeCell ref="A1:R1"/>
    <mergeCell ref="R4:R5"/>
    <mergeCell ref="A3:R3"/>
    <mergeCell ref="A2:R2"/>
    <mergeCell ref="A14:A15"/>
    <mergeCell ref="B14:B15"/>
    <mergeCell ref="Q14:Q15"/>
    <mergeCell ref="P14:P15"/>
    <mergeCell ref="P4:P5"/>
    <mergeCell ref="D6:G6"/>
    <mergeCell ref="H6:K6"/>
    <mergeCell ref="L6:O6"/>
    <mergeCell ref="A7:A8"/>
    <mergeCell ref="B7:B8"/>
    <mergeCell ref="Q7:Q8"/>
    <mergeCell ref="P7:P8"/>
    <mergeCell ref="L4:O4"/>
    <mergeCell ref="Q4:Q5"/>
    <mergeCell ref="D9:G9"/>
    <mergeCell ref="H9:K9"/>
    <mergeCell ref="L9:O9"/>
    <mergeCell ref="R14:R15"/>
    <mergeCell ref="P10:P11"/>
    <mergeCell ref="Q10:Q11"/>
    <mergeCell ref="R39:R40"/>
    <mergeCell ref="R35:R36"/>
    <mergeCell ref="R37:R38"/>
    <mergeCell ref="R10:R11"/>
    <mergeCell ref="R12:R13"/>
    <mergeCell ref="R27:R28"/>
    <mergeCell ref="R33:R34"/>
    <mergeCell ref="R16:R17"/>
    <mergeCell ref="R18:R19"/>
    <mergeCell ref="A20:R20"/>
    <mergeCell ref="R21:R22"/>
    <mergeCell ref="Q33:Q34"/>
    <mergeCell ref="P33:P34"/>
    <mergeCell ref="L32:O32"/>
    <mergeCell ref="A33:A34"/>
    <mergeCell ref="B33:B34"/>
    <mergeCell ref="H21:K21"/>
    <mergeCell ref="A27:A28"/>
    <mergeCell ref="B27:B28"/>
    <mergeCell ref="L23:O23"/>
    <mergeCell ref="Q27:Q28"/>
    <mergeCell ref="Q21:Q22"/>
    <mergeCell ref="P21:P22"/>
    <mergeCell ref="D25:G25"/>
  </mergeCells>
  <conditionalFormatting sqref="B25:B38">
    <cfRule type="cellIs" dxfId="5" priority="32" operator="equal">
      <formula>#REF!</formula>
    </cfRule>
  </conditionalFormatting>
  <conditionalFormatting sqref="B6:C19">
    <cfRule type="cellIs" dxfId="4" priority="27" operator="equal">
      <formula>#REF!</formula>
    </cfRule>
  </conditionalFormatting>
  <conditionalFormatting sqref="B23:C23">
    <cfRule type="cellIs" dxfId="3" priority="5" operator="equal">
      <formula>#REF!</formula>
    </cfRule>
  </conditionalFormatting>
  <conditionalFormatting sqref="C25:C41">
    <cfRule type="cellIs" dxfId="2" priority="10" operator="equal">
      <formula>#REF!</formula>
    </cfRule>
  </conditionalFormatting>
  <pageMargins left="4.4531250000000001E-2" right="0.28203125000000001" top="0.75" bottom="0.75" header="0.3" footer="0.3"/>
  <pageSetup scale="57" orientation="portrait" r:id="rId1"/>
  <extLst>
    <ext xmlns:x14="http://schemas.microsoft.com/office/spreadsheetml/2009/9/main" uri="{78C0D931-6437-407d-A8EE-F0AAD7539E65}">
      <x14:conditionalFormattings>
        <x14:conditionalFormatting xmlns:xm="http://schemas.microsoft.com/office/excel/2006/main">
          <x14:cfRule type="cellIs" priority="12" operator="equal" id="{BA2C6347-D4E4-4618-AC63-0C5F09825486}">
            <xm:f>'مكتب علمي'!#REF!</xm:f>
            <x14:dxf>
              <font>
                <color rgb="FF9C0006"/>
              </font>
              <fill>
                <patternFill>
                  <bgColor rgb="FFFFC7CE"/>
                </patternFill>
              </fill>
            </x14:dxf>
          </x14:cfRule>
          <xm:sqref>B39:B40</xm:sqref>
        </x14:conditionalFormatting>
        <x14:conditionalFormatting xmlns:xm="http://schemas.microsoft.com/office/excel/2006/main">
          <x14:cfRule type="cellIs" priority="3" operator="equal" id="{70980E8B-6D3C-4EA3-857D-4AC5112DD2DB}">
            <xm:f>'مركز الاستشارات الدوائية '!#REF!</xm:f>
            <x14:dxf>
              <font>
                <color rgb="FF9C0006"/>
              </font>
              <fill>
                <patternFill>
                  <bgColor rgb="FFFFC7CE"/>
                </patternFill>
              </fill>
            </x14:dxf>
          </x14:cfRule>
          <xm:sqref>C24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مصانع</vt:lpstr>
      <vt:lpstr>مستودعات</vt:lpstr>
      <vt:lpstr>مكتب علمي</vt:lpstr>
      <vt:lpstr>مركز الاستشارات الدوائية </vt:lpstr>
      <vt:lpstr>مركز التحليل</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Enforcement Department</dc:creator>
  <cp:lastModifiedBy>Omar K. Alanazi</cp:lastModifiedBy>
  <cp:lastPrinted>2024-02-20T07:46:11Z</cp:lastPrinted>
  <dcterms:created xsi:type="dcterms:W3CDTF">2023-05-20T13:56:50Z</dcterms:created>
  <dcterms:modified xsi:type="dcterms:W3CDTF">2026-05-18T06:19:30Z</dcterms:modified>
</cp:coreProperties>
</file>