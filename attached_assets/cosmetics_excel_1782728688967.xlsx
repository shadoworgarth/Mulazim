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juwayan\Desktop\مشروع جداول العقوبات 2023\الجدول النهائي\"/>
    </mc:Choice>
  </mc:AlternateContent>
  <bookViews>
    <workbookView xWindow="0" yWindow="0" windowWidth="25200" windowHeight="11250" activeTab="2"/>
  </bookViews>
  <sheets>
    <sheet name="مصنع منتجات التجميل " sheetId="4" r:id="rId1"/>
    <sheet name="مستودع منتجات التجميل" sheetId="6" r:id="rId2"/>
    <sheet name=" المدرج - المستورد " sheetId="7" r:id="rId3"/>
    <sheet name="منفذ البيع" sheetId="8" r:id="rId4"/>
  </sheets>
  <definedNames>
    <definedName name="_xlnm._FilterDatabase" localSheetId="0" hidden="1">'مصنع منتجات التجميل '!$D$2:$D$48</definedName>
    <definedName name="_xlnm.Print_Area" localSheetId="0">'مصنع منتجات التجميل '!$A$2:$P$48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6" l="1"/>
  <c r="M14" i="6"/>
  <c r="M15" i="6" s="1"/>
  <c r="L14" i="6"/>
  <c r="L15" i="6" s="1"/>
  <c r="H14" i="6"/>
  <c r="K14" i="6" s="1"/>
  <c r="K15" i="6" s="1"/>
  <c r="G14" i="6"/>
  <c r="G15" i="6" s="1"/>
  <c r="F14" i="6"/>
  <c r="F15" i="6" s="1"/>
  <c r="E14" i="6"/>
  <c r="E15" i="6" s="1"/>
  <c r="D12" i="4"/>
  <c r="L11" i="4"/>
  <c r="O11" i="4" s="1"/>
  <c r="O12" i="4" s="1"/>
  <c r="H11" i="4"/>
  <c r="K11" i="4" s="1"/>
  <c r="K12" i="4" s="1"/>
  <c r="G11" i="4"/>
  <c r="G12" i="4" s="1"/>
  <c r="F11" i="4"/>
  <c r="F12" i="4" s="1"/>
  <c r="E11" i="4"/>
  <c r="E12" i="4" s="1"/>
  <c r="H15" i="6" l="1"/>
  <c r="N14" i="6"/>
  <c r="N15" i="6" s="1"/>
  <c r="O14" i="6"/>
  <c r="O15" i="6" s="1"/>
  <c r="I14" i="6"/>
  <c r="I15" i="6" s="1"/>
  <c r="J14" i="6"/>
  <c r="J15" i="6" s="1"/>
  <c r="M11" i="4"/>
  <c r="M12" i="4" s="1"/>
  <c r="N11" i="4"/>
  <c r="N12" i="4" s="1"/>
  <c r="L12" i="4"/>
  <c r="I11" i="4"/>
  <c r="I12" i="4" s="1"/>
  <c r="H12" i="4"/>
  <c r="J11" i="4"/>
  <c r="J12" i="4" s="1"/>
  <c r="L9" i="6"/>
  <c r="H9" i="6"/>
  <c r="H15" i="7" l="1"/>
  <c r="L15" i="7"/>
  <c r="H16" i="7"/>
  <c r="L16" i="7"/>
  <c r="L14" i="7"/>
  <c r="H14" i="7"/>
  <c r="L54" i="4" l="1"/>
  <c r="H54" i="4"/>
  <c r="H8" i="8" l="1"/>
  <c r="L8" i="8"/>
  <c r="L27" i="4"/>
  <c r="H27" i="4"/>
  <c r="L55" i="4" l="1"/>
  <c r="H55" i="4"/>
  <c r="L34" i="8"/>
  <c r="H34" i="8"/>
  <c r="L60" i="7"/>
  <c r="H60" i="7"/>
  <c r="L55" i="6"/>
  <c r="H55" i="6"/>
  <c r="L12" i="8" l="1"/>
  <c r="H12" i="8"/>
  <c r="L33" i="8" l="1"/>
  <c r="H33" i="8"/>
  <c r="L55" i="7"/>
  <c r="H55" i="7"/>
  <c r="L54" i="7"/>
  <c r="H54" i="7"/>
  <c r="D17" i="6"/>
  <c r="L16" i="6"/>
  <c r="L17" i="6" s="1"/>
  <c r="H16" i="6"/>
  <c r="I16" i="6" s="1"/>
  <c r="I17" i="6" s="1"/>
  <c r="G16" i="6"/>
  <c r="G17" i="6" s="1"/>
  <c r="F16" i="6"/>
  <c r="F17" i="6" s="1"/>
  <c r="E16" i="6"/>
  <c r="E17" i="6" s="1"/>
  <c r="J16" i="6" l="1"/>
  <c r="J17" i="6" s="1"/>
  <c r="K16" i="6"/>
  <c r="K17" i="6" s="1"/>
  <c r="H17" i="6"/>
  <c r="M16" i="6"/>
  <c r="M17" i="6" s="1"/>
  <c r="N16" i="6"/>
  <c r="N17" i="6" s="1"/>
  <c r="O16" i="6"/>
  <c r="O17" i="6" s="1"/>
  <c r="L17" i="4"/>
  <c r="H17" i="4"/>
  <c r="L12" i="6"/>
  <c r="H12" i="6"/>
  <c r="L24" i="8"/>
  <c r="H24" i="8"/>
  <c r="L46" i="7"/>
  <c r="H46" i="7"/>
  <c r="L43" i="6"/>
  <c r="H43" i="6"/>
  <c r="L43" i="4"/>
  <c r="H43" i="4"/>
  <c r="H42" i="4"/>
  <c r="L42" i="4"/>
  <c r="D27" i="7"/>
  <c r="L26" i="7"/>
  <c r="L27" i="7" s="1"/>
  <c r="H26" i="7"/>
  <c r="K26" i="7" s="1"/>
  <c r="K27" i="7" s="1"/>
  <c r="G26" i="7"/>
  <c r="G27" i="7" s="1"/>
  <c r="F26" i="7"/>
  <c r="F27" i="7" s="1"/>
  <c r="E26" i="7"/>
  <c r="E27" i="7" s="1"/>
  <c r="H27" i="7" l="1"/>
  <c r="O26" i="7"/>
  <c r="O27" i="7" s="1"/>
  <c r="M26" i="7"/>
  <c r="M27" i="7" s="1"/>
  <c r="N26" i="7"/>
  <c r="N27" i="7" s="1"/>
  <c r="I26" i="7"/>
  <c r="I27" i="7" s="1"/>
  <c r="J26" i="7"/>
  <c r="J27" i="7" s="1"/>
  <c r="D18" i="7"/>
  <c r="L17" i="7"/>
  <c r="L18" i="7" s="1"/>
  <c r="H17" i="7"/>
  <c r="I17" i="7" s="1"/>
  <c r="I18" i="7" s="1"/>
  <c r="G17" i="7"/>
  <c r="G18" i="7" s="1"/>
  <c r="F17" i="7"/>
  <c r="F18" i="7" s="1"/>
  <c r="E17" i="7"/>
  <c r="E18" i="7" s="1"/>
  <c r="K17" i="7" l="1"/>
  <c r="K18" i="7" s="1"/>
  <c r="J17" i="7"/>
  <c r="J18" i="7" s="1"/>
  <c r="H18" i="7"/>
  <c r="M17" i="7"/>
  <c r="M18" i="7" s="1"/>
  <c r="N17" i="7"/>
  <c r="N18" i="7" s="1"/>
  <c r="O17" i="7"/>
  <c r="O18" i="7" s="1"/>
  <c r="D26" i="8"/>
  <c r="L25" i="8"/>
  <c r="O25" i="8" s="1"/>
  <c r="O26" i="8" s="1"/>
  <c r="H25" i="8"/>
  <c r="I25" i="8" s="1"/>
  <c r="I26" i="8" s="1"/>
  <c r="G25" i="8"/>
  <c r="G26" i="8" s="1"/>
  <c r="F25" i="8"/>
  <c r="F26" i="8" s="1"/>
  <c r="E25" i="8"/>
  <c r="E26" i="8" s="1"/>
  <c r="D45" i="4"/>
  <c r="L44" i="4"/>
  <c r="L45" i="4" s="1"/>
  <c r="H44" i="4"/>
  <c r="K44" i="4" s="1"/>
  <c r="K45" i="4" s="1"/>
  <c r="G44" i="4"/>
  <c r="G45" i="4" s="1"/>
  <c r="F44" i="4"/>
  <c r="F45" i="4" s="1"/>
  <c r="E44" i="4"/>
  <c r="E45" i="4" s="1"/>
  <c r="D46" i="6"/>
  <c r="L45" i="6"/>
  <c r="L46" i="6" s="1"/>
  <c r="H45" i="6"/>
  <c r="K45" i="6" s="1"/>
  <c r="K46" i="6" s="1"/>
  <c r="G45" i="6"/>
  <c r="G46" i="6" s="1"/>
  <c r="F45" i="6"/>
  <c r="F46" i="6" s="1"/>
  <c r="E45" i="6"/>
  <c r="E46" i="6" s="1"/>
  <c r="D48" i="7"/>
  <c r="L47" i="7"/>
  <c r="M47" i="7" s="1"/>
  <c r="M48" i="7" s="1"/>
  <c r="H47" i="7"/>
  <c r="K47" i="7" s="1"/>
  <c r="K48" i="7" s="1"/>
  <c r="G47" i="7"/>
  <c r="G48" i="7" s="1"/>
  <c r="F47" i="7"/>
  <c r="F48" i="7" s="1"/>
  <c r="E47" i="7"/>
  <c r="E48" i="7" s="1"/>
  <c r="H26" i="8" l="1"/>
  <c r="J25" i="8"/>
  <c r="J26" i="8" s="1"/>
  <c r="K25" i="8"/>
  <c r="K26" i="8" s="1"/>
  <c r="J44" i="4"/>
  <c r="J45" i="4" s="1"/>
  <c r="H46" i="6"/>
  <c r="N44" i="4"/>
  <c r="N45" i="4" s="1"/>
  <c r="M25" i="8"/>
  <c r="M26" i="8" s="1"/>
  <c r="L26" i="8"/>
  <c r="N25" i="8"/>
  <c r="N26" i="8" s="1"/>
  <c r="H45" i="4"/>
  <c r="M44" i="4"/>
  <c r="M45" i="4" s="1"/>
  <c r="O44" i="4"/>
  <c r="O45" i="4" s="1"/>
  <c r="I44" i="4"/>
  <c r="I45" i="4" s="1"/>
  <c r="M45" i="6"/>
  <c r="M46" i="6" s="1"/>
  <c r="N45" i="6"/>
  <c r="N46" i="6" s="1"/>
  <c r="O45" i="6"/>
  <c r="O46" i="6" s="1"/>
  <c r="I45" i="6"/>
  <c r="I46" i="6" s="1"/>
  <c r="J45" i="6"/>
  <c r="J46" i="6" s="1"/>
  <c r="H48" i="7"/>
  <c r="N47" i="7"/>
  <c r="N48" i="7" s="1"/>
  <c r="O47" i="7"/>
  <c r="O48" i="7" s="1"/>
  <c r="L48" i="7"/>
  <c r="I47" i="7"/>
  <c r="I48" i="7" s="1"/>
  <c r="J47" i="7"/>
  <c r="J48" i="7" s="1"/>
  <c r="D19" i="6" l="1"/>
  <c r="L18" i="6"/>
  <c r="L19" i="6" s="1"/>
  <c r="H18" i="6"/>
  <c r="J18" i="6" s="1"/>
  <c r="J19" i="6" s="1"/>
  <c r="G18" i="6"/>
  <c r="G19" i="6" s="1"/>
  <c r="F18" i="6"/>
  <c r="F19" i="6" s="1"/>
  <c r="E18" i="6"/>
  <c r="E19" i="6" s="1"/>
  <c r="D19" i="4"/>
  <c r="L18" i="4"/>
  <c r="L19" i="4" s="1"/>
  <c r="H18" i="4"/>
  <c r="K18" i="4" s="1"/>
  <c r="K19" i="4" s="1"/>
  <c r="G18" i="4"/>
  <c r="G19" i="4" s="1"/>
  <c r="F18" i="4"/>
  <c r="F19" i="4" s="1"/>
  <c r="E18" i="4"/>
  <c r="E19" i="4" s="1"/>
  <c r="K18" i="6" l="1"/>
  <c r="K19" i="6" s="1"/>
  <c r="H19" i="6"/>
  <c r="H19" i="4"/>
  <c r="I18" i="4"/>
  <c r="I19" i="4" s="1"/>
  <c r="J18" i="4"/>
  <c r="J19" i="4" s="1"/>
  <c r="N18" i="6"/>
  <c r="N19" i="6" s="1"/>
  <c r="O18" i="6"/>
  <c r="O19" i="6" s="1"/>
  <c r="M18" i="6"/>
  <c r="M19" i="6" s="1"/>
  <c r="I18" i="6"/>
  <c r="I19" i="6" s="1"/>
  <c r="M18" i="4"/>
  <c r="M19" i="4" s="1"/>
  <c r="N18" i="4"/>
  <c r="N19" i="4" s="1"/>
  <c r="O18" i="4"/>
  <c r="O19" i="4" s="1"/>
  <c r="D42" i="6" l="1"/>
  <c r="L41" i="6"/>
  <c r="L42" i="6" s="1"/>
  <c r="H41" i="6"/>
  <c r="I41" i="6" s="1"/>
  <c r="I42" i="6" s="1"/>
  <c r="G41" i="6"/>
  <c r="G42" i="6" s="1"/>
  <c r="F41" i="6"/>
  <c r="F42" i="6" s="1"/>
  <c r="E41" i="6"/>
  <c r="E42" i="6" s="1"/>
  <c r="J41" i="6" l="1"/>
  <c r="J42" i="6" s="1"/>
  <c r="K41" i="6"/>
  <c r="K42" i="6" s="1"/>
  <c r="H42" i="6"/>
  <c r="N41" i="6"/>
  <c r="N42" i="6" s="1"/>
  <c r="O41" i="6"/>
  <c r="O42" i="6" s="1"/>
  <c r="M41" i="6"/>
  <c r="M42" i="6" s="1"/>
  <c r="L13" i="6"/>
  <c r="H13" i="6"/>
  <c r="L6" i="8" l="1"/>
  <c r="H6" i="8"/>
  <c r="L7" i="8" l="1"/>
  <c r="H7" i="8"/>
  <c r="L25" i="7"/>
  <c r="H25" i="7"/>
  <c r="L24" i="6"/>
  <c r="H24" i="6"/>
  <c r="H26" i="4"/>
  <c r="L26" i="4"/>
  <c r="H41" i="4"/>
  <c r="L41" i="4"/>
  <c r="L6" i="7" l="1"/>
  <c r="H6" i="7"/>
  <c r="L34" i="4" l="1"/>
  <c r="L35" i="4" s="1"/>
  <c r="H34" i="4"/>
  <c r="K34" i="4" s="1"/>
  <c r="K35" i="4" s="1"/>
  <c r="L15" i="4"/>
  <c r="M15" i="4" s="1"/>
  <c r="M16" i="4" s="1"/>
  <c r="H15" i="4"/>
  <c r="H16" i="4" s="1"/>
  <c r="L13" i="4"/>
  <c r="N13" i="4" s="1"/>
  <c r="N14" i="4" s="1"/>
  <c r="H13" i="4"/>
  <c r="K13" i="4" s="1"/>
  <c r="K14" i="4" s="1"/>
  <c r="L7" i="4"/>
  <c r="M7" i="4" s="1"/>
  <c r="M8" i="4" s="1"/>
  <c r="H7" i="4"/>
  <c r="K7" i="4" s="1"/>
  <c r="K8" i="4" s="1"/>
  <c r="L32" i="6"/>
  <c r="N32" i="6" s="1"/>
  <c r="N33" i="6" s="1"/>
  <c r="H32" i="6"/>
  <c r="H33" i="6" s="1"/>
  <c r="L10" i="6"/>
  <c r="O10" i="6" s="1"/>
  <c r="O11" i="6" s="1"/>
  <c r="H10" i="6"/>
  <c r="H11" i="6" s="1"/>
  <c r="L7" i="6"/>
  <c r="O7" i="6" s="1"/>
  <c r="O8" i="6" s="1"/>
  <c r="H7" i="6"/>
  <c r="J7" i="6" s="1"/>
  <c r="J8" i="6" s="1"/>
  <c r="L38" i="7"/>
  <c r="O38" i="7" s="1"/>
  <c r="O39" i="7" s="1"/>
  <c r="H38" i="7"/>
  <c r="K38" i="7" s="1"/>
  <c r="K39" i="7" s="1"/>
  <c r="L33" i="7"/>
  <c r="O33" i="7" s="1"/>
  <c r="O34" i="7" s="1"/>
  <c r="H33" i="7"/>
  <c r="J33" i="7" s="1"/>
  <c r="J34" i="7" s="1"/>
  <c r="L12" i="7"/>
  <c r="L13" i="7" s="1"/>
  <c r="H12" i="7"/>
  <c r="H13" i="7" s="1"/>
  <c r="L7" i="7"/>
  <c r="M7" i="7" s="1"/>
  <c r="M8" i="7" s="1"/>
  <c r="H7" i="7"/>
  <c r="H8" i="7" s="1"/>
  <c r="L15" i="8"/>
  <c r="H15" i="8"/>
  <c r="L16" i="4" l="1"/>
  <c r="J15" i="4"/>
  <c r="J16" i="4" s="1"/>
  <c r="K15" i="4"/>
  <c r="K16" i="4" s="1"/>
  <c r="J34" i="4"/>
  <c r="J35" i="4" s="1"/>
  <c r="N34" i="4"/>
  <c r="N35" i="4" s="1"/>
  <c r="H35" i="4"/>
  <c r="I34" i="4"/>
  <c r="I35" i="4" s="1"/>
  <c r="O34" i="4"/>
  <c r="O35" i="4" s="1"/>
  <c r="M34" i="4"/>
  <c r="M35" i="4" s="1"/>
  <c r="I15" i="4"/>
  <c r="I16" i="4" s="1"/>
  <c r="N15" i="4"/>
  <c r="N16" i="4" s="1"/>
  <c r="O15" i="4"/>
  <c r="O16" i="4" s="1"/>
  <c r="J13" i="4"/>
  <c r="J14" i="4" s="1"/>
  <c r="H14" i="4"/>
  <c r="M13" i="4"/>
  <c r="M14" i="4" s="1"/>
  <c r="O13" i="4"/>
  <c r="O14" i="4" s="1"/>
  <c r="L14" i="4"/>
  <c r="I13" i="4"/>
  <c r="I14" i="4" s="1"/>
  <c r="N7" i="4"/>
  <c r="N8" i="4" s="1"/>
  <c r="O7" i="4"/>
  <c r="O8" i="4" s="1"/>
  <c r="H8" i="4"/>
  <c r="L8" i="4"/>
  <c r="I7" i="4"/>
  <c r="I8" i="4" s="1"/>
  <c r="J7" i="4"/>
  <c r="J8" i="4" s="1"/>
  <c r="M32" i="6"/>
  <c r="M33" i="6" s="1"/>
  <c r="L33" i="6"/>
  <c r="K32" i="6"/>
  <c r="K33" i="6" s="1"/>
  <c r="O32" i="6"/>
  <c r="O33" i="6" s="1"/>
  <c r="I32" i="6"/>
  <c r="I33" i="6" s="1"/>
  <c r="J32" i="6"/>
  <c r="J33" i="6" s="1"/>
  <c r="I10" i="6"/>
  <c r="I11" i="6" s="1"/>
  <c r="K10" i="6"/>
  <c r="K11" i="6" s="1"/>
  <c r="N10" i="6"/>
  <c r="N11" i="6" s="1"/>
  <c r="L11" i="6"/>
  <c r="J10" i="6"/>
  <c r="J11" i="6" s="1"/>
  <c r="M10" i="6"/>
  <c r="M11" i="6" s="1"/>
  <c r="K7" i="6"/>
  <c r="K8" i="6" s="1"/>
  <c r="I7" i="6"/>
  <c r="I8" i="6" s="1"/>
  <c r="N7" i="6"/>
  <c r="N8" i="6" s="1"/>
  <c r="H8" i="6"/>
  <c r="L8" i="6"/>
  <c r="M7" i="6"/>
  <c r="M8" i="6" s="1"/>
  <c r="N38" i="7"/>
  <c r="N39" i="7" s="1"/>
  <c r="H39" i="7"/>
  <c r="L39" i="7"/>
  <c r="I38" i="7"/>
  <c r="I39" i="7" s="1"/>
  <c r="J38" i="7"/>
  <c r="J39" i="7" s="1"/>
  <c r="M38" i="7"/>
  <c r="M39" i="7" s="1"/>
  <c r="I33" i="7"/>
  <c r="I34" i="7" s="1"/>
  <c r="K33" i="7"/>
  <c r="K34" i="7" s="1"/>
  <c r="M33" i="7"/>
  <c r="M34" i="7" s="1"/>
  <c r="L34" i="7"/>
  <c r="N33" i="7"/>
  <c r="N34" i="7" s="1"/>
  <c r="H34" i="7"/>
  <c r="I12" i="7"/>
  <c r="I13" i="7" s="1"/>
  <c r="J12" i="7"/>
  <c r="J13" i="7" s="1"/>
  <c r="K12" i="7"/>
  <c r="K13" i="7" s="1"/>
  <c r="N12" i="7"/>
  <c r="N13" i="7" s="1"/>
  <c r="O12" i="7"/>
  <c r="O13" i="7" s="1"/>
  <c r="M12" i="7"/>
  <c r="M13" i="7" s="1"/>
  <c r="J7" i="7"/>
  <c r="J8" i="7" s="1"/>
  <c r="I7" i="7"/>
  <c r="I8" i="7" s="1"/>
  <c r="K7" i="7"/>
  <c r="K8" i="7" s="1"/>
  <c r="N7" i="7"/>
  <c r="N8" i="7" s="1"/>
  <c r="L8" i="7"/>
  <c r="O7" i="7"/>
  <c r="O8" i="7" s="1"/>
  <c r="L9" i="4"/>
  <c r="H9" i="4"/>
  <c r="L32" i="8" l="1"/>
  <c r="H32" i="8"/>
  <c r="L31" i="8"/>
  <c r="H31" i="8"/>
  <c r="L30" i="8"/>
  <c r="H30" i="8"/>
  <c r="L23" i="8"/>
  <c r="H23" i="8"/>
  <c r="L22" i="8"/>
  <c r="H22" i="8"/>
  <c r="L20" i="8"/>
  <c r="H20" i="8"/>
  <c r="L21" i="8"/>
  <c r="H21" i="8"/>
  <c r="L19" i="8"/>
  <c r="H19" i="8"/>
  <c r="L18" i="8"/>
  <c r="H18" i="8"/>
  <c r="L17" i="8"/>
  <c r="H17" i="8"/>
  <c r="L14" i="8"/>
  <c r="H14" i="8"/>
  <c r="L13" i="8"/>
  <c r="H13" i="8"/>
  <c r="L11" i="8"/>
  <c r="H11" i="8"/>
  <c r="L10" i="8"/>
  <c r="H10" i="8"/>
  <c r="L9" i="8"/>
  <c r="H9" i="8"/>
  <c r="L59" i="7"/>
  <c r="H59" i="7"/>
  <c r="L58" i="7"/>
  <c r="H58" i="7"/>
  <c r="L57" i="7"/>
  <c r="H57" i="7"/>
  <c r="L56" i="7"/>
  <c r="H56" i="7"/>
  <c r="L53" i="7"/>
  <c r="H53" i="7"/>
  <c r="L52" i="7"/>
  <c r="H52" i="7"/>
  <c r="L45" i="7"/>
  <c r="H45" i="7"/>
  <c r="L43" i="7"/>
  <c r="H43" i="7"/>
  <c r="L44" i="7"/>
  <c r="H44" i="7"/>
  <c r="L42" i="7"/>
  <c r="H42" i="7"/>
  <c r="L41" i="7"/>
  <c r="H41" i="7"/>
  <c r="L40" i="7"/>
  <c r="H40" i="7"/>
  <c r="L37" i="7"/>
  <c r="H37" i="7"/>
  <c r="L36" i="7"/>
  <c r="H36" i="7"/>
  <c r="L35" i="7"/>
  <c r="H35" i="7"/>
  <c r="L32" i="7"/>
  <c r="H32" i="7"/>
  <c r="L31" i="7"/>
  <c r="H31" i="7"/>
  <c r="L30" i="7"/>
  <c r="H30" i="7"/>
  <c r="L29" i="7"/>
  <c r="H29" i="7"/>
  <c r="L28" i="7"/>
  <c r="H28" i="7"/>
  <c r="L24" i="7"/>
  <c r="H24" i="7"/>
  <c r="L23" i="7"/>
  <c r="H23" i="7"/>
  <c r="L22" i="7"/>
  <c r="H22" i="7"/>
  <c r="L11" i="7"/>
  <c r="H11" i="7"/>
  <c r="L10" i="7"/>
  <c r="H10" i="7"/>
  <c r="L9" i="7"/>
  <c r="H9" i="7"/>
  <c r="L54" i="6"/>
  <c r="H54" i="6"/>
  <c r="L53" i="6"/>
  <c r="H53" i="6"/>
  <c r="L52" i="6"/>
  <c r="H52" i="6"/>
  <c r="L51" i="6"/>
  <c r="H51" i="6"/>
  <c r="L50" i="6"/>
  <c r="H50" i="6"/>
  <c r="L40" i="6"/>
  <c r="H40" i="6"/>
  <c r="L39" i="6"/>
  <c r="H39" i="6"/>
  <c r="L37" i="6"/>
  <c r="H37" i="6"/>
  <c r="L38" i="6"/>
  <c r="H38" i="6"/>
  <c r="L36" i="6"/>
  <c r="H36" i="6"/>
  <c r="L35" i="6"/>
  <c r="H35" i="6"/>
  <c r="L34" i="6"/>
  <c r="H34" i="6"/>
  <c r="L31" i="6"/>
  <c r="H31" i="6"/>
  <c r="L30" i="6"/>
  <c r="H30" i="6"/>
  <c r="L29" i="6"/>
  <c r="H29" i="6"/>
  <c r="L28" i="6"/>
  <c r="H28" i="6"/>
  <c r="L27" i="6"/>
  <c r="H27" i="6"/>
  <c r="L26" i="6"/>
  <c r="H26" i="6"/>
  <c r="L25" i="6"/>
  <c r="H25" i="6"/>
  <c r="L23" i="6"/>
  <c r="H23" i="6"/>
  <c r="L44" i="6"/>
  <c r="H44" i="6"/>
  <c r="L6" i="6"/>
  <c r="H6" i="6"/>
  <c r="L53" i="4"/>
  <c r="H53" i="4"/>
  <c r="L52" i="4"/>
  <c r="H52" i="4"/>
  <c r="L51" i="4"/>
  <c r="H51" i="4"/>
  <c r="L50" i="4"/>
  <c r="H50" i="4"/>
  <c r="L49" i="4"/>
  <c r="H49" i="4"/>
  <c r="L39" i="4"/>
  <c r="H39" i="4"/>
  <c r="L40" i="4"/>
  <c r="H40" i="4"/>
  <c r="L38" i="4"/>
  <c r="H38" i="4"/>
  <c r="L37" i="4"/>
  <c r="H37" i="4"/>
  <c r="L36" i="4"/>
  <c r="H36" i="4"/>
  <c r="L33" i="4"/>
  <c r="H33" i="4"/>
  <c r="L32" i="4"/>
  <c r="H32" i="4"/>
  <c r="L31" i="4"/>
  <c r="H31" i="4"/>
  <c r="L30" i="4"/>
  <c r="H30" i="4"/>
  <c r="L29" i="4"/>
  <c r="H29" i="4"/>
  <c r="L28" i="4"/>
  <c r="H28" i="4"/>
  <c r="L25" i="4"/>
  <c r="H25" i="4"/>
  <c r="L24" i="4"/>
  <c r="H24" i="4"/>
  <c r="L23" i="4"/>
  <c r="H23" i="4"/>
  <c r="L10" i="4"/>
  <c r="H10" i="4"/>
  <c r="L6" i="4"/>
  <c r="H6" i="4"/>
  <c r="G11" i="8" l="1"/>
  <c r="F11" i="8"/>
  <c r="E11" i="8"/>
  <c r="G32" i="7"/>
  <c r="F32" i="7"/>
  <c r="E32" i="7"/>
  <c r="G28" i="6"/>
  <c r="F28" i="6"/>
  <c r="E28" i="6"/>
  <c r="D16" i="8"/>
  <c r="L16" i="8"/>
  <c r="H16" i="8"/>
  <c r="K15" i="8"/>
  <c r="K16" i="8" s="1"/>
  <c r="G15" i="8"/>
  <c r="G16" i="8" s="1"/>
  <c r="F15" i="8"/>
  <c r="F16" i="8" s="1"/>
  <c r="E15" i="8"/>
  <c r="E16" i="8" s="1"/>
  <c r="D13" i="7"/>
  <c r="G12" i="7"/>
  <c r="G13" i="7" s="1"/>
  <c r="F12" i="7"/>
  <c r="F13" i="7" s="1"/>
  <c r="E12" i="7"/>
  <c r="E13" i="7" s="1"/>
  <c r="D8" i="7"/>
  <c r="G7" i="7"/>
  <c r="G8" i="7" s="1"/>
  <c r="F7" i="7"/>
  <c r="F8" i="7" s="1"/>
  <c r="E7" i="7"/>
  <c r="E8" i="7" s="1"/>
  <c r="D39" i="7"/>
  <c r="G38" i="7"/>
  <c r="G39" i="7" s="1"/>
  <c r="F38" i="7"/>
  <c r="F39" i="7" s="1"/>
  <c r="E38" i="7"/>
  <c r="E39" i="7" s="1"/>
  <c r="D34" i="7"/>
  <c r="G33" i="7"/>
  <c r="G34" i="7" s="1"/>
  <c r="F33" i="7"/>
  <c r="F34" i="7" s="1"/>
  <c r="E33" i="7"/>
  <c r="E34" i="7" s="1"/>
  <c r="D33" i="6"/>
  <c r="G32" i="6"/>
  <c r="G33" i="6" s="1"/>
  <c r="F32" i="6"/>
  <c r="F33" i="6" s="1"/>
  <c r="E32" i="6"/>
  <c r="E33" i="6" s="1"/>
  <c r="D11" i="6"/>
  <c r="G10" i="6"/>
  <c r="G11" i="6" s="1"/>
  <c r="F10" i="6"/>
  <c r="F11" i="6" s="1"/>
  <c r="E10" i="6"/>
  <c r="E11" i="6" s="1"/>
  <c r="D8" i="6"/>
  <c r="G7" i="6"/>
  <c r="G8" i="6" s="1"/>
  <c r="F7" i="6"/>
  <c r="F8" i="6" s="1"/>
  <c r="E7" i="6"/>
  <c r="E8" i="6" s="1"/>
  <c r="M15" i="8"/>
  <c r="M16" i="8" s="1"/>
  <c r="N15" i="8"/>
  <c r="N16" i="8" s="1"/>
  <c r="O15" i="8"/>
  <c r="O16" i="8" s="1"/>
  <c r="G34" i="4"/>
  <c r="G35" i="4" s="1"/>
  <c r="G31" i="4"/>
  <c r="G30" i="4"/>
  <c r="F34" i="4"/>
  <c r="F35" i="4" s="1"/>
  <c r="F31" i="4"/>
  <c r="F30" i="4"/>
  <c r="E34" i="4"/>
  <c r="E35" i="4" s="1"/>
  <c r="E31" i="4"/>
  <c r="E30" i="4"/>
  <c r="G15" i="4"/>
  <c r="G16" i="4" s="1"/>
  <c r="G13" i="4"/>
  <c r="G14" i="4" s="1"/>
  <c r="F15" i="4"/>
  <c r="F16" i="4" s="1"/>
  <c r="F13" i="4"/>
  <c r="F14" i="4" s="1"/>
  <c r="E15" i="4"/>
  <c r="E16" i="4" s="1"/>
  <c r="E13" i="4"/>
  <c r="E14" i="4" s="1"/>
  <c r="D8" i="4"/>
  <c r="G7" i="4"/>
  <c r="G8" i="4" s="1"/>
  <c r="F7" i="4"/>
  <c r="F8" i="4" s="1"/>
  <c r="E7" i="4"/>
  <c r="E8" i="4" s="1"/>
  <c r="D35" i="4"/>
  <c r="D16" i="4"/>
  <c r="D14" i="4"/>
  <c r="J15" i="8" l="1"/>
  <c r="J16" i="8" s="1"/>
  <c r="I15" i="8"/>
  <c r="I16" i="8" s="1"/>
</calcChain>
</file>

<file path=xl/sharedStrings.xml><?xml version="1.0" encoding="utf-8"?>
<sst xmlns="http://schemas.openxmlformats.org/spreadsheetml/2006/main" count="1122" uniqueCount="317">
  <si>
    <t>الانذار</t>
  </si>
  <si>
    <t>منشآت متوسطة</t>
  </si>
  <si>
    <t>منشآت كبيرة</t>
  </si>
  <si>
    <t>المخالفة</t>
  </si>
  <si>
    <t>م</t>
  </si>
  <si>
    <t>فئة (د)</t>
  </si>
  <si>
    <t>فئة (ج)</t>
  </si>
  <si>
    <t>فئة (ب)</t>
  </si>
  <si>
    <t>فئة (أ)</t>
  </si>
  <si>
    <t>لا ينطبق</t>
  </si>
  <si>
    <t>ينطبق</t>
  </si>
  <si>
    <t>ثالثاً : المدرج/المستورد</t>
  </si>
  <si>
    <t>رابعاً : منفذ البيع</t>
  </si>
  <si>
    <t>تداول منتج تجميلي غير مدرج</t>
  </si>
  <si>
    <t>عدم كتابة البيانات اللازم كتابتها باللغة العربية بالملصق التعريفي للمنتج التجميلي</t>
  </si>
  <si>
    <t>تداول منتج تجميلي فاسد</t>
  </si>
  <si>
    <t>الوحدة</t>
  </si>
  <si>
    <t>ممارسة النشاط بعد انتهاء الترخيص</t>
  </si>
  <si>
    <t>عدم  تمكين المفتش من دخول المنشأة أو أحد مرافقها</t>
  </si>
  <si>
    <t>عدم وجود ملصق تعريفي على عبوة المنتج التجميلي</t>
  </si>
  <si>
    <t>عدم حفظ أو تخزين المنتج التجميلي بطريقة مناسبة</t>
  </si>
  <si>
    <t>الإعلان عن منتج تجميلي قررت الهيئة إلغاء إدراجه أو حظره أو سحبه أو استدعاءه أو تعليق تداوله</t>
  </si>
  <si>
    <t>الإعلان عن منتج تجميلي يحتوي على اسم أو شعار الهيئة بشكل مباشر أو غير مباشر في محتوى الإعلان أو  اسم أو شعار لجهة رقابية أخرى داخلية أو خارجية</t>
  </si>
  <si>
    <t>لكل حالة عدم التزام</t>
  </si>
  <si>
    <t>عدم حفظ أو تخزين المنتج التجميلي حسب توصية الشركة الصانعة</t>
  </si>
  <si>
    <t>تشغيل المصنع في غير ما رخص له</t>
  </si>
  <si>
    <t>تداول منتج تجميلي يحتوي على مادة أو اكثر من المواد المحظورة</t>
  </si>
  <si>
    <t>عدم توثيق بيع المنتج التجميلي بالجملة</t>
  </si>
  <si>
    <t>تداول منتج تجميلي منتهي الصلاحية</t>
  </si>
  <si>
    <t>استعمال معلومات غير صحيحة للترويج للمنتج التجميلي سواءً عليه أو في الدعاية له</t>
  </si>
  <si>
    <t>ممارسة النشاط دون الحصول على ترخيص من الهيئة</t>
  </si>
  <si>
    <t>عدم إبلاغ الهيئة فوراً في حال حدوث ضرر سببه المنتج التجميلي أو حدوث خطأ في تصنيعه أو عند استدعائه في أي بلد</t>
  </si>
  <si>
    <t>تداول منتج تجميلي يحتوي على مادة مقيدة أو أكثر مخالفة لشروط تقييدها</t>
  </si>
  <si>
    <t xml:space="preserve"> عدم توزيع أجهزة قياس درجة الحرارة والرطوبة في أماكن وارتفاعات مختلفة بالمستودع</t>
  </si>
  <si>
    <t>عدم تفرغ المدير الفني للمصنع</t>
  </si>
  <si>
    <t>عدم إبلاغ الهيئة فوراً عن إساءة استخدام للمنتج التجميلي</t>
  </si>
  <si>
    <t>عدم سحب أو استدعاء المنتج التجميلي خلال المدة التي تحددها الهيئة</t>
  </si>
  <si>
    <t>عدم تقديم بيان يحتوي على كميات وبيانات المنتج التجميلي الذي تم سحبه أو استدعائه خلال المدة المحددة من الهيئة</t>
  </si>
  <si>
    <t xml:space="preserve">لكل دعاية أو إعلان </t>
  </si>
  <si>
    <t>1/1/1</t>
  </si>
  <si>
    <t>2/1/1</t>
  </si>
  <si>
    <t>3/1/1</t>
  </si>
  <si>
    <t>4/1/1</t>
  </si>
  <si>
    <t>5/1/1</t>
  </si>
  <si>
    <t>6/1/1</t>
  </si>
  <si>
    <t>7/1/1</t>
  </si>
  <si>
    <t>8/1/1</t>
  </si>
  <si>
    <t>1/2/1</t>
  </si>
  <si>
    <t>2/2/1</t>
  </si>
  <si>
    <t>3/2/1</t>
  </si>
  <si>
    <t>4/2/1</t>
  </si>
  <si>
    <t>5/2/1</t>
  </si>
  <si>
    <t>6/2/1</t>
  </si>
  <si>
    <t>7/2/1</t>
  </si>
  <si>
    <t>8/2/1</t>
  </si>
  <si>
    <t>9/2/1</t>
  </si>
  <si>
    <t>10/2/1</t>
  </si>
  <si>
    <t>11/2/1</t>
  </si>
  <si>
    <t>12/2/1</t>
  </si>
  <si>
    <t>13/2/1</t>
  </si>
  <si>
    <t>14/2/1</t>
  </si>
  <si>
    <t>15/2/1</t>
  </si>
  <si>
    <t>16/2/1</t>
  </si>
  <si>
    <t>17/2/1</t>
  </si>
  <si>
    <t>18/2/1</t>
  </si>
  <si>
    <t>19/2/1</t>
  </si>
  <si>
    <t>20/2/1</t>
  </si>
  <si>
    <t>21/2/1</t>
  </si>
  <si>
    <t>1/3/1</t>
  </si>
  <si>
    <t>2/3/1</t>
  </si>
  <si>
    <t>3/3/1</t>
  </si>
  <si>
    <t>4/3/1</t>
  </si>
  <si>
    <t>5/3/1</t>
  </si>
  <si>
    <t>6/3/1</t>
  </si>
  <si>
    <t>1/1/2</t>
  </si>
  <si>
    <t>2/1/2</t>
  </si>
  <si>
    <t>3/1/2</t>
  </si>
  <si>
    <t>4/1/2</t>
  </si>
  <si>
    <t>5/1/2</t>
  </si>
  <si>
    <t>6/1/2</t>
  </si>
  <si>
    <t>7/1/2</t>
  </si>
  <si>
    <t>1/2/2</t>
  </si>
  <si>
    <t>2/2/2</t>
  </si>
  <si>
    <t>3/2/2</t>
  </si>
  <si>
    <t>4/2/2</t>
  </si>
  <si>
    <t>5/2/2</t>
  </si>
  <si>
    <t>6/2/2</t>
  </si>
  <si>
    <t>7/2/2</t>
  </si>
  <si>
    <t>8/2/2</t>
  </si>
  <si>
    <t>9/2/2</t>
  </si>
  <si>
    <t>10/2/2</t>
  </si>
  <si>
    <t>11/2/2</t>
  </si>
  <si>
    <t>12/2/2</t>
  </si>
  <si>
    <t>13/2/2</t>
  </si>
  <si>
    <t>14/2/2</t>
  </si>
  <si>
    <t>15/2/2</t>
  </si>
  <si>
    <t>16/2/2</t>
  </si>
  <si>
    <t>17/2/2</t>
  </si>
  <si>
    <t>18/2/2</t>
  </si>
  <si>
    <t>19/2/2</t>
  </si>
  <si>
    <t>20/2/2</t>
  </si>
  <si>
    <t>1/3/2</t>
  </si>
  <si>
    <t>2/3/2</t>
  </si>
  <si>
    <t>4/3/2</t>
  </si>
  <si>
    <t>5/3/2</t>
  </si>
  <si>
    <t>6/3/2</t>
  </si>
  <si>
    <t>3/3/2</t>
  </si>
  <si>
    <t>1/1/3</t>
  </si>
  <si>
    <t>2/1/3</t>
  </si>
  <si>
    <t>3/1/3</t>
  </si>
  <si>
    <t>4/1/3</t>
  </si>
  <si>
    <t>5/1/3</t>
  </si>
  <si>
    <t>6/1/3</t>
  </si>
  <si>
    <t>7/1/3</t>
  </si>
  <si>
    <t>1/2/3</t>
  </si>
  <si>
    <t>2/2/3</t>
  </si>
  <si>
    <t>3/2/3</t>
  </si>
  <si>
    <t>4/2/3</t>
  </si>
  <si>
    <t>5/2/3</t>
  </si>
  <si>
    <t>6/2/3</t>
  </si>
  <si>
    <t>7/2/3</t>
  </si>
  <si>
    <t>8/2/3</t>
  </si>
  <si>
    <t>9/2/3</t>
  </si>
  <si>
    <t>10/2/3</t>
  </si>
  <si>
    <t>11/2/3</t>
  </si>
  <si>
    <t>12/2/3</t>
  </si>
  <si>
    <t>13/2/3</t>
  </si>
  <si>
    <t>14/2/3</t>
  </si>
  <si>
    <t>15/2/3</t>
  </si>
  <si>
    <t>16/2/3</t>
  </si>
  <si>
    <t>17/2/3</t>
  </si>
  <si>
    <t>18/2/3</t>
  </si>
  <si>
    <t>19/2/3</t>
  </si>
  <si>
    <t>20/2/3</t>
  </si>
  <si>
    <t>21/2/3</t>
  </si>
  <si>
    <t>22/2/3</t>
  </si>
  <si>
    <t>23/2/3</t>
  </si>
  <si>
    <t>1/3/3</t>
  </si>
  <si>
    <t>2/3/3</t>
  </si>
  <si>
    <t>3/3/3</t>
  </si>
  <si>
    <t>4/3/3</t>
  </si>
  <si>
    <t>5/3/3</t>
  </si>
  <si>
    <t>6/3/3</t>
  </si>
  <si>
    <t>7/3/3</t>
  </si>
  <si>
    <t>8/3/3</t>
  </si>
  <si>
    <t>9/3/3</t>
  </si>
  <si>
    <t>1/1/4</t>
  </si>
  <si>
    <t>2/1/4</t>
  </si>
  <si>
    <t>3/1/4</t>
  </si>
  <si>
    <t>4/1/4</t>
  </si>
  <si>
    <t>5/1/4</t>
  </si>
  <si>
    <t>6/1/4</t>
  </si>
  <si>
    <t>7/1/4</t>
  </si>
  <si>
    <t>8/1/4</t>
  </si>
  <si>
    <t>9/1/4</t>
  </si>
  <si>
    <t>10/1/4</t>
  </si>
  <si>
    <t>11/1/4</t>
  </si>
  <si>
    <t>12/1/4</t>
  </si>
  <si>
    <t>13/1/4</t>
  </si>
  <si>
    <t>14/1/4</t>
  </si>
  <si>
    <t>15/1/4</t>
  </si>
  <si>
    <t>18/1/4</t>
  </si>
  <si>
    <t>19/1/4</t>
  </si>
  <si>
    <t>1/2/4</t>
  </si>
  <si>
    <t>2/2/4</t>
  </si>
  <si>
    <t>3/2/4</t>
  </si>
  <si>
    <t>4/2/4</t>
  </si>
  <si>
    <t>5/2/4</t>
  </si>
  <si>
    <t>تداول منتج تجميلي مضبوط أو متعهد عليه بعدم التصرف قبل إنهاء إجراءات فك الحجز  (التحريز)</t>
  </si>
  <si>
    <t>للمنشأة</t>
  </si>
  <si>
    <t>الإعلان  عن منتج تجميلي يحتوي على ما يخالف أحكام الشريعة الإسلامية والآداب العامة</t>
  </si>
  <si>
    <t>الإعلان  عن منتج تجميلي غير مدرج</t>
  </si>
  <si>
    <t>عدم تفرغ المدير الفني للمستودع</t>
  </si>
  <si>
    <t>منشآت صغيرة</t>
  </si>
  <si>
    <t>عدم إبلاغ الهيئة عن تغيير المدير الفني للمصنع خلال خمسة أيام عمل من تاريخ تغيير المدير الفني</t>
  </si>
  <si>
    <t>تداول منتج تجميلي مغشوش</t>
  </si>
  <si>
    <t>حد قيمة الغرامة</t>
  </si>
  <si>
    <t xml:space="preserve">أولاً : مصنع منتجات التجميل </t>
  </si>
  <si>
    <t xml:space="preserve"> الفصل الأول : مخالفات ترخيص المنشأة</t>
  </si>
  <si>
    <t>ثانياً : مستودع منتجات التجميل</t>
  </si>
  <si>
    <t xml:space="preserve">الفصل الثاني : مخالفات تداول المنتج التجميلي </t>
  </si>
  <si>
    <t xml:space="preserve">الفصل الأول : مخالفات إدراج المنتج التجميلي </t>
  </si>
  <si>
    <t xml:space="preserve"> الفصل الثاني : مخالفات تداول المنتج التجميلي </t>
  </si>
  <si>
    <t xml:space="preserve">الفصل الأول : مخالفات تداول المنتج التجميلي </t>
  </si>
  <si>
    <t>عدم الالتزام بتقديم ملف معلومات المنتج التجميلي المدرج عند طلبه من الهيئة</t>
  </si>
  <si>
    <t>ملف معلومات المنتج التجميلي المدرج المقدم للهيئة   لا يحتوي على كامل المعلومات المطلوبة للمنتج التجميلي</t>
  </si>
  <si>
    <t>عدم إبلاغ الهيئة عن التغييرات  في المصنع أو المعلومات التي تم تقديمها للحصول على الترخيص</t>
  </si>
  <si>
    <t>عدم  تمكين المفتش من دخول منفذ البيع أو أحد مرافقه</t>
  </si>
  <si>
    <t>تقديم للهيئة بيانات أو معلومات متعلقة بالمنتج التجميلي غير صحيحة</t>
  </si>
  <si>
    <t xml:space="preserve">لكل قرار </t>
  </si>
  <si>
    <t>إتلاف المنتج التجميلي المضبوط أو المتعهد  عليه بعدم التصرف أو صدر له قرار سحب أو استدعاء دون الالتزام بإجراءات الإتلاف المنشورة على موقع الهيئة</t>
  </si>
  <si>
    <t>عدم الالتزام بتقديم ما يثبت مصدر شراء المنتج التجميلي</t>
  </si>
  <si>
    <t xml:space="preserve"> لكل حالة عدم التزام</t>
  </si>
  <si>
    <t xml:space="preserve">  لكل حالة عدم التزام</t>
  </si>
  <si>
    <t>عدم التزام المصنع بتطبيق أسس التصنيع الجيد لمنتجات التجميل المنشورة على موقع الهيئة</t>
  </si>
  <si>
    <t>عدم الالتزام بالشروط أو المتطلبات أو التعاميم المتعلقة بالتداول المنشورة على موقع الهيئة</t>
  </si>
  <si>
    <t xml:space="preserve">  إتلاف المنتج التجميلي دون وجود ما يثبت إتلافه عن طريق شركة متخصصة في التخلص الآمن من النفايات الطبية</t>
  </si>
  <si>
    <t>إتلاف المنتج التجميلي المضبوط أو المتعهد عليه بعدم التصرف أو صدر له قرار سحب أو استدعاء دون الالتزام بإجراءات الإتلاف المنشورة على موقع الهيئة</t>
  </si>
  <si>
    <t>تقديم للهيئة بيانات أو معلومات متعلقة بالمنشأة أو المنتج التجميلي غير صحيحة</t>
  </si>
  <si>
    <t>تداول منتج تجميلي ببيانات أو معلومات تختلف عن ما هو مدرج*</t>
  </si>
  <si>
    <t>عدم إبلاغ الهيئة عن التغييرات في المستودع أو المعلومات التي تم تقديمها للحصول على الترخيص</t>
  </si>
  <si>
    <t>عدم الالتزام بالشروط أو المتطلبات أو التعاميم المتعلقة بالترخيص المنشورة على موقع الهيئة</t>
  </si>
  <si>
    <t>تداول منتج تجميلي فاسد***</t>
  </si>
  <si>
    <t>الإعلان عن منتج تجميلي يحتوي على ما يخالف أحكام الشريعة الإسلامية والآداب العامة</t>
  </si>
  <si>
    <t>عدم الالتزام باشتراطات مدونة أسس ممارسة التوزيع والتخزين الجيدة المنشورة على موقع الهيئة</t>
  </si>
  <si>
    <t>تداول منتج تجميلي مغشوش***</t>
  </si>
  <si>
    <t>عدم إبلاغ الهيئة فوراً عن أي تعديل تم على المنتج التجميلي</t>
  </si>
  <si>
    <t xml:space="preserve"> عدم حصول المدرج على تفويض من المصنع أو الشركة المنتجة مصدق من جهة موثوقة</t>
  </si>
  <si>
    <t>عدم الالتزام بالشروط أو المتطلبات أو التعاميم المتعلقة بالإدراج المنشورة على موقع الهيئة</t>
  </si>
  <si>
    <t>احتواء الملصق التعريفي للمنتج التجميلي على ادعاء مخالف  للشروط أو المتطلبات أو التعاميم المنشورة على موقع الهيئة</t>
  </si>
  <si>
    <t>الإعلان عن منتج تجميلي غير مدرج</t>
  </si>
  <si>
    <t xml:space="preserve"> عدم الالتزام بإجراءات سحب أو استدعاء المنتج التجميلي</t>
  </si>
  <si>
    <t>عدم تنفيذ قرار الهيئة بسحب أو استدعاء المنتج التجميلي</t>
  </si>
  <si>
    <t>تداول منتج تجميلي صدر له قرار سحب أو أعلنت الهيئة عن إلغائه أو حظره أو استدعائه أو تعليق تداوله</t>
  </si>
  <si>
    <t>تداول منتج تجميلي صدر له قرار سحب أو أعلنت الهيئة عن إلغائه أو حظره أو استدعائه أو تعليق تداوله**</t>
  </si>
  <si>
    <t>17/1/4</t>
  </si>
  <si>
    <t>عدم الالتزام بالشروط والضوابط المتعلقة بالإعلان و الدعاية عن منتجات التجميل المنشورة على موقع الهيئة</t>
  </si>
  <si>
    <t>مزاولة المصنع النشاط بعد اغلاقه أو الغاء ترخيصه من قبل الهيئة</t>
  </si>
  <si>
    <t>مزاولة المصنع النشاط بعد إيقاف خطوط الإنتاج</t>
  </si>
  <si>
    <t>7/3/1</t>
  </si>
  <si>
    <t>مزاولة المستودع النشاط بعد اغلاقه أو الغاء ترخيصه من قبل الهيئة</t>
  </si>
  <si>
    <t>تداول منتج تجميلي لا يحتوي على التحذيرات اللازمة على عبوة المنتج التجميلي</t>
  </si>
  <si>
    <t>21/2/2</t>
  </si>
  <si>
    <t>عدم الالتزام بالشروط أو المتطلبات أو التعاميم المتعلقة بكتابة البيانات المطلوبة على الملصق التعريفي المنشورة على موقع الهيئة</t>
  </si>
  <si>
    <t xml:space="preserve">لكل شكل وحجم  للمنتج التجميلي </t>
  </si>
  <si>
    <t xml:space="preserve">لكل شكل وحجم للمنتج التجميلي </t>
  </si>
  <si>
    <t>لكل شكل وحجم للمنتج التجميلي</t>
  </si>
  <si>
    <t>إدراج منتج تجميلي في سجل منتجات التجميل بالهيئة يحتوي على مواد محظورة</t>
  </si>
  <si>
    <t>إدراج منتج تجميلي في سجل منتجات التجميل بالهيئة يحتوي على مواد مقيدة مخالفة لشروط تقييدها</t>
  </si>
  <si>
    <t>إدراج منتج تجميلي في سجل منتجات التجميل بالهيئة يحتوي على ادعاءات مخالفة</t>
  </si>
  <si>
    <t>8/1/3</t>
  </si>
  <si>
    <t>9/1/3</t>
  </si>
  <si>
    <t>10/1/3</t>
  </si>
  <si>
    <t>نقل أو استلم منتجات التجميل بوسيلة نقل غير مناسبة لذلك</t>
  </si>
  <si>
    <t>لكل عملية نقل أو استلام</t>
  </si>
  <si>
    <t>قيمة ثابتة</t>
  </si>
  <si>
    <t>عدم الالتزام بالأحكام والمسؤوليات بين المؤجر والمستأجر والشروط الخاصة بالتخزين للغير المنشورة على موقع الهيئة</t>
  </si>
  <si>
    <t>الحد الأعلى</t>
  </si>
  <si>
    <t>الحد الأدنى</t>
  </si>
  <si>
    <t>8/1/2</t>
  </si>
  <si>
    <t>عدم وجود مقاييس للحرارة والرطوبة</t>
  </si>
  <si>
    <t>جــدول تصنيـــف المخالفات والعقوبات المقررة لها وفقاً لنظام منتجــات التجميــل ولائحتــه التنفيذيــة</t>
  </si>
  <si>
    <t>لكل حالة عدم التزام بما لا يزيد على 50,000 ريال</t>
  </si>
  <si>
    <t>لكل شكل وحجم  للمنتج التجميلي بما لا يزيد على  150,000 ريال</t>
  </si>
  <si>
    <t>لكل شكل وحجم للمنتج التجميلي بما لا يزيد على 50,000 ريال</t>
  </si>
  <si>
    <t>لكل دعاية أو إعلان بما لا يزيد على 50,000 ريال</t>
  </si>
  <si>
    <t xml:space="preserve"> الفصل الثالث : مخالفات عامة</t>
  </si>
  <si>
    <t xml:space="preserve"> الفصل الثاني : مخالفات عامة</t>
  </si>
  <si>
    <t xml:space="preserve"> إعاقة عمل المفتش عن أداء مهامه التفتيشية</t>
  </si>
  <si>
    <t>عدم تمكين المفتش من دخول المصنع أو  أحد مرافقه</t>
  </si>
  <si>
    <t>لكل حالة عدم التزام بما لا يزيد على 30,000 ريال</t>
  </si>
  <si>
    <t>لكل شكل وحجم للمنتج التجميلي بما لا يزيد على 30,000 ريال</t>
  </si>
  <si>
    <t xml:space="preserve"> لكل حالة عدم التزام بما لا يزيد على 30,000 ريال</t>
  </si>
  <si>
    <t xml:space="preserve">لكل دعاية أو إعلان بما لا يزيد على 30,000 ريال </t>
  </si>
  <si>
    <t>لكل دعاية أو إعلان بما لا يزيد على 30,000 ريال</t>
  </si>
  <si>
    <t>لكل حالة عدم التزام بما لا يزيد على 30,000 ريال</t>
  </si>
  <si>
    <t>عدم تمكين المفتش من دخول المستودع أو  أحد مرافقه</t>
  </si>
  <si>
    <t>لكل شكل وحجم للمنتج التجميلي بما لا يزيد على 50,000 ريال</t>
  </si>
  <si>
    <t>لكل شكل وحجم للمنتج التجميلي بما لا يزيد على 150,000 ريال</t>
  </si>
  <si>
    <t>لكل شكل وحجم للمنتج التجميلي بما لا يزيد على 10,000 ريال</t>
  </si>
  <si>
    <t>لكل حالة عدم التزام بما لا يزيد على 10,000 ريال</t>
  </si>
  <si>
    <t>لكل دعاية أو إعلان بما لا يزيد على 10,000 ريال</t>
  </si>
  <si>
    <t>نظام منتجات التجميل</t>
  </si>
  <si>
    <t>اللائحة التنفيذية لنظام منتجات التجميل</t>
  </si>
  <si>
    <t>المادة الثالثة عشر من نظام منتجات التجميل</t>
  </si>
  <si>
    <t>المادة السادسة عشر من نظام منتجات التجميل</t>
  </si>
  <si>
    <t>السند النظامي</t>
  </si>
  <si>
    <t>المادة العشرون من نظام منتجات التجميل</t>
  </si>
  <si>
    <t>المادة الخامسة عشر من نظام منتجات التجميل</t>
  </si>
  <si>
    <t>المادة الثانية من نظام منتجات التجميل</t>
  </si>
  <si>
    <t>المادة السادسة من نظام منتجات التجميل</t>
  </si>
  <si>
    <t>المادة الحادية عشر من نظام منتجات التجميل</t>
  </si>
  <si>
    <t>المادة الحادية والثلاثون من نظام منتجات التجميل</t>
  </si>
  <si>
    <t>المادة السابعة والعشرون من نظام منتجات التجميل</t>
  </si>
  <si>
    <t>المادة الحادية والعشرون من نظام منتجات التجميل</t>
  </si>
  <si>
    <t>المادة الثامنة عشر من نظام منتجات التجميل</t>
  </si>
  <si>
    <t>المادة  الثلاثون من نظام منتجات التجميل</t>
  </si>
  <si>
    <t>المادة الثلاثون من نظام منتجات التجميل</t>
  </si>
  <si>
    <t>المادة الرابعة والثلاثون من نظام منتجات التجميل</t>
  </si>
  <si>
    <t>المادة التاسعة عشر من نظام منتجات التجميل</t>
  </si>
  <si>
    <t>المادة العاشرة من نظام منتجات التجميل</t>
  </si>
  <si>
    <t>المادة السادسة والعشرون من نظام منتجات التجميل</t>
  </si>
  <si>
    <t>المادة رقم (15 - 1 - ل) من اللائحة التنفيذية لنظام منتجات التجميل</t>
  </si>
  <si>
    <t>المادة رقم (16 - 1 - ل ) من اللائحة التنفيذية لنظام منتجات التجميل</t>
  </si>
  <si>
    <t>المادة رقم (11  - 1 - ل) من اللائحة التنفيذية لنظام منتجات التجميل</t>
  </si>
  <si>
    <t>المادة رقم (9  - 1 - ل) من اللائحة التنفيذية من لنظام منتجات التجميل</t>
  </si>
  <si>
    <t>المادة رقم (21  - 1 - ل) من اللائحة التنفيذية رقم لنظام منتجات التجميل</t>
  </si>
  <si>
    <t>المادة رقم (29  - 3 - ل) من اللائحة التنفيذية  لنظام منتجات التجميل</t>
  </si>
  <si>
    <t>المادة رقم (19  - 1 - ل)  من اللائحة التنفيذية لنظام منتجات التجميل</t>
  </si>
  <si>
    <t>المادة رقم( 29  - 3 - ل) من اللائحة التنفيذية لنظام منتجات التجميل</t>
  </si>
  <si>
    <t>المادة رقم  (33  - 1 - ل) من اللائحة التنفيذية لنظام منتجات التجميل</t>
  </si>
  <si>
    <t>المادة الثلاثون من نظام منتجات التجميل
+
المادة رقم  (29  - 2 - ل) من اللائحة التنفيذية لنظام منتجات التجميل</t>
  </si>
  <si>
    <t>المادة رقم (7  -2 - ل) من اللائحة التنفيذية لنظام منتجات التجميل</t>
  </si>
  <si>
    <t>المادة الرابعة من نظام منتجات التجميل
+
المادة رقم (7  - 1 - ل) من اللائحة التنفيذية لنظام منتجات التجميل</t>
  </si>
  <si>
    <t>المادة رقم (7  - 1 - ل) من اللائحة التنفيذية لنظام منتجات التجميل</t>
  </si>
  <si>
    <t>المادة رقم  (11  -1 - ل) من اللائحة التنفيذية لنظام منتجات التجميل</t>
  </si>
  <si>
    <t>المادة رقم  (11  -2 - ل) من اللائحة التنفيذية لنظام منتجات التجميل</t>
  </si>
  <si>
    <t>المادة رقم (29  - 3 - ل) من اللائحة التنفيذية لنظام منتجات التجميل</t>
  </si>
  <si>
    <t>9/1/1</t>
  </si>
  <si>
    <t>بدء الإنتاج بالمصنع قبل تعيين مدير فني</t>
  </si>
  <si>
    <t>المادة رقم (15) من نظام منتجات التجميل</t>
  </si>
  <si>
    <t>عدم الا لتز ام عند بد ء الإنتاج بالمصنع بأن يكون المد ير الفني سعودي</t>
  </si>
  <si>
    <t>عدم تعيين مدير فني</t>
  </si>
  <si>
    <t>عدم الالتز ام بأن يكون المدير الفني سعودي</t>
  </si>
  <si>
    <t>9/1/2</t>
  </si>
  <si>
    <t>المادة رقم (19  - 1 - ل) من اللائحة التنفيذية  لنظام منتجات التجميل</t>
  </si>
  <si>
    <t>المادة رقم (9  - 1 - ل) من اللائحة التنفيذية  لنظام منتجات التجميل</t>
  </si>
  <si>
    <t>المادة رقم (21  - 1 - ل) من اللائحة التنفيذية لنظام منتجات التجميل</t>
  </si>
  <si>
    <t>المادة رقم (21  - 2 - ل) من اللائحة التنفيذية  لنظام منتجات التجميل</t>
  </si>
  <si>
    <t>المادة رقم (19  - 1 - ل) من اللائحة التنفيذية لنظام منتجات التجميل</t>
  </si>
  <si>
    <t>المادة رقم (21  - 1 - ل) من اللائحة التنفيذية  لنظام منتجات التجميل</t>
  </si>
  <si>
    <t>المادة رقم (26  - 2 - ل) من اللائحة التنفيذية  لنظام منتجات التجميل</t>
  </si>
  <si>
    <t>المادة رقم (9  - 1 - ل) من اللائحة التنفيذية لنظام منتجات التجميل</t>
  </si>
  <si>
    <t>المادة رقم (21  - 2 - ل) من اللائحة التنفيذية لنظام منتجات التجميل</t>
  </si>
  <si>
    <t>المادة الثالثة من نظام منتجات التجميل</t>
  </si>
  <si>
    <t xml:space="preserve"> الفصل الثاني :مخالفات تداول المنتج التجميلي </t>
  </si>
  <si>
    <t>16/1/4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</si>
</sst>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Sakkal Majalla"/>
    </font>
    <font>
      <b/>
      <sz val="11"/>
      <name val="Sakkal Majalla"/>
    </font>
    <font>
      <b/>
      <sz val="16"/>
      <name val="Sakkal Majalla"/>
    </font>
    <font>
      <sz val="11"/>
      <name val="Calibri"/>
      <family val="2"/>
      <scheme val="minor"/>
    </font>
    <font>
      <sz val="12"/>
      <color rgb="FFFF0000"/>
      <name val="Sakkal Majalla"/>
    </font>
    <font>
      <sz val="12"/>
      <color rgb="FFFF0000"/>
      <name val="Calibri"/>
      <family val="2"/>
      <scheme val="minor"/>
    </font>
    <font>
      <sz val="12"/>
      <name val="Sakkal Majalla"/>
    </font>
    <font>
      <sz val="12"/>
      <color theme="1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2EFD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22" xfId="0" applyFont="1" applyBorder="1" applyAlignment="1" applyProtection="1">
      <alignment horizontal="center" vertical="center" wrapText="1" readingOrder="2"/>
      <protection locked="0"/>
    </xf>
    <xf numFmtId="3" fontId="3" fillId="0" borderId="10" xfId="0" applyNumberFormat="1" applyFont="1" applyBorder="1" applyAlignment="1" applyProtection="1">
      <alignment horizontal="center" vertical="center" wrapText="1" readingOrder="2"/>
      <protection locked="0"/>
    </xf>
    <xf numFmtId="3" fontId="3" fillId="0" borderId="12" xfId="0" applyNumberFormat="1" applyFont="1" applyBorder="1" applyAlignment="1" applyProtection="1">
      <alignment horizontal="center" vertical="center" wrapText="1" readingOrder="2"/>
      <protection hidden="1"/>
    </xf>
    <xf numFmtId="3" fontId="3" fillId="0" borderId="10" xfId="0" applyNumberFormat="1" applyFont="1" applyBorder="1" applyAlignment="1" applyProtection="1">
      <alignment horizontal="center" vertical="center" wrapText="1" readingOrder="2"/>
      <protection hidden="1"/>
    </xf>
    <xf numFmtId="3" fontId="3" fillId="0" borderId="13" xfId="0" applyNumberFormat="1" applyFont="1" applyBorder="1" applyAlignment="1" applyProtection="1">
      <alignment horizontal="center" vertical="center" wrapText="1" readingOrder="2"/>
      <protection hidden="1"/>
    </xf>
    <xf numFmtId="3" fontId="3" fillId="0" borderId="14" xfId="0" applyNumberFormat="1" applyFont="1" applyBorder="1" applyAlignment="1" applyProtection="1">
      <alignment horizontal="center" vertical="center" wrapText="1" readingOrder="2"/>
      <protection hidden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hidden="1"/>
    </xf>
    <xf numFmtId="0" fontId="3" fillId="0" borderId="11" xfId="0" applyFont="1" applyBorder="1" applyAlignment="1" applyProtection="1">
      <alignment horizontal="center" vertical="center" wrapText="1" readingOrder="2"/>
      <protection hidden="1"/>
    </xf>
    <xf numFmtId="0" fontId="3" fillId="0" borderId="10" xfId="0" applyFont="1" applyBorder="1" applyAlignment="1" applyProtection="1">
      <alignment horizontal="center" vertical="center" wrapText="1" readingOrder="2"/>
      <protection hidden="1"/>
    </xf>
    <xf numFmtId="0" fontId="3" fillId="0" borderId="13" xfId="0" applyFont="1" applyBorder="1" applyAlignment="1" applyProtection="1">
      <alignment horizontal="center" vertical="center" wrapText="1" readingOrder="2"/>
      <protection hidden="1"/>
    </xf>
    <xf numFmtId="0" fontId="3" fillId="0" borderId="14" xfId="0" applyFont="1" applyBorder="1" applyAlignment="1" applyProtection="1">
      <alignment horizontal="center" vertical="center" wrapText="1" readingOrder="2"/>
      <protection hidden="1"/>
    </xf>
    <xf numFmtId="0" fontId="3" fillId="0" borderId="15" xfId="0" applyFont="1" applyBorder="1" applyAlignment="1" applyProtection="1">
      <alignment horizontal="center" vertical="center" wrapText="1" readingOrder="2"/>
      <protection hidden="1"/>
    </xf>
    <xf numFmtId="49" fontId="2" fillId="0" borderId="1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5" borderId="1" xfId="0" applyFont="1" applyFill="1" applyBorder="1" applyAlignment="1" applyProtection="1">
      <alignment horizontal="center" vertical="center" wrapText="1" readingOrder="2"/>
      <protection locked="0"/>
    </xf>
    <xf numFmtId="0" fontId="2" fillId="0" borderId="1" xfId="0" applyFont="1" applyFill="1" applyBorder="1" applyAlignment="1" applyProtection="1">
      <alignment horizontal="center" vertical="center" wrapText="1" readingOrder="2"/>
      <protection locked="0"/>
    </xf>
    <xf numFmtId="49" fontId="2" fillId="5" borderId="2" xfId="0" applyNumberFormat="1" applyFont="1" applyFill="1" applyBorder="1" applyAlignment="1" applyProtection="1">
      <alignment horizontal="center" vertical="center" wrapText="1" readingOrder="2"/>
      <protection locked="0"/>
    </xf>
    <xf numFmtId="3" fontId="2" fillId="5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0" xfId="0" applyFont="1"/>
    <xf numFmtId="3" fontId="3" fillId="0" borderId="16" xfId="0" applyNumberFormat="1" applyFont="1" applyBorder="1" applyAlignment="1" applyProtection="1">
      <alignment horizontal="center" vertical="center" wrapText="1" readingOrder="2"/>
      <protection hidden="1"/>
    </xf>
    <xf numFmtId="3" fontId="3" fillId="0" borderId="17" xfId="0" applyNumberFormat="1" applyFont="1" applyBorder="1" applyAlignment="1" applyProtection="1">
      <alignment horizontal="center" vertical="center" wrapText="1" readingOrder="2"/>
      <protection hidden="1"/>
    </xf>
    <xf numFmtId="3" fontId="2" fillId="0" borderId="8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 applyProtection="1">
      <alignment horizontal="center" vertical="center" wrapText="1" readingOrder="2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Fill="1" applyBorder="1" applyAlignment="1" applyProtection="1">
      <alignment horizontal="center" vertical="center" wrapText="1" readingOrder="2"/>
      <protection locked="0"/>
    </xf>
    <xf numFmtId="3" fontId="3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0" borderId="12" xfId="0" applyNumberFormat="1" applyFont="1" applyFill="1" applyBorder="1" applyAlignment="1" applyProtection="1">
      <alignment horizontal="center" vertical="center" wrapText="1" readingOrder="2"/>
      <protection hidden="1"/>
    </xf>
    <xf numFmtId="3" fontId="3" fillId="0" borderId="10" xfId="0" applyNumberFormat="1" applyFont="1" applyFill="1" applyBorder="1" applyAlignment="1" applyProtection="1">
      <alignment horizontal="center" vertical="center" wrapText="1" readingOrder="2"/>
      <protection hidden="1"/>
    </xf>
    <xf numFmtId="3" fontId="3" fillId="0" borderId="13" xfId="0" applyNumberFormat="1" applyFont="1" applyFill="1" applyBorder="1" applyAlignment="1" applyProtection="1">
      <alignment horizontal="center" vertical="center" wrapText="1" readingOrder="2"/>
      <protection hidden="1"/>
    </xf>
    <xf numFmtId="3" fontId="3" fillId="0" borderId="14" xfId="0" applyNumberFormat="1" applyFont="1" applyFill="1" applyBorder="1" applyAlignment="1" applyProtection="1">
      <alignment horizontal="center" vertical="center" wrapText="1" readingOrder="2"/>
      <protection hidden="1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Border="1" applyAlignment="1" applyProtection="1">
      <alignment horizontal="center" vertical="center" wrapText="1" readingOrder="2"/>
      <protection locked="0"/>
    </xf>
    <xf numFmtId="49" fontId="2" fillId="0" borderId="5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Fill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4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0" xfId="0" applyFont="1" applyFill="1"/>
    <xf numFmtId="164" fontId="5" fillId="0" borderId="0" xfId="1" applyNumberFormat="1" applyFont="1" applyFill="1"/>
    <xf numFmtId="0" fontId="3" fillId="0" borderId="0" xfId="0" applyFont="1" applyAlignment="1">
      <alignment horizontal="center" vertical="center" wrapText="1" readingOrder="2"/>
    </xf>
    <xf numFmtId="0" fontId="5" fillId="0" borderId="0" xfId="0" applyFont="1" applyProtection="1">
      <protection locked="0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readingOrder="2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5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5" borderId="9" xfId="0" applyFont="1" applyFill="1" applyBorder="1" applyAlignment="1" applyProtection="1">
      <alignment horizontal="center" vertical="center" wrapText="1" readingOrder="2"/>
      <protection locked="0"/>
    </xf>
    <xf numFmtId="49" fontId="2" fillId="0" borderId="7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 applyProtection="1">
      <alignment horizontal="center" vertical="center" wrapText="1" readingOrder="2"/>
      <protection locked="0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Border="1" applyAlignment="1" applyProtection="1">
      <alignment horizontal="center" vertical="center" wrapText="1" readingOrder="2"/>
      <protection locked="0"/>
    </xf>
    <xf numFmtId="49" fontId="2" fillId="0" borderId="5" xfId="0" applyNumberFormat="1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9" fillId="0" borderId="9" xfId="0" applyFont="1" applyBorder="1" applyAlignment="1" applyProtection="1">
      <alignment horizontal="center" vertical="center" wrapText="1" readingOrder="2"/>
      <protection locked="0"/>
    </xf>
    <xf numFmtId="0" fontId="9" fillId="0" borderId="5" xfId="0" applyFont="1" applyBorder="1" applyAlignment="1" applyProtection="1">
      <alignment horizontal="center" vertical="center" wrapText="1" readingOrder="2"/>
      <protection locked="0"/>
    </xf>
    <xf numFmtId="0" fontId="2" fillId="7" borderId="22" xfId="0" applyFont="1" applyFill="1" applyBorder="1" applyAlignment="1">
      <alignment horizontal="center" vertical="center" wrapText="1" readingOrder="2"/>
    </xf>
    <xf numFmtId="0" fontId="2" fillId="7" borderId="24" xfId="0" applyFont="1" applyFill="1" applyBorder="1" applyAlignment="1">
      <alignment horizontal="center" vertical="center" wrapText="1" readingOrder="2"/>
    </xf>
    <xf numFmtId="0" fontId="9" fillId="0" borderId="7" xfId="0" applyFont="1" applyBorder="1" applyAlignment="1" applyProtection="1">
      <alignment horizontal="center" vertical="center" wrapText="1" readingOrder="2"/>
      <protection locked="0"/>
    </xf>
    <xf numFmtId="0" fontId="4" fillId="4" borderId="9" xfId="0" applyFont="1" applyFill="1" applyBorder="1" applyAlignment="1" applyProtection="1">
      <alignment horizontal="center" vertical="center" wrapText="1" readingOrder="2"/>
      <protection locked="0"/>
    </xf>
    <xf numFmtId="0" fontId="4" fillId="4" borderId="7" xfId="0" applyFont="1" applyFill="1" applyBorder="1" applyAlignment="1" applyProtection="1">
      <alignment horizontal="center" vertical="center" wrapText="1" readingOrder="2"/>
      <protection locked="0"/>
    </xf>
    <xf numFmtId="0" fontId="4" fillId="2" borderId="18" xfId="0" applyFont="1" applyFill="1" applyBorder="1" applyAlignment="1" applyProtection="1">
      <alignment horizontal="center" vertical="center" wrapText="1" readingOrder="2"/>
      <protection locked="0"/>
    </xf>
    <xf numFmtId="0" fontId="4" fillId="2" borderId="0" xfId="0" applyFont="1" applyFill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4" borderId="7" xfId="0" applyFont="1" applyFill="1" applyBorder="1" applyAlignment="1" applyProtection="1">
      <alignment horizontal="center" vertical="center" wrapText="1" readingOrder="2"/>
      <protection locked="0"/>
    </xf>
    <xf numFmtId="0" fontId="4" fillId="4" borderId="2" xfId="0" applyFont="1" applyFill="1" applyBorder="1" applyAlignment="1" applyProtection="1">
      <alignment horizontal="center" vertical="center" wrapText="1" readingOrder="2"/>
      <protection locked="0"/>
    </xf>
    <xf numFmtId="0" fontId="4" fillId="4" borderId="3" xfId="0" applyFont="1" applyFill="1" applyBorder="1" applyAlignment="1" applyProtection="1">
      <alignment horizontal="center" vertical="center" wrapText="1" readingOrder="2"/>
      <protection locked="0"/>
    </xf>
    <xf numFmtId="0" fontId="4" fillId="4" borderId="4" xfId="0" applyFont="1" applyFill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3" fontId="3" fillId="0" borderId="2" xfId="0" applyNumberFormat="1" applyFont="1" applyBorder="1" applyAlignment="1" applyProtection="1">
      <alignment horizontal="center" vertical="center" wrapText="1" readingOrder="2"/>
      <protection locked="0"/>
    </xf>
    <xf numFmtId="3" fontId="3" fillId="0" borderId="3" xfId="0" applyNumberFormat="1" applyFont="1" applyBorder="1" applyAlignment="1" applyProtection="1">
      <alignment horizontal="center" vertical="center" wrapText="1" readingOrder="2"/>
      <protection locked="0"/>
    </xf>
    <xf numFmtId="3" fontId="3" fillId="5" borderId="20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5" borderId="21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5" borderId="23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0" borderId="4" xfId="0" applyNumberFormat="1" applyFont="1" applyBorder="1" applyAlignment="1" applyProtection="1">
      <alignment horizontal="center" vertical="center" wrapText="1" readingOrder="2"/>
      <protection locked="0"/>
    </xf>
    <xf numFmtId="3" fontId="3" fillId="5" borderId="2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5" borderId="3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6" borderId="1" xfId="0" applyFont="1" applyFill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3" fontId="3" fillId="0" borderId="2" xfId="0" applyNumberFormat="1" applyFont="1" applyFill="1" applyBorder="1" applyAlignment="1" applyProtection="1">
      <alignment horizontal="center" vertical="center" wrapText="1" readingOrder="2"/>
      <protection locked="0"/>
    </xf>
    <xf numFmtId="3" fontId="3" fillId="0" borderId="3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3" borderId="18" xfId="0" applyFont="1" applyFill="1" applyBorder="1" applyAlignment="1" applyProtection="1">
      <alignment horizontal="center" vertical="center" wrapText="1" readingOrder="2"/>
      <protection locked="0"/>
    </xf>
    <xf numFmtId="0" fontId="4" fillId="3" borderId="0" xfId="0" applyFont="1" applyFill="1" applyAlignment="1" applyProtection="1">
      <alignment horizontal="center" vertical="center" wrapText="1" readingOrder="2"/>
      <protection locked="0"/>
    </xf>
    <xf numFmtId="0" fontId="4" fillId="2" borderId="20" xfId="0" applyFont="1" applyFill="1" applyBorder="1" applyAlignment="1" applyProtection="1">
      <alignment horizontal="center" vertical="center" wrapText="1" readingOrder="2"/>
      <protection locked="0"/>
    </xf>
    <xf numFmtId="0" fontId="4" fillId="2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5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horizontal="center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49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49" fontId="2" fillId="0" borderId="5" xfId="0" applyNumberFormat="1" applyFont="1" applyFill="1" applyBorder="1" applyAlignment="1" applyProtection="1">
      <alignment horizontal="center" vertical="center" wrapText="1" readingOrder="2"/>
      <protection locked="0"/>
    </xf>
    <xf numFmtId="0" fontId="2" fillId="5" borderId="9" xfId="0" applyFont="1" applyFill="1" applyBorder="1" applyAlignment="1" applyProtection="1">
      <alignment horizontal="center" vertical="center" wrapText="1" readingOrder="2"/>
      <protection locked="0"/>
    </xf>
    <xf numFmtId="0" fontId="2" fillId="5" borderId="5" xfId="0" applyFont="1" applyFill="1" applyBorder="1" applyAlignment="1" applyProtection="1">
      <alignment horizontal="center" vertical="center" wrapText="1" readingOrder="2"/>
      <protection locked="0"/>
    </xf>
    <xf numFmtId="0" fontId="4" fillId="4" borderId="5" xfId="0" applyFont="1" applyFill="1" applyBorder="1" applyAlignment="1" applyProtection="1">
      <alignment horizontal="center" vertical="center" wrapText="1" readingOrder="2"/>
      <protection locked="0"/>
    </xf>
    <xf numFmtId="3" fontId="3" fillId="0" borderId="4" xfId="0" applyNumberFormat="1" applyFont="1" applyFill="1" applyBorder="1" applyAlignment="1" applyProtection="1">
      <alignment horizontal="center" vertical="center" wrapText="1" readingOrder="2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rightToLeft="1" topLeftCell="A25" zoomScaleNormal="100" workbookViewId="0">
      <selection activeCell="B44" sqref="B44:B45"/>
    </sheetView>
  </sheetViews>
  <sheetFormatPr defaultColWidth="8.85546875" defaultRowHeight="15" x14ac:dyDescent="0.25"/>
  <cols>
    <col min="1" max="1" width="9.140625" style="43" customWidth="1"/>
    <col min="2" max="2" width="24.140625" style="43" customWidth="1"/>
    <col min="3" max="3" width="10.28515625" style="43" customWidth="1"/>
    <col min="4" max="16" width="9.140625" style="43"/>
    <col min="17" max="17" width="19.140625" style="20" customWidth="1"/>
    <col min="18" max="18" width="24.42578125" style="20" customWidth="1"/>
    <col min="19" max="20" width="9.42578125" style="20" bestFit="1" customWidth="1"/>
    <col min="21" max="16384" width="8.85546875" style="20"/>
  </cols>
  <sheetData>
    <row r="1" spans="1:20" ht="31.5" customHeight="1" thickBot="1" x14ac:dyDescent="0.3">
      <c r="A1" s="91" t="s">
        <v>241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20" ht="24.75" customHeight="1" x14ac:dyDescent="0.25">
      <c r="A2" s="74" t="s">
        <v>177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20" ht="24.75" customHeight="1" thickBot="1" x14ac:dyDescent="0.3">
      <c r="A3" s="76" t="s">
        <v>178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20" ht="24" customHeight="1" thickBot="1" x14ac:dyDescent="0.3">
      <c r="A4" s="72" t="s">
        <v>4</v>
      </c>
      <c r="B4" s="72" t="s">
        <v>3</v>
      </c>
      <c r="C4" s="72" t="s">
        <v>176</v>
      </c>
      <c r="D4" s="79" t="s">
        <v>2</v>
      </c>
      <c r="E4" s="80"/>
      <c r="F4" s="80"/>
      <c r="G4" s="81"/>
      <c r="H4" s="79" t="s">
        <v>1</v>
      </c>
      <c r="I4" s="80"/>
      <c r="J4" s="80"/>
      <c r="K4" s="81"/>
      <c r="L4" s="79" t="s">
        <v>173</v>
      </c>
      <c r="M4" s="80"/>
      <c r="N4" s="80"/>
      <c r="O4" s="81"/>
      <c r="P4" s="72" t="s">
        <v>0</v>
      </c>
      <c r="Q4" s="72" t="s">
        <v>16</v>
      </c>
      <c r="R4" s="69" t="s">
        <v>266</v>
      </c>
    </row>
    <row r="5" spans="1:20" ht="24" thickBot="1" x14ac:dyDescent="0.3">
      <c r="A5" s="73"/>
      <c r="B5" s="78"/>
      <c r="C5" s="73"/>
      <c r="D5" s="39" t="s">
        <v>8</v>
      </c>
      <c r="E5" s="39" t="s">
        <v>7</v>
      </c>
      <c r="F5" s="39" t="s">
        <v>6</v>
      </c>
      <c r="G5" s="39" t="s">
        <v>5</v>
      </c>
      <c r="H5" s="39" t="s">
        <v>8</v>
      </c>
      <c r="I5" s="39" t="s">
        <v>7</v>
      </c>
      <c r="J5" s="39" t="s">
        <v>6</v>
      </c>
      <c r="K5" s="39" t="s">
        <v>5</v>
      </c>
      <c r="L5" s="39" t="s">
        <v>8</v>
      </c>
      <c r="M5" s="39" t="s">
        <v>7</v>
      </c>
      <c r="N5" s="39" t="s">
        <v>6</v>
      </c>
      <c r="O5" s="39" t="s">
        <v>5</v>
      </c>
      <c r="P5" s="73"/>
      <c r="Q5" s="73"/>
      <c r="R5" s="70"/>
    </row>
    <row r="6" spans="1:20" ht="38.25" thickBot="1" x14ac:dyDescent="0.3">
      <c r="A6" s="14" t="s">
        <v>39</v>
      </c>
      <c r="B6" s="7" t="s">
        <v>30</v>
      </c>
      <c r="C6" s="15" t="s">
        <v>235</v>
      </c>
      <c r="D6" s="83">
        <v>50000</v>
      </c>
      <c r="E6" s="84"/>
      <c r="F6" s="84"/>
      <c r="G6" s="84"/>
      <c r="H6" s="83">
        <f>D6-(D6*20/100)</f>
        <v>40000</v>
      </c>
      <c r="I6" s="84"/>
      <c r="J6" s="84"/>
      <c r="K6" s="84"/>
      <c r="L6" s="83">
        <f>D6-(D6*40/100)</f>
        <v>30000</v>
      </c>
      <c r="M6" s="84"/>
      <c r="N6" s="84"/>
      <c r="O6" s="84"/>
      <c r="P6" s="7" t="s">
        <v>9</v>
      </c>
      <c r="Q6" s="7" t="s">
        <v>169</v>
      </c>
      <c r="R6" s="59" t="s">
        <v>264</v>
      </c>
      <c r="S6" s="42"/>
      <c r="T6" s="42"/>
    </row>
    <row r="7" spans="1:20" ht="18" customHeight="1" x14ac:dyDescent="0.25">
      <c r="A7" s="63" t="s">
        <v>40</v>
      </c>
      <c r="B7" s="65" t="s">
        <v>17</v>
      </c>
      <c r="C7" s="1" t="s">
        <v>237</v>
      </c>
      <c r="D7" s="2">
        <v>5000</v>
      </c>
      <c r="E7" s="3">
        <f>D7-(D7*10/100)</f>
        <v>4500</v>
      </c>
      <c r="F7" s="3">
        <f>D7-(D7*20/100)</f>
        <v>4000</v>
      </c>
      <c r="G7" s="3">
        <f>D7-(D7*30/100)</f>
        <v>3500</v>
      </c>
      <c r="H7" s="4">
        <f>D7-(D7*10/100)</f>
        <v>4500</v>
      </c>
      <c r="I7" s="3">
        <f>H7-(H7*10/100)</f>
        <v>4050</v>
      </c>
      <c r="J7" s="3">
        <f>H7-(H7*20/100)</f>
        <v>3600</v>
      </c>
      <c r="K7" s="3">
        <f>H7-(H7*30/100)</f>
        <v>3150</v>
      </c>
      <c r="L7" s="4">
        <f>D7-(D7*20/100)</f>
        <v>4000</v>
      </c>
      <c r="M7" s="3">
        <f>L7-(L7*10/100)</f>
        <v>3600</v>
      </c>
      <c r="N7" s="3">
        <f>L7-(L7*20/100)</f>
        <v>3200</v>
      </c>
      <c r="O7" s="3">
        <f>L7-(L7*30/100)</f>
        <v>2800</v>
      </c>
      <c r="P7" s="65" t="s">
        <v>10</v>
      </c>
      <c r="Q7" s="65" t="s">
        <v>169</v>
      </c>
      <c r="R7" s="67" t="s">
        <v>267</v>
      </c>
    </row>
    <row r="8" spans="1:20" ht="18.75" customHeight="1" thickBot="1" x14ac:dyDescent="0.3">
      <c r="A8" s="64"/>
      <c r="B8" s="82"/>
      <c r="C8" s="53" t="s">
        <v>238</v>
      </c>
      <c r="D8" s="5">
        <f t="shared" ref="D8:O8" si="0">D7*50/100</f>
        <v>2500</v>
      </c>
      <c r="E8" s="6">
        <f t="shared" si="0"/>
        <v>2250</v>
      </c>
      <c r="F8" s="6">
        <f t="shared" si="0"/>
        <v>2000</v>
      </c>
      <c r="G8" s="6">
        <f t="shared" si="0"/>
        <v>1750</v>
      </c>
      <c r="H8" s="5">
        <f t="shared" si="0"/>
        <v>2250</v>
      </c>
      <c r="I8" s="6">
        <f t="shared" si="0"/>
        <v>2025</v>
      </c>
      <c r="J8" s="6">
        <f t="shared" si="0"/>
        <v>1800</v>
      </c>
      <c r="K8" s="12">
        <f t="shared" si="0"/>
        <v>1575</v>
      </c>
      <c r="L8" s="11">
        <f t="shared" si="0"/>
        <v>2000</v>
      </c>
      <c r="M8" s="12">
        <f t="shared" si="0"/>
        <v>1800</v>
      </c>
      <c r="N8" s="12">
        <f t="shared" si="0"/>
        <v>1600</v>
      </c>
      <c r="O8" s="13">
        <f t="shared" si="0"/>
        <v>1400</v>
      </c>
      <c r="P8" s="66"/>
      <c r="Q8" s="66"/>
      <c r="R8" s="68"/>
    </row>
    <row r="9" spans="1:20" ht="31.5" customHeight="1" thickBot="1" x14ac:dyDescent="0.3">
      <c r="A9" s="14" t="s">
        <v>41</v>
      </c>
      <c r="B9" s="7" t="s">
        <v>25</v>
      </c>
      <c r="C9" s="15" t="s">
        <v>235</v>
      </c>
      <c r="D9" s="83">
        <v>20000</v>
      </c>
      <c r="E9" s="84"/>
      <c r="F9" s="84"/>
      <c r="G9" s="84"/>
      <c r="H9" s="83">
        <f>D9-(D9*20/100)</f>
        <v>16000</v>
      </c>
      <c r="I9" s="84"/>
      <c r="J9" s="84"/>
      <c r="K9" s="84"/>
      <c r="L9" s="83">
        <f>D9-(D9*40/100)</f>
        <v>12000</v>
      </c>
      <c r="M9" s="84"/>
      <c r="N9" s="84"/>
      <c r="O9" s="84"/>
      <c r="P9" s="7" t="s">
        <v>9</v>
      </c>
      <c r="Q9" s="7" t="s">
        <v>169</v>
      </c>
      <c r="R9" s="59" t="s">
        <v>265</v>
      </c>
    </row>
    <row r="10" spans="1:20" ht="38.25" thickBot="1" x14ac:dyDescent="0.3">
      <c r="A10" s="34" t="s">
        <v>42</v>
      </c>
      <c r="B10" s="32" t="s">
        <v>299</v>
      </c>
      <c r="C10" s="15" t="s">
        <v>235</v>
      </c>
      <c r="D10" s="83">
        <v>10000</v>
      </c>
      <c r="E10" s="84"/>
      <c r="F10" s="84"/>
      <c r="G10" s="84"/>
      <c r="H10" s="83">
        <f>D10-(D10*20/100)</f>
        <v>8000</v>
      </c>
      <c r="I10" s="84"/>
      <c r="J10" s="84"/>
      <c r="K10" s="88"/>
      <c r="L10" s="83">
        <f>D10-(D10*40/100)</f>
        <v>6000</v>
      </c>
      <c r="M10" s="84"/>
      <c r="N10" s="84"/>
      <c r="O10" s="88"/>
      <c r="P10" s="7" t="s">
        <v>9</v>
      </c>
      <c r="Q10" s="7" t="s">
        <v>169</v>
      </c>
      <c r="R10" s="59" t="s">
        <v>282</v>
      </c>
    </row>
    <row r="11" spans="1:20" ht="28.5" customHeight="1" x14ac:dyDescent="0.25">
      <c r="A11" s="63" t="s">
        <v>43</v>
      </c>
      <c r="B11" s="65" t="s">
        <v>301</v>
      </c>
      <c r="C11" s="1" t="s">
        <v>237</v>
      </c>
      <c r="D11" s="2">
        <v>5000</v>
      </c>
      <c r="E11" s="3">
        <f>D11-(D11*10/100)</f>
        <v>4500</v>
      </c>
      <c r="F11" s="3">
        <f>D11-(D11*20/100)</f>
        <v>4000</v>
      </c>
      <c r="G11" s="3">
        <f>D11-(D11*30/100)</f>
        <v>3500</v>
      </c>
      <c r="H11" s="4">
        <f>D11-(D11*10/100)</f>
        <v>4500</v>
      </c>
      <c r="I11" s="3">
        <f>H11-(H11*10/100)</f>
        <v>4050</v>
      </c>
      <c r="J11" s="3">
        <f>H11-(H11*20/100)</f>
        <v>3600</v>
      </c>
      <c r="K11" s="3">
        <f>H11-(H11*30/100)</f>
        <v>3150</v>
      </c>
      <c r="L11" s="4">
        <f>D11-(D11*20/100)</f>
        <v>4000</v>
      </c>
      <c r="M11" s="3">
        <f>L11-(L11*10/100)</f>
        <v>3600</v>
      </c>
      <c r="N11" s="3">
        <f>L11-(L11*20/100)</f>
        <v>3200</v>
      </c>
      <c r="O11" s="3">
        <f>L11-(L11*30/100)</f>
        <v>2800</v>
      </c>
      <c r="P11" s="65" t="s">
        <v>10</v>
      </c>
      <c r="Q11" s="65" t="s">
        <v>169</v>
      </c>
      <c r="R11" s="67" t="s">
        <v>300</v>
      </c>
    </row>
    <row r="12" spans="1:20" ht="28.5" customHeight="1" thickBot="1" x14ac:dyDescent="0.3">
      <c r="A12" s="64"/>
      <c r="B12" s="66"/>
      <c r="C12" s="62" t="s">
        <v>238</v>
      </c>
      <c r="D12" s="5">
        <f t="shared" ref="D12:O12" si="1">D11*50/100</f>
        <v>2500</v>
      </c>
      <c r="E12" s="6">
        <f t="shared" si="1"/>
        <v>2250</v>
      </c>
      <c r="F12" s="6">
        <f t="shared" si="1"/>
        <v>2000</v>
      </c>
      <c r="G12" s="6">
        <f t="shared" si="1"/>
        <v>1750</v>
      </c>
      <c r="H12" s="5">
        <f t="shared" si="1"/>
        <v>2250</v>
      </c>
      <c r="I12" s="6">
        <f t="shared" si="1"/>
        <v>2025</v>
      </c>
      <c r="J12" s="6">
        <f t="shared" si="1"/>
        <v>1800</v>
      </c>
      <c r="K12" s="6">
        <f t="shared" si="1"/>
        <v>1575</v>
      </c>
      <c r="L12" s="5">
        <f t="shared" si="1"/>
        <v>2000</v>
      </c>
      <c r="M12" s="6">
        <f t="shared" si="1"/>
        <v>1800</v>
      </c>
      <c r="N12" s="6">
        <f t="shared" si="1"/>
        <v>1600</v>
      </c>
      <c r="O12" s="6">
        <f t="shared" si="1"/>
        <v>1400</v>
      </c>
      <c r="P12" s="66"/>
      <c r="Q12" s="66"/>
      <c r="R12" s="68"/>
    </row>
    <row r="13" spans="1:20" ht="21.75" customHeight="1" x14ac:dyDescent="0.25">
      <c r="A13" s="63" t="s">
        <v>44</v>
      </c>
      <c r="B13" s="65" t="s">
        <v>174</v>
      </c>
      <c r="C13" s="1" t="s">
        <v>237</v>
      </c>
      <c r="D13" s="2">
        <v>5000</v>
      </c>
      <c r="E13" s="3">
        <f>D13-(D13*10/100)</f>
        <v>4500</v>
      </c>
      <c r="F13" s="3">
        <f>D13-(D13*20/100)</f>
        <v>4000</v>
      </c>
      <c r="G13" s="3">
        <f>D13-(D13*30/100)</f>
        <v>3500</v>
      </c>
      <c r="H13" s="4">
        <f>D13-(D13*10/100)</f>
        <v>4500</v>
      </c>
      <c r="I13" s="3">
        <f>H13-(H13*10/100)</f>
        <v>4050</v>
      </c>
      <c r="J13" s="3">
        <f>H13-(H13*20/100)</f>
        <v>3600</v>
      </c>
      <c r="K13" s="3">
        <f>H13-(H13*30/100)</f>
        <v>3150</v>
      </c>
      <c r="L13" s="4">
        <f>D13-(D13*20/100)</f>
        <v>4000</v>
      </c>
      <c r="M13" s="3">
        <f>L13-(L13*10/100)</f>
        <v>3600</v>
      </c>
      <c r="N13" s="3">
        <f>L13-(L13*20/100)</f>
        <v>3200</v>
      </c>
      <c r="O13" s="3">
        <f>L13-(L13*30/100)</f>
        <v>2800</v>
      </c>
      <c r="P13" s="65" t="s">
        <v>10</v>
      </c>
      <c r="Q13" s="65" t="s">
        <v>169</v>
      </c>
      <c r="R13" s="67" t="s">
        <v>283</v>
      </c>
    </row>
    <row r="14" spans="1:20" ht="37.5" customHeight="1" thickBot="1" x14ac:dyDescent="0.3">
      <c r="A14" s="64"/>
      <c r="B14" s="66"/>
      <c r="C14" s="53" t="s">
        <v>238</v>
      </c>
      <c r="D14" s="5">
        <f t="shared" ref="D14:O14" si="2">D13*50/100</f>
        <v>2500</v>
      </c>
      <c r="E14" s="6">
        <f t="shared" si="2"/>
        <v>2250</v>
      </c>
      <c r="F14" s="6">
        <f t="shared" si="2"/>
        <v>2000</v>
      </c>
      <c r="G14" s="6">
        <f t="shared" si="2"/>
        <v>1750</v>
      </c>
      <c r="H14" s="5">
        <f t="shared" si="2"/>
        <v>2250</v>
      </c>
      <c r="I14" s="6">
        <f t="shared" si="2"/>
        <v>2025</v>
      </c>
      <c r="J14" s="6">
        <f t="shared" si="2"/>
        <v>1800</v>
      </c>
      <c r="K14" s="6">
        <f t="shared" si="2"/>
        <v>1575</v>
      </c>
      <c r="L14" s="5">
        <f t="shared" si="2"/>
        <v>2000</v>
      </c>
      <c r="M14" s="6">
        <f t="shared" si="2"/>
        <v>1800</v>
      </c>
      <c r="N14" s="6">
        <f t="shared" si="2"/>
        <v>1600</v>
      </c>
      <c r="O14" s="6">
        <f t="shared" si="2"/>
        <v>1400</v>
      </c>
      <c r="P14" s="66"/>
      <c r="Q14" s="66"/>
      <c r="R14" s="68"/>
    </row>
    <row r="15" spans="1:20" ht="18" customHeight="1" x14ac:dyDescent="0.25">
      <c r="A15" s="63" t="s">
        <v>45</v>
      </c>
      <c r="B15" s="65" t="s">
        <v>34</v>
      </c>
      <c r="C15" s="1" t="s">
        <v>237</v>
      </c>
      <c r="D15" s="2">
        <v>5000</v>
      </c>
      <c r="E15" s="3">
        <f>D15-(D15*10/100)</f>
        <v>4500</v>
      </c>
      <c r="F15" s="3">
        <f>D15-(D15*20/100)</f>
        <v>4000</v>
      </c>
      <c r="G15" s="3">
        <f>D15-(D15*30/100)</f>
        <v>3500</v>
      </c>
      <c r="H15" s="4">
        <f>D15-(D15*10/100)</f>
        <v>4500</v>
      </c>
      <c r="I15" s="3">
        <f>H15-(H15*10/100)</f>
        <v>4050</v>
      </c>
      <c r="J15" s="3">
        <f>H15-(H15*20/100)</f>
        <v>3600</v>
      </c>
      <c r="K15" s="3">
        <f>H15-(H15*30/100)</f>
        <v>3150</v>
      </c>
      <c r="L15" s="4">
        <f>D15-(D15*20/100)</f>
        <v>4000</v>
      </c>
      <c r="M15" s="3">
        <f>L15-(L15*10/100)</f>
        <v>3600</v>
      </c>
      <c r="N15" s="3">
        <f>L15-(L15*20/100)</f>
        <v>3200</v>
      </c>
      <c r="O15" s="3">
        <f>L15-(L15*30/100)</f>
        <v>2800</v>
      </c>
      <c r="P15" s="65" t="s">
        <v>10</v>
      </c>
      <c r="Q15" s="65" t="s">
        <v>169</v>
      </c>
      <c r="R15" s="67" t="s">
        <v>268</v>
      </c>
    </row>
    <row r="16" spans="1:20" ht="18.75" customHeight="1" thickBot="1" x14ac:dyDescent="0.3">
      <c r="A16" s="64"/>
      <c r="B16" s="66"/>
      <c r="C16" s="53" t="s">
        <v>238</v>
      </c>
      <c r="D16" s="5">
        <f t="shared" ref="D16:O16" si="3">D15*50/100</f>
        <v>2500</v>
      </c>
      <c r="E16" s="6">
        <f t="shared" si="3"/>
        <v>2250</v>
      </c>
      <c r="F16" s="6">
        <f t="shared" si="3"/>
        <v>2000</v>
      </c>
      <c r="G16" s="6">
        <f t="shared" si="3"/>
        <v>1750</v>
      </c>
      <c r="H16" s="5">
        <f t="shared" si="3"/>
        <v>2250</v>
      </c>
      <c r="I16" s="6">
        <f t="shared" si="3"/>
        <v>2025</v>
      </c>
      <c r="J16" s="6">
        <f t="shared" si="3"/>
        <v>1800</v>
      </c>
      <c r="K16" s="6">
        <f t="shared" si="3"/>
        <v>1575</v>
      </c>
      <c r="L16" s="5">
        <f t="shared" si="3"/>
        <v>2000</v>
      </c>
      <c r="M16" s="6">
        <f t="shared" si="3"/>
        <v>1800</v>
      </c>
      <c r="N16" s="6">
        <f t="shared" si="3"/>
        <v>1600</v>
      </c>
      <c r="O16" s="6">
        <f t="shared" si="3"/>
        <v>1400</v>
      </c>
      <c r="P16" s="66"/>
      <c r="Q16" s="66"/>
      <c r="R16" s="68" t="s">
        <v>262</v>
      </c>
    </row>
    <row r="17" spans="1:18" ht="57" thickBot="1" x14ac:dyDescent="0.3">
      <c r="A17" s="34" t="s">
        <v>46</v>
      </c>
      <c r="B17" s="32" t="s">
        <v>186</v>
      </c>
      <c r="C17" s="15" t="s">
        <v>235</v>
      </c>
      <c r="D17" s="83">
        <v>2000</v>
      </c>
      <c r="E17" s="84"/>
      <c r="F17" s="84"/>
      <c r="G17" s="88"/>
      <c r="H17" s="83">
        <f t="shared" ref="H17" si="4">D17-(D17*20/100)</f>
        <v>1600</v>
      </c>
      <c r="I17" s="84"/>
      <c r="J17" s="84"/>
      <c r="K17" s="88"/>
      <c r="L17" s="83">
        <f t="shared" ref="L17" si="5">D17-(D17*40/100)</f>
        <v>1200</v>
      </c>
      <c r="M17" s="84"/>
      <c r="N17" s="84"/>
      <c r="O17" s="88"/>
      <c r="P17" s="32" t="s">
        <v>9</v>
      </c>
      <c r="Q17" s="7" t="s">
        <v>242</v>
      </c>
      <c r="R17" s="59" t="s">
        <v>265</v>
      </c>
    </row>
    <row r="18" spans="1:18" ht="29.25" customHeight="1" x14ac:dyDescent="0.25">
      <c r="A18" s="63" t="s">
        <v>298</v>
      </c>
      <c r="B18" s="65" t="s">
        <v>201</v>
      </c>
      <c r="C18" s="1" t="s">
        <v>237</v>
      </c>
      <c r="D18" s="2">
        <v>1000</v>
      </c>
      <c r="E18" s="8">
        <f>D18-(D18*10/100)</f>
        <v>900</v>
      </c>
      <c r="F18" s="8">
        <f>D18-(D18*20/100)</f>
        <v>800</v>
      </c>
      <c r="G18" s="9">
        <f>D18-(D18*30/100)</f>
        <v>700</v>
      </c>
      <c r="H18" s="10">
        <f>D18-(D18*10/100)</f>
        <v>900</v>
      </c>
      <c r="I18" s="8">
        <f>H18-(H18*10/100)</f>
        <v>810</v>
      </c>
      <c r="J18" s="8">
        <f>H18-(H18*20/100)</f>
        <v>720</v>
      </c>
      <c r="K18" s="9">
        <f>H18-(H18*30/100)</f>
        <v>630</v>
      </c>
      <c r="L18" s="10">
        <f>D18-(D18*20/100)</f>
        <v>800</v>
      </c>
      <c r="M18" s="8">
        <f>L18-(L18*10/100)</f>
        <v>720</v>
      </c>
      <c r="N18" s="8">
        <f>L18-(L18*20/100)</f>
        <v>640</v>
      </c>
      <c r="O18" s="9">
        <f>L18-(L18*30/100)</f>
        <v>560</v>
      </c>
      <c r="P18" s="65" t="s">
        <v>10</v>
      </c>
      <c r="Q18" s="65" t="s">
        <v>192</v>
      </c>
      <c r="R18" s="67" t="s">
        <v>314</v>
      </c>
    </row>
    <row r="19" spans="1:18" ht="25.5" customHeight="1" thickBot="1" x14ac:dyDescent="0.3">
      <c r="A19" s="64"/>
      <c r="B19" s="66"/>
      <c r="C19" s="53" t="s">
        <v>238</v>
      </c>
      <c r="D19" s="11">
        <f t="shared" ref="D19:O19" si="6">D18*50/100</f>
        <v>500</v>
      </c>
      <c r="E19" s="12">
        <f t="shared" si="6"/>
        <v>450</v>
      </c>
      <c r="F19" s="12">
        <f t="shared" si="6"/>
        <v>400</v>
      </c>
      <c r="G19" s="13">
        <f t="shared" si="6"/>
        <v>350</v>
      </c>
      <c r="H19" s="11">
        <f t="shared" si="6"/>
        <v>450</v>
      </c>
      <c r="I19" s="12">
        <f t="shared" si="6"/>
        <v>405</v>
      </c>
      <c r="J19" s="12">
        <f t="shared" si="6"/>
        <v>360</v>
      </c>
      <c r="K19" s="13">
        <f t="shared" si="6"/>
        <v>315</v>
      </c>
      <c r="L19" s="11">
        <f t="shared" si="6"/>
        <v>400</v>
      </c>
      <c r="M19" s="12">
        <f t="shared" si="6"/>
        <v>360</v>
      </c>
      <c r="N19" s="12">
        <f t="shared" si="6"/>
        <v>320</v>
      </c>
      <c r="O19" s="13">
        <f t="shared" si="6"/>
        <v>280</v>
      </c>
      <c r="P19" s="66"/>
      <c r="Q19" s="66"/>
      <c r="R19" s="68"/>
    </row>
    <row r="20" spans="1:18" ht="24" customHeight="1" thickBot="1" x14ac:dyDescent="0.3">
      <c r="A20" s="76" t="s">
        <v>315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</row>
    <row r="21" spans="1:18" ht="24" customHeight="1" thickBot="1" x14ac:dyDescent="0.3">
      <c r="A21" s="72" t="s">
        <v>4</v>
      </c>
      <c r="B21" s="72" t="s">
        <v>3</v>
      </c>
      <c r="C21" s="72" t="s">
        <v>176</v>
      </c>
      <c r="D21" s="79" t="s">
        <v>2</v>
      </c>
      <c r="E21" s="80"/>
      <c r="F21" s="80"/>
      <c r="G21" s="81"/>
      <c r="H21" s="79" t="s">
        <v>1</v>
      </c>
      <c r="I21" s="80"/>
      <c r="J21" s="80"/>
      <c r="K21" s="81"/>
      <c r="L21" s="79" t="s">
        <v>173</v>
      </c>
      <c r="M21" s="80"/>
      <c r="N21" s="80"/>
      <c r="O21" s="81"/>
      <c r="P21" s="72" t="s">
        <v>0</v>
      </c>
      <c r="Q21" s="72" t="s">
        <v>16</v>
      </c>
      <c r="R21" s="69" t="s">
        <v>266</v>
      </c>
    </row>
    <row r="22" spans="1:18" ht="24" thickBot="1" x14ac:dyDescent="0.3">
      <c r="A22" s="73"/>
      <c r="B22" s="78"/>
      <c r="C22" s="73"/>
      <c r="D22" s="39" t="s">
        <v>8</v>
      </c>
      <c r="E22" s="39" t="s">
        <v>7</v>
      </c>
      <c r="F22" s="39" t="s">
        <v>6</v>
      </c>
      <c r="G22" s="39" t="s">
        <v>5</v>
      </c>
      <c r="H22" s="39" t="s">
        <v>8</v>
      </c>
      <c r="I22" s="39" t="s">
        <v>7</v>
      </c>
      <c r="J22" s="39" t="s">
        <v>6</v>
      </c>
      <c r="K22" s="39" t="s">
        <v>5</v>
      </c>
      <c r="L22" s="39" t="s">
        <v>8</v>
      </c>
      <c r="M22" s="39" t="s">
        <v>7</v>
      </c>
      <c r="N22" s="39" t="s">
        <v>6</v>
      </c>
      <c r="O22" s="39" t="s">
        <v>5</v>
      </c>
      <c r="P22" s="73"/>
      <c r="Q22" s="73"/>
      <c r="R22" s="70"/>
    </row>
    <row r="23" spans="1:18" ht="57" thickBot="1" x14ac:dyDescent="0.3">
      <c r="A23" s="34" t="s">
        <v>47</v>
      </c>
      <c r="B23" s="32" t="s">
        <v>13</v>
      </c>
      <c r="C23" s="15" t="s">
        <v>235</v>
      </c>
      <c r="D23" s="83">
        <v>3000</v>
      </c>
      <c r="E23" s="84"/>
      <c r="F23" s="84"/>
      <c r="G23" s="84"/>
      <c r="H23" s="83">
        <f t="shared" ref="H23:H30" si="7">D23-(D23*20/100)</f>
        <v>2400</v>
      </c>
      <c r="I23" s="84"/>
      <c r="J23" s="84"/>
      <c r="K23" s="84"/>
      <c r="L23" s="83">
        <f t="shared" ref="L23:L30" si="8">D23-(D23*40/100)</f>
        <v>1800</v>
      </c>
      <c r="M23" s="84"/>
      <c r="N23" s="84"/>
      <c r="O23" s="84"/>
      <c r="P23" s="32" t="s">
        <v>9</v>
      </c>
      <c r="Q23" s="32" t="s">
        <v>243</v>
      </c>
      <c r="R23" s="59" t="s">
        <v>270</v>
      </c>
    </row>
    <row r="24" spans="1:18" ht="38.25" thickBot="1" x14ac:dyDescent="0.3">
      <c r="A24" s="14" t="s">
        <v>48</v>
      </c>
      <c r="B24" s="7" t="s">
        <v>26</v>
      </c>
      <c r="C24" s="15" t="s">
        <v>235</v>
      </c>
      <c r="D24" s="83">
        <v>25000</v>
      </c>
      <c r="E24" s="84"/>
      <c r="F24" s="84"/>
      <c r="G24" s="84"/>
      <c r="H24" s="83">
        <f t="shared" si="7"/>
        <v>20000</v>
      </c>
      <c r="I24" s="84"/>
      <c r="J24" s="84"/>
      <c r="K24" s="84"/>
      <c r="L24" s="83">
        <f t="shared" si="8"/>
        <v>15000</v>
      </c>
      <c r="M24" s="84"/>
      <c r="N24" s="84"/>
      <c r="O24" s="84"/>
      <c r="P24" s="7" t="s">
        <v>9</v>
      </c>
      <c r="Q24" s="32" t="s">
        <v>224</v>
      </c>
      <c r="R24" s="59" t="s">
        <v>285</v>
      </c>
    </row>
    <row r="25" spans="1:18" ht="57" thickBot="1" x14ac:dyDescent="0.3">
      <c r="A25" s="14" t="s">
        <v>49</v>
      </c>
      <c r="B25" s="7" t="s">
        <v>32</v>
      </c>
      <c r="C25" s="15" t="s">
        <v>235</v>
      </c>
      <c r="D25" s="83">
        <v>15000</v>
      </c>
      <c r="E25" s="84"/>
      <c r="F25" s="84"/>
      <c r="G25" s="84"/>
      <c r="H25" s="83">
        <f t="shared" si="7"/>
        <v>12000</v>
      </c>
      <c r="I25" s="84"/>
      <c r="J25" s="84"/>
      <c r="K25" s="84"/>
      <c r="L25" s="83">
        <f t="shared" si="8"/>
        <v>9000</v>
      </c>
      <c r="M25" s="84"/>
      <c r="N25" s="84"/>
      <c r="O25" s="84"/>
      <c r="P25" s="7" t="s">
        <v>9</v>
      </c>
      <c r="Q25" s="32" t="s">
        <v>225</v>
      </c>
      <c r="R25" s="59" t="s">
        <v>306</v>
      </c>
    </row>
    <row r="26" spans="1:18" ht="57" thickBot="1" x14ac:dyDescent="0.3">
      <c r="A26" s="14" t="s">
        <v>50</v>
      </c>
      <c r="B26" s="16" t="s">
        <v>19</v>
      </c>
      <c r="C26" s="15" t="s">
        <v>235</v>
      </c>
      <c r="D26" s="89">
        <v>2000</v>
      </c>
      <c r="E26" s="90"/>
      <c r="F26" s="90"/>
      <c r="G26" s="90"/>
      <c r="H26" s="89">
        <f t="shared" ref="H26" si="9">D26-(D26*20/100)</f>
        <v>1600</v>
      </c>
      <c r="I26" s="90"/>
      <c r="J26" s="90"/>
      <c r="K26" s="90"/>
      <c r="L26" s="89">
        <f t="shared" ref="L26" si="10">D26-(D26*40/100)</f>
        <v>1200</v>
      </c>
      <c r="M26" s="90"/>
      <c r="N26" s="90"/>
      <c r="O26" s="90"/>
      <c r="P26" s="7" t="s">
        <v>9</v>
      </c>
      <c r="Q26" s="32" t="s">
        <v>244</v>
      </c>
      <c r="R26" s="59" t="s">
        <v>271</v>
      </c>
    </row>
    <row r="27" spans="1:18" ht="38.25" customHeight="1" thickBot="1" x14ac:dyDescent="0.3">
      <c r="A27" s="14" t="s">
        <v>51</v>
      </c>
      <c r="B27" s="48" t="s">
        <v>199</v>
      </c>
      <c r="C27" s="15" t="s">
        <v>235</v>
      </c>
      <c r="D27" s="85">
        <v>1000</v>
      </c>
      <c r="E27" s="86"/>
      <c r="F27" s="86"/>
      <c r="G27" s="87"/>
      <c r="H27" s="85">
        <f>D27-(D27*20/100)</f>
        <v>800</v>
      </c>
      <c r="I27" s="86"/>
      <c r="J27" s="86"/>
      <c r="K27" s="87"/>
      <c r="L27" s="85">
        <f>D27-(D27*40/100)</f>
        <v>600</v>
      </c>
      <c r="M27" s="86"/>
      <c r="N27" s="86"/>
      <c r="O27" s="87"/>
      <c r="P27" s="48" t="s">
        <v>9</v>
      </c>
      <c r="Q27" s="48" t="s">
        <v>242</v>
      </c>
      <c r="R27" s="59" t="s">
        <v>272</v>
      </c>
    </row>
    <row r="28" spans="1:18" ht="57" thickBot="1" x14ac:dyDescent="0.3">
      <c r="A28" s="35" t="s">
        <v>52</v>
      </c>
      <c r="B28" s="7" t="s">
        <v>221</v>
      </c>
      <c r="C28" s="15" t="s">
        <v>235</v>
      </c>
      <c r="D28" s="83">
        <v>1000</v>
      </c>
      <c r="E28" s="84"/>
      <c r="F28" s="84"/>
      <c r="G28" s="84"/>
      <c r="H28" s="83">
        <f t="shared" si="7"/>
        <v>800</v>
      </c>
      <c r="I28" s="84"/>
      <c r="J28" s="84"/>
      <c r="K28" s="84"/>
      <c r="L28" s="83">
        <f t="shared" si="8"/>
        <v>600</v>
      </c>
      <c r="M28" s="84"/>
      <c r="N28" s="84"/>
      <c r="O28" s="84"/>
      <c r="P28" s="7" t="s">
        <v>9</v>
      </c>
      <c r="Q28" s="56" t="s">
        <v>242</v>
      </c>
      <c r="R28" s="59" t="s">
        <v>284</v>
      </c>
    </row>
    <row r="29" spans="1:18" ht="57" thickBot="1" x14ac:dyDescent="0.3">
      <c r="A29" s="14" t="s">
        <v>53</v>
      </c>
      <c r="B29" s="33" t="s">
        <v>20</v>
      </c>
      <c r="C29" s="15" t="s">
        <v>235</v>
      </c>
      <c r="D29" s="83">
        <v>2000</v>
      </c>
      <c r="E29" s="84"/>
      <c r="F29" s="84"/>
      <c r="G29" s="84"/>
      <c r="H29" s="83">
        <f t="shared" si="7"/>
        <v>1600</v>
      </c>
      <c r="I29" s="84"/>
      <c r="J29" s="84"/>
      <c r="K29" s="84"/>
      <c r="L29" s="83">
        <f t="shared" si="8"/>
        <v>1200</v>
      </c>
      <c r="M29" s="84"/>
      <c r="N29" s="84"/>
      <c r="O29" s="84"/>
      <c r="P29" s="33" t="s">
        <v>9</v>
      </c>
      <c r="Q29" s="55" t="s">
        <v>244</v>
      </c>
      <c r="R29" s="59" t="s">
        <v>306</v>
      </c>
    </row>
    <row r="30" spans="1:18" ht="38.25" thickBot="1" x14ac:dyDescent="0.3">
      <c r="A30" s="14" t="s">
        <v>54</v>
      </c>
      <c r="B30" s="16" t="s">
        <v>233</v>
      </c>
      <c r="C30" s="15" t="s">
        <v>235</v>
      </c>
      <c r="D30" s="83">
        <v>10000</v>
      </c>
      <c r="E30" s="84">
        <f>D30-(D30*10/100)</f>
        <v>9000</v>
      </c>
      <c r="F30" s="84">
        <f>D30-(D30*20/100)</f>
        <v>8000</v>
      </c>
      <c r="G30" s="84">
        <f>D30-(D30*30/100)</f>
        <v>7000</v>
      </c>
      <c r="H30" s="83">
        <f t="shared" si="7"/>
        <v>8000</v>
      </c>
      <c r="I30" s="84"/>
      <c r="J30" s="84"/>
      <c r="K30" s="84"/>
      <c r="L30" s="83">
        <f t="shared" si="8"/>
        <v>6000</v>
      </c>
      <c r="M30" s="84"/>
      <c r="N30" s="84"/>
      <c r="O30" s="84"/>
      <c r="P30" s="7" t="s">
        <v>9</v>
      </c>
      <c r="Q30" s="32" t="s">
        <v>234</v>
      </c>
      <c r="R30" s="59" t="s">
        <v>306</v>
      </c>
    </row>
    <row r="31" spans="1:18" ht="75.75" thickBot="1" x14ac:dyDescent="0.3">
      <c r="A31" s="14" t="s">
        <v>55</v>
      </c>
      <c r="B31" s="7" t="s">
        <v>213</v>
      </c>
      <c r="C31" s="15" t="s">
        <v>235</v>
      </c>
      <c r="D31" s="83">
        <v>20000</v>
      </c>
      <c r="E31" s="84">
        <f>D31-(D31*10/100)</f>
        <v>18000</v>
      </c>
      <c r="F31" s="84">
        <f>D31-(D31*20/100)</f>
        <v>16000</v>
      </c>
      <c r="G31" s="84">
        <f>D31-(D31*30/100)</f>
        <v>14000</v>
      </c>
      <c r="H31" s="83">
        <f t="shared" ref="H31:H33" si="11">D31-(D31*20/100)</f>
        <v>16000</v>
      </c>
      <c r="I31" s="84"/>
      <c r="J31" s="84"/>
      <c r="K31" s="84"/>
      <c r="L31" s="83">
        <f t="shared" ref="L31:L33" si="12">D31-(D31*40/100)</f>
        <v>12000</v>
      </c>
      <c r="M31" s="84"/>
      <c r="N31" s="84"/>
      <c r="O31" s="84"/>
      <c r="P31" s="7" t="s">
        <v>9</v>
      </c>
      <c r="Q31" s="32" t="s">
        <v>225</v>
      </c>
      <c r="R31" s="59" t="s">
        <v>273</v>
      </c>
    </row>
    <row r="32" spans="1:18" ht="38.25" thickBot="1" x14ac:dyDescent="0.3">
      <c r="A32" s="14" t="s">
        <v>56</v>
      </c>
      <c r="B32" s="7" t="s">
        <v>15</v>
      </c>
      <c r="C32" s="15" t="s">
        <v>235</v>
      </c>
      <c r="D32" s="83">
        <v>15000</v>
      </c>
      <c r="E32" s="84"/>
      <c r="F32" s="84"/>
      <c r="G32" s="84"/>
      <c r="H32" s="83">
        <f t="shared" si="11"/>
        <v>12000</v>
      </c>
      <c r="I32" s="84"/>
      <c r="J32" s="84"/>
      <c r="K32" s="84"/>
      <c r="L32" s="83">
        <f t="shared" si="12"/>
        <v>9000</v>
      </c>
      <c r="M32" s="84"/>
      <c r="N32" s="84"/>
      <c r="O32" s="84"/>
      <c r="P32" s="7" t="s">
        <v>9</v>
      </c>
      <c r="Q32" s="32" t="s">
        <v>225</v>
      </c>
      <c r="R32" s="59" t="s">
        <v>272</v>
      </c>
    </row>
    <row r="33" spans="1:18" ht="38.25" thickBot="1" x14ac:dyDescent="0.3">
      <c r="A33" s="14" t="s">
        <v>57</v>
      </c>
      <c r="B33" s="7" t="s">
        <v>28</v>
      </c>
      <c r="C33" s="15" t="s">
        <v>235</v>
      </c>
      <c r="D33" s="83">
        <v>5000</v>
      </c>
      <c r="E33" s="84"/>
      <c r="F33" s="84"/>
      <c r="G33" s="84"/>
      <c r="H33" s="83">
        <f t="shared" si="11"/>
        <v>4000</v>
      </c>
      <c r="I33" s="84"/>
      <c r="J33" s="84"/>
      <c r="K33" s="84"/>
      <c r="L33" s="83">
        <f t="shared" si="12"/>
        <v>3000</v>
      </c>
      <c r="M33" s="84"/>
      <c r="N33" s="84"/>
      <c r="O33" s="84"/>
      <c r="P33" s="7" t="s">
        <v>9</v>
      </c>
      <c r="Q33" s="32" t="s">
        <v>225</v>
      </c>
      <c r="R33" s="59" t="s">
        <v>272</v>
      </c>
    </row>
    <row r="34" spans="1:18" ht="30.75" customHeight="1" x14ac:dyDescent="0.25">
      <c r="A34" s="63" t="s">
        <v>58</v>
      </c>
      <c r="B34" s="65" t="s">
        <v>216</v>
      </c>
      <c r="C34" s="1" t="s">
        <v>237</v>
      </c>
      <c r="D34" s="2">
        <v>3000</v>
      </c>
      <c r="E34" s="3">
        <f>D34-(D34*10/100)</f>
        <v>2700</v>
      </c>
      <c r="F34" s="3">
        <f>D34-(D34*20/100)</f>
        <v>2400</v>
      </c>
      <c r="G34" s="3">
        <f>D34-(D34*30/100)</f>
        <v>2100</v>
      </c>
      <c r="H34" s="4">
        <f>D34-(D34*10/100)</f>
        <v>2700</v>
      </c>
      <c r="I34" s="3">
        <f>H34-(H34*10/100)</f>
        <v>2430</v>
      </c>
      <c r="J34" s="3">
        <f>H34-(H34*20/100)</f>
        <v>2160</v>
      </c>
      <c r="K34" s="3">
        <f>H34-(H34*30/100)</f>
        <v>1890</v>
      </c>
      <c r="L34" s="4">
        <f>D34-(D34*20/100)</f>
        <v>2400</v>
      </c>
      <c r="M34" s="3">
        <f>L34-(L34*10/100)</f>
        <v>2160</v>
      </c>
      <c r="N34" s="3">
        <f>L34-(L34*20/100)</f>
        <v>1920</v>
      </c>
      <c r="O34" s="3">
        <f>L34-(L34*30/100)</f>
        <v>1680</v>
      </c>
      <c r="P34" s="65" t="s">
        <v>10</v>
      </c>
      <c r="Q34" s="65" t="s">
        <v>23</v>
      </c>
      <c r="R34" s="67" t="s">
        <v>274</v>
      </c>
    </row>
    <row r="35" spans="1:18" ht="43.5" customHeight="1" thickBot="1" x14ac:dyDescent="0.3">
      <c r="A35" s="64"/>
      <c r="B35" s="92"/>
      <c r="C35" s="53" t="s">
        <v>238</v>
      </c>
      <c r="D35" s="21">
        <f t="shared" ref="D35:O35" si="13">D34*50/100</f>
        <v>1500</v>
      </c>
      <c r="E35" s="22">
        <f t="shared" si="13"/>
        <v>1350</v>
      </c>
      <c r="F35" s="22">
        <f t="shared" si="13"/>
        <v>1200</v>
      </c>
      <c r="G35" s="22">
        <f t="shared" si="13"/>
        <v>1050</v>
      </c>
      <c r="H35" s="21">
        <f t="shared" si="13"/>
        <v>1350</v>
      </c>
      <c r="I35" s="22">
        <f t="shared" si="13"/>
        <v>1215</v>
      </c>
      <c r="J35" s="22">
        <f t="shared" si="13"/>
        <v>1080</v>
      </c>
      <c r="K35" s="22">
        <f t="shared" si="13"/>
        <v>945</v>
      </c>
      <c r="L35" s="21">
        <f t="shared" si="13"/>
        <v>1200</v>
      </c>
      <c r="M35" s="22">
        <f t="shared" si="13"/>
        <v>1080</v>
      </c>
      <c r="N35" s="22">
        <f t="shared" si="13"/>
        <v>960</v>
      </c>
      <c r="O35" s="22">
        <f t="shared" si="13"/>
        <v>840</v>
      </c>
      <c r="P35" s="92"/>
      <c r="Q35" s="66"/>
      <c r="R35" s="71" t="s">
        <v>262</v>
      </c>
    </row>
    <row r="36" spans="1:18" ht="54" customHeight="1" thickBot="1" x14ac:dyDescent="0.3">
      <c r="A36" s="14" t="s">
        <v>59</v>
      </c>
      <c r="B36" s="16" t="s">
        <v>170</v>
      </c>
      <c r="C36" s="15" t="s">
        <v>235</v>
      </c>
      <c r="D36" s="83">
        <v>10000</v>
      </c>
      <c r="E36" s="84"/>
      <c r="F36" s="84"/>
      <c r="G36" s="84"/>
      <c r="H36" s="83">
        <f t="shared" ref="H36:H42" si="14">D36-(D36*20/100)</f>
        <v>8000</v>
      </c>
      <c r="I36" s="84"/>
      <c r="J36" s="84"/>
      <c r="K36" s="84"/>
      <c r="L36" s="83">
        <f t="shared" ref="L36:L42" si="15">D36-(D36*40/100)</f>
        <v>6000</v>
      </c>
      <c r="M36" s="84"/>
      <c r="N36" s="84"/>
      <c r="O36" s="84"/>
      <c r="P36" s="7" t="s">
        <v>9</v>
      </c>
      <c r="Q36" s="32" t="s">
        <v>38</v>
      </c>
      <c r="R36" s="59" t="s">
        <v>286</v>
      </c>
    </row>
    <row r="37" spans="1:18" ht="46.5" customHeight="1" thickBot="1" x14ac:dyDescent="0.3">
      <c r="A37" s="14" t="s">
        <v>60</v>
      </c>
      <c r="B37" s="7" t="s">
        <v>171</v>
      </c>
      <c r="C37" s="15" t="s">
        <v>235</v>
      </c>
      <c r="D37" s="83">
        <v>3000</v>
      </c>
      <c r="E37" s="84"/>
      <c r="F37" s="84"/>
      <c r="G37" s="84"/>
      <c r="H37" s="83">
        <f t="shared" si="14"/>
        <v>2400</v>
      </c>
      <c r="I37" s="84"/>
      <c r="J37" s="84"/>
      <c r="K37" s="84"/>
      <c r="L37" s="83">
        <f t="shared" si="15"/>
        <v>1800</v>
      </c>
      <c r="M37" s="84"/>
      <c r="N37" s="84"/>
      <c r="O37" s="84"/>
      <c r="P37" s="7" t="s">
        <v>9</v>
      </c>
      <c r="Q37" s="32" t="s">
        <v>245</v>
      </c>
      <c r="R37" s="59" t="s">
        <v>274</v>
      </c>
    </row>
    <row r="38" spans="1:18" ht="94.5" thickBot="1" x14ac:dyDescent="0.3">
      <c r="A38" s="14" t="s">
        <v>61</v>
      </c>
      <c r="B38" s="16" t="s">
        <v>22</v>
      </c>
      <c r="C38" s="15" t="s">
        <v>235</v>
      </c>
      <c r="D38" s="83">
        <v>3000</v>
      </c>
      <c r="E38" s="84"/>
      <c r="F38" s="84"/>
      <c r="G38" s="84"/>
      <c r="H38" s="83">
        <f t="shared" si="14"/>
        <v>2400</v>
      </c>
      <c r="I38" s="84"/>
      <c r="J38" s="84"/>
      <c r="K38" s="84"/>
      <c r="L38" s="83">
        <f t="shared" si="15"/>
        <v>1800</v>
      </c>
      <c r="M38" s="84"/>
      <c r="N38" s="84"/>
      <c r="O38" s="84"/>
      <c r="P38" s="7" t="s">
        <v>9</v>
      </c>
      <c r="Q38" s="55" t="s">
        <v>245</v>
      </c>
      <c r="R38" s="59" t="s">
        <v>307</v>
      </c>
    </row>
    <row r="39" spans="1:18" ht="57" thickBot="1" x14ac:dyDescent="0.3">
      <c r="A39" s="14" t="s">
        <v>62</v>
      </c>
      <c r="B39" s="16" t="s">
        <v>21</v>
      </c>
      <c r="C39" s="15" t="s">
        <v>235</v>
      </c>
      <c r="D39" s="83">
        <v>10000</v>
      </c>
      <c r="E39" s="84"/>
      <c r="F39" s="84"/>
      <c r="G39" s="84"/>
      <c r="H39" s="83">
        <f>D39-(D39*20/100)</f>
        <v>8000</v>
      </c>
      <c r="I39" s="84"/>
      <c r="J39" s="84"/>
      <c r="K39" s="84"/>
      <c r="L39" s="83">
        <f>D39-(D39*40/100)</f>
        <v>6000</v>
      </c>
      <c r="M39" s="84"/>
      <c r="N39" s="84"/>
      <c r="O39" s="84"/>
      <c r="P39" s="7" t="s">
        <v>9</v>
      </c>
      <c r="Q39" s="32" t="s">
        <v>38</v>
      </c>
      <c r="R39" s="59" t="s">
        <v>308</v>
      </c>
    </row>
    <row r="40" spans="1:18" ht="60.75" customHeight="1" thickBot="1" x14ac:dyDescent="0.3">
      <c r="A40" s="14" t="s">
        <v>63</v>
      </c>
      <c r="B40" s="16" t="s">
        <v>29</v>
      </c>
      <c r="C40" s="15" t="s">
        <v>235</v>
      </c>
      <c r="D40" s="83">
        <v>3000</v>
      </c>
      <c r="E40" s="84"/>
      <c r="F40" s="84"/>
      <c r="G40" s="84"/>
      <c r="H40" s="83">
        <f t="shared" si="14"/>
        <v>2400</v>
      </c>
      <c r="I40" s="84"/>
      <c r="J40" s="84"/>
      <c r="K40" s="84"/>
      <c r="L40" s="83">
        <f t="shared" si="15"/>
        <v>1800</v>
      </c>
      <c r="M40" s="84"/>
      <c r="N40" s="84"/>
      <c r="O40" s="84"/>
      <c r="P40" s="7" t="s">
        <v>9</v>
      </c>
      <c r="Q40" s="32" t="s">
        <v>242</v>
      </c>
      <c r="R40" s="59" t="s">
        <v>272</v>
      </c>
    </row>
    <row r="41" spans="1:18" ht="66" customHeight="1" thickBot="1" x14ac:dyDescent="0.3">
      <c r="A41" s="14" t="s">
        <v>64</v>
      </c>
      <c r="B41" s="7" t="s">
        <v>168</v>
      </c>
      <c r="C41" s="15" t="s">
        <v>235</v>
      </c>
      <c r="D41" s="83">
        <v>5000</v>
      </c>
      <c r="E41" s="84"/>
      <c r="F41" s="84"/>
      <c r="G41" s="88"/>
      <c r="H41" s="83">
        <f t="shared" si="14"/>
        <v>4000</v>
      </c>
      <c r="I41" s="84"/>
      <c r="J41" s="84"/>
      <c r="K41" s="88"/>
      <c r="L41" s="83">
        <f t="shared" si="15"/>
        <v>3000</v>
      </c>
      <c r="M41" s="84"/>
      <c r="N41" s="84"/>
      <c r="O41" s="88"/>
      <c r="P41" s="7" t="s">
        <v>9</v>
      </c>
      <c r="Q41" s="32" t="s">
        <v>225</v>
      </c>
      <c r="R41" s="59" t="s">
        <v>289</v>
      </c>
    </row>
    <row r="42" spans="1:18" ht="57" thickBot="1" x14ac:dyDescent="0.3">
      <c r="A42" s="52" t="s">
        <v>65</v>
      </c>
      <c r="B42" s="7" t="s">
        <v>194</v>
      </c>
      <c r="C42" s="15" t="s">
        <v>235</v>
      </c>
      <c r="D42" s="83">
        <v>5000</v>
      </c>
      <c r="E42" s="84"/>
      <c r="F42" s="84"/>
      <c r="G42" s="88"/>
      <c r="H42" s="83">
        <f t="shared" si="14"/>
        <v>4000</v>
      </c>
      <c r="I42" s="84"/>
      <c r="J42" s="84"/>
      <c r="K42" s="88"/>
      <c r="L42" s="83">
        <f t="shared" si="15"/>
        <v>3000</v>
      </c>
      <c r="M42" s="84"/>
      <c r="N42" s="84"/>
      <c r="O42" s="88"/>
      <c r="P42" s="7" t="s">
        <v>9</v>
      </c>
      <c r="Q42" s="7" t="s">
        <v>23</v>
      </c>
      <c r="R42" s="59" t="s">
        <v>275</v>
      </c>
    </row>
    <row r="43" spans="1:18" ht="35.25" customHeight="1" thickBot="1" x14ac:dyDescent="0.3">
      <c r="A43" s="34" t="s">
        <v>66</v>
      </c>
      <c r="B43" s="32" t="s">
        <v>175</v>
      </c>
      <c r="C43" s="15" t="s">
        <v>235</v>
      </c>
      <c r="D43" s="83">
        <v>50000</v>
      </c>
      <c r="E43" s="84"/>
      <c r="F43" s="84"/>
      <c r="G43" s="88"/>
      <c r="H43" s="83">
        <f t="shared" ref="H43" si="16">D43-(D43*20/100)</f>
        <v>40000</v>
      </c>
      <c r="I43" s="84"/>
      <c r="J43" s="84"/>
      <c r="K43" s="88"/>
      <c r="L43" s="83">
        <f t="shared" ref="L43" si="17">D43-(D43*40/100)</f>
        <v>30000</v>
      </c>
      <c r="M43" s="84"/>
      <c r="N43" s="84"/>
      <c r="O43" s="88"/>
      <c r="P43" s="7" t="s">
        <v>9</v>
      </c>
      <c r="Q43" s="32" t="s">
        <v>225</v>
      </c>
      <c r="R43" s="59" t="s">
        <v>272</v>
      </c>
    </row>
    <row r="44" spans="1:18" ht="23.25" customHeight="1" x14ac:dyDescent="0.25">
      <c r="A44" s="63" t="s">
        <v>67</v>
      </c>
      <c r="B44" s="65" t="s">
        <v>195</v>
      </c>
      <c r="C44" s="1" t="s">
        <v>237</v>
      </c>
      <c r="D44" s="2">
        <v>1000</v>
      </c>
      <c r="E44" s="3">
        <f>D44-(D44*10/100)</f>
        <v>900</v>
      </c>
      <c r="F44" s="3">
        <f>D44-(D44*20/100)</f>
        <v>800</v>
      </c>
      <c r="G44" s="3">
        <f>D44-(D44*30/100)</f>
        <v>700</v>
      </c>
      <c r="H44" s="4">
        <f>D44-(D44*10/100)</f>
        <v>900</v>
      </c>
      <c r="I44" s="3">
        <f>H44-(H44*10/100)</f>
        <v>810</v>
      </c>
      <c r="J44" s="3">
        <f>H44-(H44*20/100)</f>
        <v>720</v>
      </c>
      <c r="K44" s="3">
        <f>H44-(H44*30/100)</f>
        <v>630</v>
      </c>
      <c r="L44" s="4">
        <f>D44-(D44*20/100)</f>
        <v>800</v>
      </c>
      <c r="M44" s="3">
        <f>L44-(L44*10/100)</f>
        <v>720</v>
      </c>
      <c r="N44" s="3">
        <f>L44-(L44*20/100)</f>
        <v>640</v>
      </c>
      <c r="O44" s="3">
        <f>L44-(L44*30/100)</f>
        <v>560</v>
      </c>
      <c r="P44" s="65" t="s">
        <v>10</v>
      </c>
      <c r="Q44" s="65" t="s">
        <v>23</v>
      </c>
      <c r="R44" s="67" t="s">
        <v>269</v>
      </c>
    </row>
    <row r="45" spans="1:18" ht="30.75" customHeight="1" thickBot="1" x14ac:dyDescent="0.3">
      <c r="A45" s="64"/>
      <c r="B45" s="66"/>
      <c r="C45" s="53" t="s">
        <v>238</v>
      </c>
      <c r="D45" s="5">
        <f t="shared" ref="D45:O45" si="18">D44*50/100</f>
        <v>500</v>
      </c>
      <c r="E45" s="6">
        <f t="shared" si="18"/>
        <v>450</v>
      </c>
      <c r="F45" s="6">
        <f t="shared" si="18"/>
        <v>400</v>
      </c>
      <c r="G45" s="6">
        <f t="shared" si="18"/>
        <v>350</v>
      </c>
      <c r="H45" s="5">
        <f t="shared" si="18"/>
        <v>450</v>
      </c>
      <c r="I45" s="6">
        <f t="shared" si="18"/>
        <v>405</v>
      </c>
      <c r="J45" s="6">
        <f t="shared" si="18"/>
        <v>360</v>
      </c>
      <c r="K45" s="6">
        <f t="shared" si="18"/>
        <v>315</v>
      </c>
      <c r="L45" s="5">
        <f t="shared" si="18"/>
        <v>400</v>
      </c>
      <c r="M45" s="6">
        <f t="shared" si="18"/>
        <v>360</v>
      </c>
      <c r="N45" s="6">
        <f t="shared" si="18"/>
        <v>320</v>
      </c>
      <c r="O45" s="6">
        <f t="shared" si="18"/>
        <v>280</v>
      </c>
      <c r="P45" s="66"/>
      <c r="Q45" s="66"/>
      <c r="R45" s="68"/>
    </row>
    <row r="46" spans="1:18" ht="24" customHeight="1" thickBot="1" x14ac:dyDescent="0.3">
      <c r="A46" s="76" t="s">
        <v>246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8" ht="24" customHeight="1" thickBot="1" x14ac:dyDescent="0.3">
      <c r="A47" s="72" t="s">
        <v>4</v>
      </c>
      <c r="B47" s="72" t="s">
        <v>3</v>
      </c>
      <c r="C47" s="72" t="s">
        <v>176</v>
      </c>
      <c r="D47" s="79" t="s">
        <v>2</v>
      </c>
      <c r="E47" s="80"/>
      <c r="F47" s="80"/>
      <c r="G47" s="81"/>
      <c r="H47" s="79" t="s">
        <v>1</v>
      </c>
      <c r="I47" s="80"/>
      <c r="J47" s="80"/>
      <c r="K47" s="81"/>
      <c r="L47" s="79" t="s">
        <v>173</v>
      </c>
      <c r="M47" s="80"/>
      <c r="N47" s="80"/>
      <c r="O47" s="81"/>
      <c r="P47" s="72" t="s">
        <v>0</v>
      </c>
      <c r="Q47" s="72" t="s">
        <v>16</v>
      </c>
      <c r="R47" s="69" t="s">
        <v>266</v>
      </c>
    </row>
    <row r="48" spans="1:18" ht="24" thickBot="1" x14ac:dyDescent="0.3">
      <c r="A48" s="73"/>
      <c r="B48" s="78"/>
      <c r="C48" s="73"/>
      <c r="D48" s="39" t="s">
        <v>8</v>
      </c>
      <c r="E48" s="39" t="s">
        <v>7</v>
      </c>
      <c r="F48" s="39" t="s">
        <v>6</v>
      </c>
      <c r="G48" s="39" t="s">
        <v>5</v>
      </c>
      <c r="H48" s="39" t="s">
        <v>8</v>
      </c>
      <c r="I48" s="39" t="s">
        <v>7</v>
      </c>
      <c r="J48" s="39" t="s">
        <v>6</v>
      </c>
      <c r="K48" s="39" t="s">
        <v>5</v>
      </c>
      <c r="L48" s="39" t="s">
        <v>8</v>
      </c>
      <c r="M48" s="39" t="s">
        <v>7</v>
      </c>
      <c r="N48" s="39" t="s">
        <v>6</v>
      </c>
      <c r="O48" s="39" t="s">
        <v>5</v>
      </c>
      <c r="P48" s="73"/>
      <c r="Q48" s="73"/>
      <c r="R48" s="70"/>
    </row>
    <row r="49" spans="1:18" ht="71.25" customHeight="1" thickBot="1" x14ac:dyDescent="0.3">
      <c r="A49" s="14" t="s">
        <v>68</v>
      </c>
      <c r="B49" s="16" t="s">
        <v>196</v>
      </c>
      <c r="C49" s="15" t="s">
        <v>235</v>
      </c>
      <c r="D49" s="83">
        <v>500</v>
      </c>
      <c r="E49" s="84"/>
      <c r="F49" s="84"/>
      <c r="G49" s="84"/>
      <c r="H49" s="83">
        <f t="shared" ref="H49:H53" si="19">D49-(D49*20/100)</f>
        <v>400</v>
      </c>
      <c r="I49" s="84"/>
      <c r="J49" s="84"/>
      <c r="K49" s="84"/>
      <c r="L49" s="83">
        <f t="shared" ref="L49:L53" si="20">D49-(D49*40/100)</f>
        <v>300</v>
      </c>
      <c r="M49" s="84"/>
      <c r="N49" s="84"/>
      <c r="O49" s="84"/>
      <c r="P49" s="7" t="s">
        <v>9</v>
      </c>
      <c r="Q49" s="32" t="s">
        <v>244</v>
      </c>
      <c r="R49" s="59" t="s">
        <v>290</v>
      </c>
    </row>
    <row r="50" spans="1:18" ht="94.5" thickBot="1" x14ac:dyDescent="0.3">
      <c r="A50" s="14" t="s">
        <v>69</v>
      </c>
      <c r="B50" s="16" t="s">
        <v>197</v>
      </c>
      <c r="C50" s="15" t="s">
        <v>235</v>
      </c>
      <c r="D50" s="83">
        <v>5000</v>
      </c>
      <c r="E50" s="84"/>
      <c r="F50" s="84"/>
      <c r="G50" s="84"/>
      <c r="H50" s="83">
        <f t="shared" si="19"/>
        <v>4000</v>
      </c>
      <c r="I50" s="84"/>
      <c r="J50" s="84"/>
      <c r="K50" s="84"/>
      <c r="L50" s="83">
        <f t="shared" si="20"/>
        <v>3000</v>
      </c>
      <c r="M50" s="84"/>
      <c r="N50" s="84"/>
      <c r="O50" s="84"/>
      <c r="P50" s="7" t="s">
        <v>9</v>
      </c>
      <c r="Q50" s="7" t="s">
        <v>169</v>
      </c>
      <c r="R50" s="59" t="s">
        <v>290</v>
      </c>
    </row>
    <row r="51" spans="1:18" ht="37.5" customHeight="1" thickBot="1" x14ac:dyDescent="0.3">
      <c r="A51" s="14" t="s">
        <v>70</v>
      </c>
      <c r="B51" s="7" t="s">
        <v>248</v>
      </c>
      <c r="C51" s="15" t="s">
        <v>235</v>
      </c>
      <c r="D51" s="83">
        <v>20000</v>
      </c>
      <c r="E51" s="84"/>
      <c r="F51" s="84"/>
      <c r="G51" s="84"/>
      <c r="H51" s="83">
        <f t="shared" si="19"/>
        <v>16000</v>
      </c>
      <c r="I51" s="84"/>
      <c r="J51" s="84"/>
      <c r="K51" s="84"/>
      <c r="L51" s="83">
        <f t="shared" si="20"/>
        <v>12000</v>
      </c>
      <c r="M51" s="84"/>
      <c r="N51" s="84"/>
      <c r="O51" s="84"/>
      <c r="P51" s="7" t="s">
        <v>9</v>
      </c>
      <c r="Q51" s="7" t="s">
        <v>169</v>
      </c>
      <c r="R51" s="59" t="s">
        <v>277</v>
      </c>
    </row>
    <row r="52" spans="1:18" ht="45.75" customHeight="1" thickBot="1" x14ac:dyDescent="0.3">
      <c r="A52" s="14" t="s">
        <v>71</v>
      </c>
      <c r="B52" s="7" t="s">
        <v>249</v>
      </c>
      <c r="C52" s="15" t="s">
        <v>235</v>
      </c>
      <c r="D52" s="83">
        <v>30000</v>
      </c>
      <c r="E52" s="84"/>
      <c r="F52" s="84"/>
      <c r="G52" s="84"/>
      <c r="H52" s="83">
        <f t="shared" si="19"/>
        <v>24000</v>
      </c>
      <c r="I52" s="84"/>
      <c r="J52" s="84"/>
      <c r="K52" s="84"/>
      <c r="L52" s="83">
        <f t="shared" si="20"/>
        <v>18000</v>
      </c>
      <c r="M52" s="84"/>
      <c r="N52" s="84"/>
      <c r="O52" s="84"/>
      <c r="P52" s="7" t="s">
        <v>9</v>
      </c>
      <c r="Q52" s="7" t="s">
        <v>169</v>
      </c>
      <c r="R52" s="59" t="s">
        <v>277</v>
      </c>
    </row>
    <row r="53" spans="1:18" ht="38.25" thickBot="1" x14ac:dyDescent="0.3">
      <c r="A53" s="14" t="s">
        <v>72</v>
      </c>
      <c r="B53" s="7" t="s">
        <v>217</v>
      </c>
      <c r="C53" s="15" t="s">
        <v>235</v>
      </c>
      <c r="D53" s="83">
        <v>100000</v>
      </c>
      <c r="E53" s="84"/>
      <c r="F53" s="84"/>
      <c r="G53" s="84"/>
      <c r="H53" s="83">
        <f t="shared" si="19"/>
        <v>80000</v>
      </c>
      <c r="I53" s="84"/>
      <c r="J53" s="84"/>
      <c r="K53" s="84"/>
      <c r="L53" s="83">
        <f t="shared" si="20"/>
        <v>60000</v>
      </c>
      <c r="M53" s="84"/>
      <c r="N53" s="84"/>
      <c r="O53" s="84"/>
      <c r="P53" s="7" t="s">
        <v>9</v>
      </c>
      <c r="Q53" s="7" t="s">
        <v>169</v>
      </c>
      <c r="R53" s="59" t="s">
        <v>278</v>
      </c>
    </row>
    <row r="54" spans="1:18" ht="38.25" thickBot="1" x14ac:dyDescent="0.3">
      <c r="A54" s="14" t="s">
        <v>73</v>
      </c>
      <c r="B54" s="7" t="s">
        <v>218</v>
      </c>
      <c r="C54" s="15" t="s">
        <v>235</v>
      </c>
      <c r="D54" s="83">
        <v>25000</v>
      </c>
      <c r="E54" s="84"/>
      <c r="F54" s="84"/>
      <c r="G54" s="84"/>
      <c r="H54" s="83">
        <f t="shared" ref="H54" si="21">D54-(D54*20/100)</f>
        <v>20000</v>
      </c>
      <c r="I54" s="84"/>
      <c r="J54" s="84"/>
      <c r="K54" s="84"/>
      <c r="L54" s="83">
        <f t="shared" ref="L54" si="22">D54-(D54*40/100)</f>
        <v>15000</v>
      </c>
      <c r="M54" s="84"/>
      <c r="N54" s="84"/>
      <c r="O54" s="84"/>
      <c r="P54" s="7" t="s">
        <v>9</v>
      </c>
      <c r="Q54" s="7" t="s">
        <v>169</v>
      </c>
      <c r="R54" s="59" t="s">
        <v>278</v>
      </c>
    </row>
    <row r="55" spans="1:18" ht="57" thickBot="1" x14ac:dyDescent="0.3">
      <c r="A55" s="14" t="s">
        <v>219</v>
      </c>
      <c r="B55" s="7" t="s">
        <v>198</v>
      </c>
      <c r="C55" s="15" t="s">
        <v>235</v>
      </c>
      <c r="D55" s="83">
        <v>5000</v>
      </c>
      <c r="E55" s="84"/>
      <c r="F55" s="84"/>
      <c r="G55" s="84"/>
      <c r="H55" s="83">
        <f t="shared" ref="H55" si="23">D55-(D55*20/100)</f>
        <v>4000</v>
      </c>
      <c r="I55" s="84"/>
      <c r="J55" s="84"/>
      <c r="K55" s="84"/>
      <c r="L55" s="83">
        <f t="shared" ref="L55" si="24">D55-(D55*40/100)</f>
        <v>3000</v>
      </c>
      <c r="M55" s="84"/>
      <c r="N55" s="84"/>
      <c r="O55" s="84"/>
      <c r="P55" s="7" t="s">
        <v>9</v>
      </c>
      <c r="Q55" s="7" t="s">
        <v>23</v>
      </c>
      <c r="R55" s="59" t="s">
        <v>272</v>
      </c>
    </row>
    <row r="69" spans="17:17" x14ac:dyDescent="0.25">
      <c r="Q69" s="43"/>
    </row>
  </sheetData>
  <mergeCells count="157">
    <mergeCell ref="A1:Q1"/>
    <mergeCell ref="L10:O10"/>
    <mergeCell ref="L38:O38"/>
    <mergeCell ref="D49:G49"/>
    <mergeCell ref="H49:K49"/>
    <mergeCell ref="L49:O49"/>
    <mergeCell ref="L21:O21"/>
    <mergeCell ref="P44:P45"/>
    <mergeCell ref="Q44:Q45"/>
    <mergeCell ref="P13:P14"/>
    <mergeCell ref="P15:P16"/>
    <mergeCell ref="A47:A48"/>
    <mergeCell ref="A44:A45"/>
    <mergeCell ref="B44:B45"/>
    <mergeCell ref="B47:B48"/>
    <mergeCell ref="D21:G21"/>
    <mergeCell ref="D24:G24"/>
    <mergeCell ref="B34:B35"/>
    <mergeCell ref="P34:P35"/>
    <mergeCell ref="A34:A35"/>
    <mergeCell ref="D26:G26"/>
    <mergeCell ref="L24:O24"/>
    <mergeCell ref="Q21:Q22"/>
    <mergeCell ref="D23:G23"/>
    <mergeCell ref="P21:P22"/>
    <mergeCell ref="H23:K23"/>
    <mergeCell ref="L23:O23"/>
    <mergeCell ref="H24:K24"/>
    <mergeCell ref="D55:G55"/>
    <mergeCell ref="H55:K55"/>
    <mergeCell ref="L55:O55"/>
    <mergeCell ref="D51:G51"/>
    <mergeCell ref="H51:K51"/>
    <mergeCell ref="L51:O51"/>
    <mergeCell ref="D42:G42"/>
    <mergeCell ref="H42:K42"/>
    <mergeCell ref="L42:O42"/>
    <mergeCell ref="L47:O47"/>
    <mergeCell ref="H47:K47"/>
    <mergeCell ref="D54:G54"/>
    <mergeCell ref="H54:K54"/>
    <mergeCell ref="L54:O54"/>
    <mergeCell ref="D41:G41"/>
    <mergeCell ref="D53:G53"/>
    <mergeCell ref="D25:G25"/>
    <mergeCell ref="H25:K25"/>
    <mergeCell ref="H53:K53"/>
    <mergeCell ref="L53:O53"/>
    <mergeCell ref="L33:O33"/>
    <mergeCell ref="D52:G52"/>
    <mergeCell ref="H40:K40"/>
    <mergeCell ref="L40:O40"/>
    <mergeCell ref="H52:K52"/>
    <mergeCell ref="L52:O52"/>
    <mergeCell ref="L41:O41"/>
    <mergeCell ref="A46:Q46"/>
    <mergeCell ref="Q47:Q48"/>
    <mergeCell ref="P47:P48"/>
    <mergeCell ref="D50:G50"/>
    <mergeCell ref="H50:K50"/>
    <mergeCell ref="L50:O50"/>
    <mergeCell ref="D36:G36"/>
    <mergeCell ref="L25:O25"/>
    <mergeCell ref="H26:K26"/>
    <mergeCell ref="L26:O26"/>
    <mergeCell ref="D47:G47"/>
    <mergeCell ref="H41:K41"/>
    <mergeCell ref="D40:G40"/>
    <mergeCell ref="H30:K30"/>
    <mergeCell ref="L30:O30"/>
    <mergeCell ref="H29:K29"/>
    <mergeCell ref="L29:O29"/>
    <mergeCell ref="H31:K31"/>
    <mergeCell ref="L31:O31"/>
    <mergeCell ref="H33:K33"/>
    <mergeCell ref="L32:O32"/>
    <mergeCell ref="H32:K32"/>
    <mergeCell ref="D43:G43"/>
    <mergeCell ref="H43:K43"/>
    <mergeCell ref="L43:O43"/>
    <mergeCell ref="D27:G27"/>
    <mergeCell ref="H27:K27"/>
    <mergeCell ref="L39:O39"/>
    <mergeCell ref="L36:O36"/>
    <mergeCell ref="H38:K38"/>
    <mergeCell ref="D6:G6"/>
    <mergeCell ref="H6:K6"/>
    <mergeCell ref="L6:O6"/>
    <mergeCell ref="B13:B14"/>
    <mergeCell ref="L27:O27"/>
    <mergeCell ref="D37:G37"/>
    <mergeCell ref="H37:K37"/>
    <mergeCell ref="L37:O37"/>
    <mergeCell ref="D38:G38"/>
    <mergeCell ref="H36:K36"/>
    <mergeCell ref="L9:O9"/>
    <mergeCell ref="D10:G10"/>
    <mergeCell ref="D9:G9"/>
    <mergeCell ref="H9:K9"/>
    <mergeCell ref="H10:K10"/>
    <mergeCell ref="H21:K21"/>
    <mergeCell ref="D17:G17"/>
    <mergeCell ref="H17:K17"/>
    <mergeCell ref="L17:O17"/>
    <mergeCell ref="A20:Q20"/>
    <mergeCell ref="A18:A19"/>
    <mergeCell ref="B18:B19"/>
    <mergeCell ref="B21:B22"/>
    <mergeCell ref="P18:P19"/>
    <mergeCell ref="R4:R5"/>
    <mergeCell ref="R7:R8"/>
    <mergeCell ref="R13:R14"/>
    <mergeCell ref="R15:R16"/>
    <mergeCell ref="R18:R19"/>
    <mergeCell ref="C4:C5"/>
    <mergeCell ref="C21:C22"/>
    <mergeCell ref="C47:C48"/>
    <mergeCell ref="A2:Q2"/>
    <mergeCell ref="A3:Q3"/>
    <mergeCell ref="Q4:Q5"/>
    <mergeCell ref="Q7:Q8"/>
    <mergeCell ref="Q13:Q14"/>
    <mergeCell ref="Q15:Q16"/>
    <mergeCell ref="A4:A5"/>
    <mergeCell ref="B4:B5"/>
    <mergeCell ref="D4:G4"/>
    <mergeCell ref="H4:K4"/>
    <mergeCell ref="L4:O4"/>
    <mergeCell ref="P4:P5"/>
    <mergeCell ref="A7:A8"/>
    <mergeCell ref="B7:B8"/>
    <mergeCell ref="P7:P8"/>
    <mergeCell ref="A13:A14"/>
    <mergeCell ref="A11:A12"/>
    <mergeCell ref="B11:B12"/>
    <mergeCell ref="P11:P12"/>
    <mergeCell ref="Q11:Q12"/>
    <mergeCell ref="R11:R12"/>
    <mergeCell ref="R21:R22"/>
    <mergeCell ref="R34:R35"/>
    <mergeCell ref="R44:R45"/>
    <mergeCell ref="R47:R48"/>
    <mergeCell ref="B15:B16"/>
    <mergeCell ref="D39:G39"/>
    <mergeCell ref="A15:A16"/>
    <mergeCell ref="A21:A22"/>
    <mergeCell ref="Q18:Q19"/>
    <mergeCell ref="Q34:Q35"/>
    <mergeCell ref="D28:G28"/>
    <mergeCell ref="H28:K28"/>
    <mergeCell ref="L28:O28"/>
    <mergeCell ref="D29:G29"/>
    <mergeCell ref="D30:G30"/>
    <mergeCell ref="H39:K39"/>
    <mergeCell ref="D31:G31"/>
    <mergeCell ref="D32:G32"/>
    <mergeCell ref="D33:G33"/>
  </mergeCells>
  <pageMargins left="0.7" right="0.7" top="0.75" bottom="0.75" header="0.3" footer="0.3"/>
  <pageSetup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rightToLeft="1" topLeftCell="A22" zoomScaleNormal="100" workbookViewId="0">
      <selection activeCell="R55" sqref="R55"/>
    </sheetView>
  </sheetViews>
  <sheetFormatPr defaultColWidth="8.85546875" defaultRowHeight="15" x14ac:dyDescent="0.25"/>
  <cols>
    <col min="1" max="1" width="8.85546875" style="20"/>
    <col min="2" max="2" width="23.7109375" style="20" customWidth="1"/>
    <col min="3" max="3" width="10.7109375" style="20" customWidth="1"/>
    <col min="4" max="16" width="8.85546875" style="20"/>
    <col min="17" max="17" width="18.7109375" style="20" customWidth="1"/>
    <col min="18" max="18" width="33" style="20" customWidth="1"/>
    <col min="19" max="16384" width="8.85546875" style="20"/>
  </cols>
  <sheetData>
    <row r="1" spans="1:20" ht="31.5" customHeight="1" thickBot="1" x14ac:dyDescent="0.3">
      <c r="A1" s="91" t="s">
        <v>241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20" ht="24" customHeight="1" x14ac:dyDescent="0.25">
      <c r="A2" s="97" t="s">
        <v>179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20" ht="24" customHeight="1" thickBot="1" x14ac:dyDescent="0.3">
      <c r="A3" s="95" t="s">
        <v>178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</row>
    <row r="4" spans="1:20" ht="24" customHeight="1" thickBot="1" x14ac:dyDescent="0.3">
      <c r="A4" s="72" t="s">
        <v>4</v>
      </c>
      <c r="B4" s="72" t="s">
        <v>3</v>
      </c>
      <c r="C4" s="72" t="s">
        <v>176</v>
      </c>
      <c r="D4" s="79" t="s">
        <v>2</v>
      </c>
      <c r="E4" s="80"/>
      <c r="F4" s="80"/>
      <c r="G4" s="81"/>
      <c r="H4" s="79" t="s">
        <v>1</v>
      </c>
      <c r="I4" s="80"/>
      <c r="J4" s="80"/>
      <c r="K4" s="81"/>
      <c r="L4" s="79" t="s">
        <v>173</v>
      </c>
      <c r="M4" s="80"/>
      <c r="N4" s="80"/>
      <c r="O4" s="81"/>
      <c r="P4" s="72" t="s">
        <v>0</v>
      </c>
      <c r="Q4" s="72" t="s">
        <v>16</v>
      </c>
      <c r="R4" s="69" t="s">
        <v>266</v>
      </c>
    </row>
    <row r="5" spans="1:20" ht="24" thickBot="1" x14ac:dyDescent="0.3">
      <c r="A5" s="73"/>
      <c r="B5" s="78"/>
      <c r="C5" s="73"/>
      <c r="D5" s="39" t="s">
        <v>8</v>
      </c>
      <c r="E5" s="39" t="s">
        <v>7</v>
      </c>
      <c r="F5" s="39" t="s">
        <v>6</v>
      </c>
      <c r="G5" s="39" t="s">
        <v>5</v>
      </c>
      <c r="H5" s="39" t="s">
        <v>8</v>
      </c>
      <c r="I5" s="39" t="s">
        <v>7</v>
      </c>
      <c r="J5" s="39" t="s">
        <v>6</v>
      </c>
      <c r="K5" s="39" t="s">
        <v>5</v>
      </c>
      <c r="L5" s="39" t="s">
        <v>8</v>
      </c>
      <c r="M5" s="39" t="s">
        <v>7</v>
      </c>
      <c r="N5" s="39" t="s">
        <v>6</v>
      </c>
      <c r="O5" s="39" t="s">
        <v>5</v>
      </c>
      <c r="P5" s="73"/>
      <c r="Q5" s="73"/>
      <c r="R5" s="70"/>
    </row>
    <row r="6" spans="1:20" ht="38.25" thickBot="1" x14ac:dyDescent="0.3">
      <c r="A6" s="14" t="s">
        <v>74</v>
      </c>
      <c r="B6" s="7" t="s">
        <v>30</v>
      </c>
      <c r="C6" s="15" t="s">
        <v>235</v>
      </c>
      <c r="D6" s="83">
        <v>20000</v>
      </c>
      <c r="E6" s="84"/>
      <c r="F6" s="84"/>
      <c r="G6" s="84"/>
      <c r="H6" s="83">
        <f t="shared" ref="H6" si="0">D6-(D6*20/100)</f>
        <v>16000</v>
      </c>
      <c r="I6" s="84"/>
      <c r="J6" s="84"/>
      <c r="K6" s="84"/>
      <c r="L6" s="83">
        <f t="shared" ref="L6" si="1">D6-(D6*40/100)</f>
        <v>12000</v>
      </c>
      <c r="M6" s="84"/>
      <c r="N6" s="84"/>
      <c r="O6" s="84"/>
      <c r="P6" s="7" t="s">
        <v>9</v>
      </c>
      <c r="Q6" s="7" t="s">
        <v>169</v>
      </c>
      <c r="R6" s="59" t="s">
        <v>279</v>
      </c>
    </row>
    <row r="7" spans="1:20" ht="18" customHeight="1" x14ac:dyDescent="0.25">
      <c r="A7" s="63" t="s">
        <v>75</v>
      </c>
      <c r="B7" s="65" t="s">
        <v>17</v>
      </c>
      <c r="C7" s="1" t="s">
        <v>237</v>
      </c>
      <c r="D7" s="2">
        <v>3000</v>
      </c>
      <c r="E7" s="3">
        <f>D7-(D7*10/100)</f>
        <v>2700</v>
      </c>
      <c r="F7" s="3">
        <f>D7-(D7*20/100)</f>
        <v>2400</v>
      </c>
      <c r="G7" s="3">
        <f>D7-(D7*30/100)</f>
        <v>2100</v>
      </c>
      <c r="H7" s="4">
        <f>D7-(D7*10/100)</f>
        <v>2700</v>
      </c>
      <c r="I7" s="3">
        <f>H7-(H7*10/100)</f>
        <v>2430</v>
      </c>
      <c r="J7" s="3">
        <f>H7-(H7*20/100)</f>
        <v>2160</v>
      </c>
      <c r="K7" s="3">
        <f>H7-(H7*30/100)</f>
        <v>1890</v>
      </c>
      <c r="L7" s="4">
        <f>D7-(D7*20/100)</f>
        <v>2400</v>
      </c>
      <c r="M7" s="3">
        <f>L7-(L7*10/100)</f>
        <v>2160</v>
      </c>
      <c r="N7" s="3">
        <f>L7-(L7*20/100)</f>
        <v>1920</v>
      </c>
      <c r="O7" s="3">
        <f>L7-(L7*30/100)</f>
        <v>1680</v>
      </c>
      <c r="P7" s="65" t="s">
        <v>10</v>
      </c>
      <c r="Q7" s="65" t="s">
        <v>169</v>
      </c>
      <c r="R7" s="67" t="s">
        <v>267</v>
      </c>
    </row>
    <row r="8" spans="1:20" ht="24.75" customHeight="1" thickBot="1" x14ac:dyDescent="0.3">
      <c r="A8" s="64"/>
      <c r="B8" s="82"/>
      <c r="C8" s="53" t="s">
        <v>238</v>
      </c>
      <c r="D8" s="5">
        <f t="shared" ref="D8:O8" si="2">D7*50/100</f>
        <v>1500</v>
      </c>
      <c r="E8" s="6">
        <f t="shared" si="2"/>
        <v>1350</v>
      </c>
      <c r="F8" s="6">
        <f t="shared" si="2"/>
        <v>1200</v>
      </c>
      <c r="G8" s="6">
        <f t="shared" si="2"/>
        <v>1050</v>
      </c>
      <c r="H8" s="5">
        <f t="shared" si="2"/>
        <v>1350</v>
      </c>
      <c r="I8" s="6">
        <f t="shared" si="2"/>
        <v>1215</v>
      </c>
      <c r="J8" s="6">
        <f t="shared" si="2"/>
        <v>1080</v>
      </c>
      <c r="K8" s="6">
        <f t="shared" si="2"/>
        <v>945</v>
      </c>
      <c r="L8" s="5">
        <f t="shared" si="2"/>
        <v>1200</v>
      </c>
      <c r="M8" s="6">
        <f t="shared" si="2"/>
        <v>1080</v>
      </c>
      <c r="N8" s="6">
        <f t="shared" si="2"/>
        <v>960</v>
      </c>
      <c r="O8" s="6">
        <f t="shared" si="2"/>
        <v>840</v>
      </c>
      <c r="P8" s="66"/>
      <c r="Q8" s="66"/>
      <c r="R8" s="68"/>
      <c r="S8" s="41"/>
      <c r="T8" s="41"/>
    </row>
    <row r="9" spans="1:20" ht="38.25" thickBot="1" x14ac:dyDescent="0.3">
      <c r="A9" s="57" t="s">
        <v>76</v>
      </c>
      <c r="B9" s="58" t="s">
        <v>240</v>
      </c>
      <c r="C9" s="15" t="s">
        <v>235</v>
      </c>
      <c r="D9" s="83">
        <v>10000</v>
      </c>
      <c r="E9" s="84"/>
      <c r="F9" s="84"/>
      <c r="G9" s="84"/>
      <c r="H9" s="83">
        <f t="shared" ref="H9" si="3">D9-(D9*20/100)</f>
        <v>8000</v>
      </c>
      <c r="I9" s="84"/>
      <c r="J9" s="84"/>
      <c r="K9" s="84"/>
      <c r="L9" s="83">
        <f t="shared" ref="L9" si="4">D9-(D9*40/100)</f>
        <v>6000</v>
      </c>
      <c r="M9" s="84"/>
      <c r="N9" s="84"/>
      <c r="O9" s="84"/>
      <c r="P9" s="7" t="s">
        <v>9</v>
      </c>
      <c r="Q9" s="7" t="s">
        <v>169</v>
      </c>
      <c r="R9" s="59" t="s">
        <v>309</v>
      </c>
      <c r="S9" s="41"/>
      <c r="T9" s="41"/>
    </row>
    <row r="10" spans="1:20" ht="29.25" customHeight="1" x14ac:dyDescent="0.25">
      <c r="A10" s="63" t="s">
        <v>77</v>
      </c>
      <c r="B10" s="65" t="s">
        <v>33</v>
      </c>
      <c r="C10" s="1" t="s">
        <v>237</v>
      </c>
      <c r="D10" s="2">
        <v>3000</v>
      </c>
      <c r="E10" s="3">
        <f>D10-(D10*10/100)</f>
        <v>2700</v>
      </c>
      <c r="F10" s="3">
        <f>D10-(D10*20/100)</f>
        <v>2400</v>
      </c>
      <c r="G10" s="3">
        <f>D10-(D10*30/100)</f>
        <v>2100</v>
      </c>
      <c r="H10" s="4">
        <f>D10-(D10*10/100)</f>
        <v>2700</v>
      </c>
      <c r="I10" s="3">
        <f>H10-(H10*10/100)</f>
        <v>2430</v>
      </c>
      <c r="J10" s="3">
        <f>H10-(H10*20/100)</f>
        <v>2160</v>
      </c>
      <c r="K10" s="3">
        <f>H10-(H10*30/100)</f>
        <v>1890</v>
      </c>
      <c r="L10" s="4">
        <f>D10-(D10*20/100)</f>
        <v>2400</v>
      </c>
      <c r="M10" s="3">
        <f>L10-(L10*10/100)</f>
        <v>2160</v>
      </c>
      <c r="N10" s="3">
        <f>L10-(L10*20/100)</f>
        <v>1920</v>
      </c>
      <c r="O10" s="3">
        <f>L10-(L10*30/100)</f>
        <v>1680</v>
      </c>
      <c r="P10" s="65" t="s">
        <v>10</v>
      </c>
      <c r="Q10" s="65" t="s">
        <v>169</v>
      </c>
      <c r="R10" s="67" t="s">
        <v>309</v>
      </c>
    </row>
    <row r="11" spans="1:20" ht="33" customHeight="1" thickBot="1" x14ac:dyDescent="0.3">
      <c r="A11" s="64"/>
      <c r="B11" s="66"/>
      <c r="C11" s="53" t="s">
        <v>238</v>
      </c>
      <c r="D11" s="5">
        <f t="shared" ref="D11:O11" si="5">D10*50/100</f>
        <v>1500</v>
      </c>
      <c r="E11" s="6">
        <f t="shared" si="5"/>
        <v>1350</v>
      </c>
      <c r="F11" s="6">
        <f t="shared" si="5"/>
        <v>1200</v>
      </c>
      <c r="G11" s="6">
        <f t="shared" si="5"/>
        <v>1050</v>
      </c>
      <c r="H11" s="5">
        <f t="shared" si="5"/>
        <v>1350</v>
      </c>
      <c r="I11" s="6">
        <f t="shared" si="5"/>
        <v>1215</v>
      </c>
      <c r="J11" s="6">
        <f t="shared" si="5"/>
        <v>1080</v>
      </c>
      <c r="K11" s="6">
        <f t="shared" si="5"/>
        <v>945</v>
      </c>
      <c r="L11" s="5">
        <f t="shared" si="5"/>
        <v>1200</v>
      </c>
      <c r="M11" s="6">
        <f t="shared" si="5"/>
        <v>1080</v>
      </c>
      <c r="N11" s="6">
        <f t="shared" si="5"/>
        <v>960</v>
      </c>
      <c r="O11" s="6">
        <f t="shared" si="5"/>
        <v>840</v>
      </c>
      <c r="P11" s="66"/>
      <c r="Q11" s="66"/>
      <c r="R11" s="68" t="s">
        <v>263</v>
      </c>
    </row>
    <row r="12" spans="1:20" ht="57" thickBot="1" x14ac:dyDescent="0.3">
      <c r="A12" s="34" t="s">
        <v>78</v>
      </c>
      <c r="B12" s="32" t="s">
        <v>200</v>
      </c>
      <c r="C12" s="15" t="s">
        <v>235</v>
      </c>
      <c r="D12" s="83">
        <v>1000</v>
      </c>
      <c r="E12" s="84"/>
      <c r="F12" s="84"/>
      <c r="G12" s="84"/>
      <c r="H12" s="83">
        <f t="shared" ref="H12" si="6">D12-(D12*20/100)</f>
        <v>800</v>
      </c>
      <c r="I12" s="84"/>
      <c r="J12" s="84"/>
      <c r="K12" s="84"/>
      <c r="L12" s="83">
        <f t="shared" ref="L12" si="7">D12-(D12*40/100)</f>
        <v>600</v>
      </c>
      <c r="M12" s="84"/>
      <c r="N12" s="84"/>
      <c r="O12" s="84"/>
      <c r="P12" s="32" t="s">
        <v>9</v>
      </c>
      <c r="Q12" s="23" t="s">
        <v>250</v>
      </c>
      <c r="R12" s="59" t="s">
        <v>309</v>
      </c>
    </row>
    <row r="13" spans="1:20" ht="40.5" customHeight="1" thickBot="1" x14ac:dyDescent="0.3">
      <c r="A13" s="14" t="s">
        <v>79</v>
      </c>
      <c r="B13" s="24" t="s">
        <v>302</v>
      </c>
      <c r="C13" s="15" t="s">
        <v>235</v>
      </c>
      <c r="D13" s="83">
        <v>5000</v>
      </c>
      <c r="E13" s="84"/>
      <c r="F13" s="84"/>
      <c r="G13" s="84"/>
      <c r="H13" s="83">
        <f>D13-(D13*20/100)</f>
        <v>4000</v>
      </c>
      <c r="I13" s="84"/>
      <c r="J13" s="84"/>
      <c r="K13" s="84"/>
      <c r="L13" s="83">
        <f>D13-(D13*40/100)</f>
        <v>3000</v>
      </c>
      <c r="M13" s="84"/>
      <c r="N13" s="84"/>
      <c r="O13" s="84"/>
      <c r="P13" s="7" t="s">
        <v>9</v>
      </c>
      <c r="Q13" s="7" t="s">
        <v>169</v>
      </c>
      <c r="R13" s="59" t="s">
        <v>305</v>
      </c>
    </row>
    <row r="14" spans="1:20" ht="25.5" customHeight="1" x14ac:dyDescent="0.25">
      <c r="A14" s="63" t="s">
        <v>80</v>
      </c>
      <c r="B14" s="65" t="s">
        <v>303</v>
      </c>
      <c r="C14" s="1" t="s">
        <v>237</v>
      </c>
      <c r="D14" s="2">
        <v>5000</v>
      </c>
      <c r="E14" s="3">
        <f>D14-(D14*10/100)</f>
        <v>4500</v>
      </c>
      <c r="F14" s="3">
        <f>D14-(D14*20/100)</f>
        <v>4000</v>
      </c>
      <c r="G14" s="3">
        <f>D14-(D14*30/100)</f>
        <v>3500</v>
      </c>
      <c r="H14" s="4">
        <f>D14-(D14*10/100)</f>
        <v>4500</v>
      </c>
      <c r="I14" s="3">
        <f>H14-(H14*10/100)</f>
        <v>4050</v>
      </c>
      <c r="J14" s="3">
        <f>H14-(H14*20/100)</f>
        <v>3600</v>
      </c>
      <c r="K14" s="3">
        <f>H14-(H14*30/100)</f>
        <v>3150</v>
      </c>
      <c r="L14" s="4">
        <f>D14-(D14*20/100)</f>
        <v>4000</v>
      </c>
      <c r="M14" s="3">
        <f>L14-(L14*10/100)</f>
        <v>3600</v>
      </c>
      <c r="N14" s="3">
        <f>L14-(L14*20/100)</f>
        <v>3200</v>
      </c>
      <c r="O14" s="3">
        <f>L14-(L14*30/100)</f>
        <v>2800</v>
      </c>
      <c r="P14" s="65" t="s">
        <v>10</v>
      </c>
      <c r="Q14" s="65" t="s">
        <v>169</v>
      </c>
      <c r="R14" s="67" t="s">
        <v>305</v>
      </c>
    </row>
    <row r="15" spans="1:20" ht="24" customHeight="1" thickBot="1" x14ac:dyDescent="0.3">
      <c r="A15" s="64"/>
      <c r="B15" s="66"/>
      <c r="C15" s="62" t="s">
        <v>238</v>
      </c>
      <c r="D15" s="5">
        <f t="shared" ref="D15:O15" si="8">D14*50/100</f>
        <v>2500</v>
      </c>
      <c r="E15" s="6">
        <f t="shared" si="8"/>
        <v>2250</v>
      </c>
      <c r="F15" s="6">
        <f t="shared" si="8"/>
        <v>2000</v>
      </c>
      <c r="G15" s="6">
        <f t="shared" si="8"/>
        <v>1750</v>
      </c>
      <c r="H15" s="5">
        <f t="shared" si="8"/>
        <v>2250</v>
      </c>
      <c r="I15" s="6">
        <f t="shared" si="8"/>
        <v>2025</v>
      </c>
      <c r="J15" s="6">
        <f t="shared" si="8"/>
        <v>1800</v>
      </c>
      <c r="K15" s="6">
        <f t="shared" si="8"/>
        <v>1575</v>
      </c>
      <c r="L15" s="5">
        <f t="shared" si="8"/>
        <v>2000</v>
      </c>
      <c r="M15" s="6">
        <f t="shared" si="8"/>
        <v>1800</v>
      </c>
      <c r="N15" s="6">
        <f t="shared" si="8"/>
        <v>1600</v>
      </c>
      <c r="O15" s="6">
        <f t="shared" si="8"/>
        <v>1400</v>
      </c>
      <c r="P15" s="66"/>
      <c r="Q15" s="66"/>
      <c r="R15" s="68" t="s">
        <v>262</v>
      </c>
    </row>
    <row r="16" spans="1:20" ht="18" customHeight="1" x14ac:dyDescent="0.25">
      <c r="A16" s="63" t="s">
        <v>239</v>
      </c>
      <c r="B16" s="65" t="s">
        <v>172</v>
      </c>
      <c r="C16" s="1" t="s">
        <v>237</v>
      </c>
      <c r="D16" s="2">
        <v>2000</v>
      </c>
      <c r="E16" s="3">
        <f>D16-(D16*10/100)</f>
        <v>1800</v>
      </c>
      <c r="F16" s="3">
        <f>D16-(D16*20/100)</f>
        <v>1600</v>
      </c>
      <c r="G16" s="3">
        <f>D16-(D16*30/100)</f>
        <v>1400</v>
      </c>
      <c r="H16" s="4">
        <f>D16-(D16*10/100)</f>
        <v>1800</v>
      </c>
      <c r="I16" s="3">
        <f>H16-(H16*10/100)</f>
        <v>1620</v>
      </c>
      <c r="J16" s="3">
        <f>H16-(H16*20/100)</f>
        <v>1440</v>
      </c>
      <c r="K16" s="3">
        <f>H16-(H16*30/100)</f>
        <v>1260</v>
      </c>
      <c r="L16" s="4">
        <f>D16-(D16*20/100)</f>
        <v>1600</v>
      </c>
      <c r="M16" s="3">
        <f>L16-(L16*10/100)</f>
        <v>1440</v>
      </c>
      <c r="N16" s="3">
        <f>L16-(L16*20/100)</f>
        <v>1280</v>
      </c>
      <c r="O16" s="3">
        <f>L16-(L16*30/100)</f>
        <v>1120</v>
      </c>
      <c r="P16" s="65" t="s">
        <v>10</v>
      </c>
      <c r="Q16" s="65" t="s">
        <v>169</v>
      </c>
      <c r="R16" s="67" t="s">
        <v>305</v>
      </c>
    </row>
    <row r="17" spans="1:18" ht="18.75" customHeight="1" thickBot="1" x14ac:dyDescent="0.3">
      <c r="A17" s="64"/>
      <c r="B17" s="66"/>
      <c r="C17" s="53" t="s">
        <v>238</v>
      </c>
      <c r="D17" s="5">
        <f t="shared" ref="D17:O17" si="9">D16*50/100</f>
        <v>1000</v>
      </c>
      <c r="E17" s="6">
        <f t="shared" si="9"/>
        <v>900</v>
      </c>
      <c r="F17" s="6">
        <f t="shared" si="9"/>
        <v>800</v>
      </c>
      <c r="G17" s="6">
        <f t="shared" si="9"/>
        <v>700</v>
      </c>
      <c r="H17" s="5">
        <f t="shared" si="9"/>
        <v>900</v>
      </c>
      <c r="I17" s="6">
        <f t="shared" si="9"/>
        <v>810</v>
      </c>
      <c r="J17" s="6">
        <f t="shared" si="9"/>
        <v>720</v>
      </c>
      <c r="K17" s="6">
        <f t="shared" si="9"/>
        <v>630</v>
      </c>
      <c r="L17" s="5">
        <f t="shared" si="9"/>
        <v>800</v>
      </c>
      <c r="M17" s="6">
        <f t="shared" si="9"/>
        <v>720</v>
      </c>
      <c r="N17" s="6">
        <f t="shared" si="9"/>
        <v>640</v>
      </c>
      <c r="O17" s="6">
        <f t="shared" si="9"/>
        <v>560</v>
      </c>
      <c r="P17" s="66"/>
      <c r="Q17" s="66"/>
      <c r="R17" s="68" t="s">
        <v>263</v>
      </c>
    </row>
    <row r="18" spans="1:18" ht="24" customHeight="1" x14ac:dyDescent="0.25">
      <c r="A18" s="63" t="s">
        <v>304</v>
      </c>
      <c r="B18" s="65" t="s">
        <v>201</v>
      </c>
      <c r="C18" s="1" t="s">
        <v>237</v>
      </c>
      <c r="D18" s="2">
        <v>1000</v>
      </c>
      <c r="E18" s="8">
        <f>D18-(D18*10/100)</f>
        <v>900</v>
      </c>
      <c r="F18" s="8">
        <f>D18-(D18*20/100)</f>
        <v>800</v>
      </c>
      <c r="G18" s="9">
        <f>D18-(D18*30/100)</f>
        <v>700</v>
      </c>
      <c r="H18" s="10">
        <f>D18-(D18*10/100)</f>
        <v>900</v>
      </c>
      <c r="I18" s="8">
        <f>H18-(H18*10/100)</f>
        <v>810</v>
      </c>
      <c r="J18" s="8">
        <f>H18-(H18*20/100)</f>
        <v>720</v>
      </c>
      <c r="K18" s="9">
        <f>H18-(H18*30/100)</f>
        <v>630</v>
      </c>
      <c r="L18" s="10">
        <f>D18-(D18*20/100)</f>
        <v>800</v>
      </c>
      <c r="M18" s="8">
        <f>L18-(L18*10/100)</f>
        <v>720</v>
      </c>
      <c r="N18" s="8">
        <f>L18-(L18*20/100)</f>
        <v>640</v>
      </c>
      <c r="O18" s="9">
        <f>L18-(L18*30/100)</f>
        <v>560</v>
      </c>
      <c r="P18" s="65" t="s">
        <v>10</v>
      </c>
      <c r="Q18" s="65" t="s">
        <v>192</v>
      </c>
      <c r="R18" s="67" t="s">
        <v>305</v>
      </c>
    </row>
    <row r="19" spans="1:18" ht="27" customHeight="1" thickBot="1" x14ac:dyDescent="0.3">
      <c r="A19" s="64"/>
      <c r="B19" s="66"/>
      <c r="C19" s="53" t="s">
        <v>238</v>
      </c>
      <c r="D19" s="11">
        <f t="shared" ref="D19:O19" si="10">D18*50/100</f>
        <v>500</v>
      </c>
      <c r="E19" s="12">
        <f t="shared" si="10"/>
        <v>450</v>
      </c>
      <c r="F19" s="12">
        <f t="shared" si="10"/>
        <v>400</v>
      </c>
      <c r="G19" s="13">
        <f t="shared" si="10"/>
        <v>350</v>
      </c>
      <c r="H19" s="11">
        <f t="shared" si="10"/>
        <v>450</v>
      </c>
      <c r="I19" s="12">
        <f t="shared" si="10"/>
        <v>405</v>
      </c>
      <c r="J19" s="12">
        <f t="shared" si="10"/>
        <v>360</v>
      </c>
      <c r="K19" s="13">
        <f t="shared" si="10"/>
        <v>315</v>
      </c>
      <c r="L19" s="11">
        <f t="shared" si="10"/>
        <v>400</v>
      </c>
      <c r="M19" s="12">
        <f t="shared" si="10"/>
        <v>360</v>
      </c>
      <c r="N19" s="12">
        <f t="shared" si="10"/>
        <v>320</v>
      </c>
      <c r="O19" s="13">
        <f t="shared" si="10"/>
        <v>280</v>
      </c>
      <c r="P19" s="66"/>
      <c r="Q19" s="66"/>
      <c r="R19" s="68" t="s">
        <v>263</v>
      </c>
    </row>
    <row r="20" spans="1:18" ht="24" customHeight="1" thickBot="1" x14ac:dyDescent="0.3">
      <c r="A20" s="95" t="s">
        <v>180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  <row r="21" spans="1:18" ht="24" customHeight="1" thickBot="1" x14ac:dyDescent="0.3">
      <c r="A21" s="72" t="s">
        <v>4</v>
      </c>
      <c r="B21" s="72" t="s">
        <v>3</v>
      </c>
      <c r="C21" s="72" t="s">
        <v>176</v>
      </c>
      <c r="D21" s="79" t="s">
        <v>2</v>
      </c>
      <c r="E21" s="80"/>
      <c r="F21" s="80"/>
      <c r="G21" s="81"/>
      <c r="H21" s="79" t="s">
        <v>1</v>
      </c>
      <c r="I21" s="80"/>
      <c r="J21" s="80"/>
      <c r="K21" s="81"/>
      <c r="L21" s="79" t="s">
        <v>173</v>
      </c>
      <c r="M21" s="80"/>
      <c r="N21" s="80"/>
      <c r="O21" s="81"/>
      <c r="P21" s="72" t="s">
        <v>0</v>
      </c>
      <c r="Q21" s="72" t="s">
        <v>16</v>
      </c>
      <c r="R21" s="69" t="s">
        <v>266</v>
      </c>
    </row>
    <row r="22" spans="1:18" ht="24" thickBot="1" x14ac:dyDescent="0.3">
      <c r="A22" s="73"/>
      <c r="B22" s="78"/>
      <c r="C22" s="73"/>
      <c r="D22" s="39" t="s">
        <v>8</v>
      </c>
      <c r="E22" s="39" t="s">
        <v>7</v>
      </c>
      <c r="F22" s="39" t="s">
        <v>6</v>
      </c>
      <c r="G22" s="39" t="s">
        <v>5</v>
      </c>
      <c r="H22" s="39" t="s">
        <v>8</v>
      </c>
      <c r="I22" s="39" t="s">
        <v>7</v>
      </c>
      <c r="J22" s="39" t="s">
        <v>6</v>
      </c>
      <c r="K22" s="39" t="s">
        <v>5</v>
      </c>
      <c r="L22" s="39" t="s">
        <v>8</v>
      </c>
      <c r="M22" s="39" t="s">
        <v>7</v>
      </c>
      <c r="N22" s="39" t="s">
        <v>6</v>
      </c>
      <c r="O22" s="39" t="s">
        <v>5</v>
      </c>
      <c r="P22" s="73"/>
      <c r="Q22" s="73"/>
      <c r="R22" s="70"/>
    </row>
    <row r="23" spans="1:18" ht="57" thickBot="1" x14ac:dyDescent="0.3">
      <c r="A23" s="34" t="s">
        <v>81</v>
      </c>
      <c r="B23" s="32" t="s">
        <v>13</v>
      </c>
      <c r="C23" s="15" t="s">
        <v>235</v>
      </c>
      <c r="D23" s="83">
        <v>1000</v>
      </c>
      <c r="E23" s="84"/>
      <c r="F23" s="84"/>
      <c r="G23" s="84"/>
      <c r="H23" s="83">
        <f t="shared" ref="H23:H28" si="11">D23-(D23*20/100)</f>
        <v>800</v>
      </c>
      <c r="I23" s="84"/>
      <c r="J23" s="84"/>
      <c r="K23" s="84"/>
      <c r="L23" s="83">
        <f t="shared" ref="L23:L28" si="12">D23-(D23*40/100)</f>
        <v>600</v>
      </c>
      <c r="M23" s="84"/>
      <c r="N23" s="84"/>
      <c r="O23" s="84"/>
      <c r="P23" s="32" t="s">
        <v>9</v>
      </c>
      <c r="Q23" s="32" t="s">
        <v>244</v>
      </c>
      <c r="R23" s="59" t="s">
        <v>270</v>
      </c>
    </row>
    <row r="24" spans="1:18" ht="57" thickBot="1" x14ac:dyDescent="0.3">
      <c r="A24" s="34" t="s">
        <v>82</v>
      </c>
      <c r="B24" s="16" t="s">
        <v>19</v>
      </c>
      <c r="C24" s="15" t="s">
        <v>235</v>
      </c>
      <c r="D24" s="89">
        <v>500</v>
      </c>
      <c r="E24" s="90"/>
      <c r="F24" s="90"/>
      <c r="G24" s="90"/>
      <c r="H24" s="89">
        <f t="shared" si="11"/>
        <v>400</v>
      </c>
      <c r="I24" s="90"/>
      <c r="J24" s="90"/>
      <c r="K24" s="90"/>
      <c r="L24" s="89">
        <f t="shared" si="12"/>
        <v>300</v>
      </c>
      <c r="M24" s="90"/>
      <c r="N24" s="90"/>
      <c r="O24" s="90"/>
      <c r="P24" s="32" t="s">
        <v>9</v>
      </c>
      <c r="Q24" s="32" t="s">
        <v>251</v>
      </c>
      <c r="R24" s="59" t="s">
        <v>271</v>
      </c>
    </row>
    <row r="25" spans="1:18" s="40" customFormat="1" ht="38.25" thickBot="1" x14ac:dyDescent="0.3">
      <c r="A25" s="38" t="s">
        <v>83</v>
      </c>
      <c r="B25" s="48" t="s">
        <v>199</v>
      </c>
      <c r="C25" s="15" t="s">
        <v>235</v>
      </c>
      <c r="D25" s="93">
        <v>500</v>
      </c>
      <c r="E25" s="94"/>
      <c r="F25" s="94"/>
      <c r="G25" s="94"/>
      <c r="H25" s="93">
        <f t="shared" si="11"/>
        <v>400</v>
      </c>
      <c r="I25" s="94"/>
      <c r="J25" s="94"/>
      <c r="K25" s="94"/>
      <c r="L25" s="93">
        <f t="shared" si="12"/>
        <v>300</v>
      </c>
      <c r="M25" s="94"/>
      <c r="N25" s="94"/>
      <c r="O25" s="94"/>
      <c r="P25" s="37" t="s">
        <v>9</v>
      </c>
      <c r="Q25" s="47" t="s">
        <v>252</v>
      </c>
      <c r="R25" s="59" t="s">
        <v>272</v>
      </c>
    </row>
    <row r="26" spans="1:18" s="40" customFormat="1" ht="57" thickBot="1" x14ac:dyDescent="0.3">
      <c r="A26" s="25" t="s">
        <v>84</v>
      </c>
      <c r="B26" s="17" t="s">
        <v>221</v>
      </c>
      <c r="C26" s="15" t="s">
        <v>235</v>
      </c>
      <c r="D26" s="93">
        <v>500</v>
      </c>
      <c r="E26" s="94"/>
      <c r="F26" s="94"/>
      <c r="G26" s="94"/>
      <c r="H26" s="93">
        <f t="shared" si="11"/>
        <v>400</v>
      </c>
      <c r="I26" s="94"/>
      <c r="J26" s="94"/>
      <c r="K26" s="94"/>
      <c r="L26" s="93">
        <f t="shared" si="12"/>
        <v>300</v>
      </c>
      <c r="M26" s="94"/>
      <c r="N26" s="94"/>
      <c r="O26" s="94"/>
      <c r="P26" s="26" t="s">
        <v>9</v>
      </c>
      <c r="Q26" s="55" t="s">
        <v>251</v>
      </c>
      <c r="R26" s="59" t="s">
        <v>284</v>
      </c>
    </row>
    <row r="27" spans="1:18" ht="57" thickBot="1" x14ac:dyDescent="0.3">
      <c r="A27" s="14" t="s">
        <v>85</v>
      </c>
      <c r="B27" s="33" t="s">
        <v>24</v>
      </c>
      <c r="C27" s="15" t="s">
        <v>235</v>
      </c>
      <c r="D27" s="83">
        <v>1000</v>
      </c>
      <c r="E27" s="84"/>
      <c r="F27" s="84"/>
      <c r="G27" s="84"/>
      <c r="H27" s="83">
        <f t="shared" si="11"/>
        <v>800</v>
      </c>
      <c r="I27" s="84"/>
      <c r="J27" s="84"/>
      <c r="K27" s="84"/>
      <c r="L27" s="83">
        <f t="shared" si="12"/>
        <v>600</v>
      </c>
      <c r="M27" s="84"/>
      <c r="N27" s="84"/>
      <c r="O27" s="84"/>
      <c r="P27" s="33" t="s">
        <v>9</v>
      </c>
      <c r="Q27" s="55" t="s">
        <v>251</v>
      </c>
      <c r="R27" s="59" t="s">
        <v>306</v>
      </c>
    </row>
    <row r="28" spans="1:18" ht="38.25" thickBot="1" x14ac:dyDescent="0.3">
      <c r="A28" s="14" t="s">
        <v>86</v>
      </c>
      <c r="B28" s="16" t="s">
        <v>233</v>
      </c>
      <c r="C28" s="15" t="s">
        <v>235</v>
      </c>
      <c r="D28" s="83">
        <v>10000</v>
      </c>
      <c r="E28" s="84">
        <f>D28-(D28*10/100)</f>
        <v>9000</v>
      </c>
      <c r="F28" s="84">
        <f>D28-(D28*20/100)</f>
        <v>8000</v>
      </c>
      <c r="G28" s="84">
        <f>D28-(D28*30/100)</f>
        <v>7000</v>
      </c>
      <c r="H28" s="83">
        <f t="shared" si="11"/>
        <v>8000</v>
      </c>
      <c r="I28" s="84"/>
      <c r="J28" s="84"/>
      <c r="K28" s="84"/>
      <c r="L28" s="83">
        <f t="shared" si="12"/>
        <v>6000</v>
      </c>
      <c r="M28" s="84"/>
      <c r="N28" s="84"/>
      <c r="O28" s="84"/>
      <c r="P28" s="33" t="s">
        <v>9</v>
      </c>
      <c r="Q28" s="32" t="s">
        <v>234</v>
      </c>
      <c r="R28" s="59" t="s">
        <v>306</v>
      </c>
    </row>
    <row r="29" spans="1:18" ht="75.75" thickBot="1" x14ac:dyDescent="0.3">
      <c r="A29" s="14" t="s">
        <v>87</v>
      </c>
      <c r="B29" s="7" t="s">
        <v>214</v>
      </c>
      <c r="C29" s="15" t="s">
        <v>235</v>
      </c>
      <c r="D29" s="83">
        <v>10000</v>
      </c>
      <c r="E29" s="84"/>
      <c r="F29" s="84"/>
      <c r="G29" s="84"/>
      <c r="H29" s="83">
        <f t="shared" ref="H29:H31" si="13">D29-(D29*20/100)</f>
        <v>8000</v>
      </c>
      <c r="I29" s="84"/>
      <c r="J29" s="84"/>
      <c r="K29" s="84"/>
      <c r="L29" s="83">
        <f t="shared" ref="L29:L31" si="14">D29-(D29*40/100)</f>
        <v>6000</v>
      </c>
      <c r="M29" s="84"/>
      <c r="N29" s="84"/>
      <c r="O29" s="84"/>
      <c r="P29" s="7" t="s">
        <v>9</v>
      </c>
      <c r="Q29" s="32" t="s">
        <v>226</v>
      </c>
      <c r="R29" s="59" t="s">
        <v>273</v>
      </c>
    </row>
    <row r="30" spans="1:18" ht="38.25" thickBot="1" x14ac:dyDescent="0.3">
      <c r="A30" s="14" t="s">
        <v>88</v>
      </c>
      <c r="B30" s="7" t="s">
        <v>202</v>
      </c>
      <c r="C30" s="15" t="s">
        <v>235</v>
      </c>
      <c r="D30" s="83">
        <v>15000</v>
      </c>
      <c r="E30" s="84"/>
      <c r="F30" s="84"/>
      <c r="G30" s="84"/>
      <c r="H30" s="83">
        <f t="shared" si="13"/>
        <v>12000</v>
      </c>
      <c r="I30" s="84"/>
      <c r="J30" s="84"/>
      <c r="K30" s="84"/>
      <c r="L30" s="83">
        <f t="shared" si="14"/>
        <v>9000</v>
      </c>
      <c r="M30" s="84"/>
      <c r="N30" s="84"/>
      <c r="O30" s="84"/>
      <c r="P30" s="7" t="s">
        <v>9</v>
      </c>
      <c r="Q30" s="32" t="s">
        <v>226</v>
      </c>
      <c r="R30" s="59" t="s">
        <v>272</v>
      </c>
    </row>
    <row r="31" spans="1:18" ht="38.25" thickBot="1" x14ac:dyDescent="0.3">
      <c r="A31" s="14" t="s">
        <v>89</v>
      </c>
      <c r="B31" s="7" t="s">
        <v>28</v>
      </c>
      <c r="C31" s="15" t="s">
        <v>235</v>
      </c>
      <c r="D31" s="83">
        <v>5000</v>
      </c>
      <c r="E31" s="84"/>
      <c r="F31" s="84"/>
      <c r="G31" s="84"/>
      <c r="H31" s="83">
        <f t="shared" si="13"/>
        <v>4000</v>
      </c>
      <c r="I31" s="84"/>
      <c r="J31" s="84"/>
      <c r="K31" s="84"/>
      <c r="L31" s="83">
        <f t="shared" si="14"/>
        <v>3000</v>
      </c>
      <c r="M31" s="84"/>
      <c r="N31" s="84"/>
      <c r="O31" s="84"/>
      <c r="P31" s="7" t="s">
        <v>9</v>
      </c>
      <c r="Q31" s="32" t="s">
        <v>225</v>
      </c>
      <c r="R31" s="59" t="s">
        <v>272</v>
      </c>
    </row>
    <row r="32" spans="1:18" ht="31.5" customHeight="1" x14ac:dyDescent="0.25">
      <c r="A32" s="63" t="s">
        <v>90</v>
      </c>
      <c r="B32" s="65" t="s">
        <v>216</v>
      </c>
      <c r="C32" s="1" t="s">
        <v>237</v>
      </c>
      <c r="D32" s="2">
        <v>3000</v>
      </c>
      <c r="E32" s="3">
        <f>D32-(D32*10/100)</f>
        <v>2700</v>
      </c>
      <c r="F32" s="3">
        <f>D32-(D32*20/100)</f>
        <v>2400</v>
      </c>
      <c r="G32" s="3">
        <f>D32-(D32*30/100)</f>
        <v>2100</v>
      </c>
      <c r="H32" s="4">
        <f>D32-(D32*10/100)</f>
        <v>2700</v>
      </c>
      <c r="I32" s="3">
        <f>H32-(H32*10/100)</f>
        <v>2430</v>
      </c>
      <c r="J32" s="3">
        <f>H32-(H32*20/100)</f>
        <v>2160</v>
      </c>
      <c r="K32" s="3">
        <f>H32-(H32*30/100)</f>
        <v>1890</v>
      </c>
      <c r="L32" s="4">
        <f>D32-(D32*20/100)</f>
        <v>2400</v>
      </c>
      <c r="M32" s="3">
        <f>L32-(L32*10/100)</f>
        <v>2160</v>
      </c>
      <c r="N32" s="3">
        <f>L32-(L32*20/100)</f>
        <v>1920</v>
      </c>
      <c r="O32" s="3">
        <f>L32-(L32*30/100)</f>
        <v>1680</v>
      </c>
      <c r="P32" s="65" t="s">
        <v>10</v>
      </c>
      <c r="Q32" s="65" t="s">
        <v>23</v>
      </c>
      <c r="R32" s="67" t="s">
        <v>274</v>
      </c>
    </row>
    <row r="33" spans="1:18" ht="33" customHeight="1" thickBot="1" x14ac:dyDescent="0.3">
      <c r="A33" s="64"/>
      <c r="B33" s="92"/>
      <c r="C33" s="53" t="s">
        <v>238</v>
      </c>
      <c r="D33" s="5">
        <f t="shared" ref="D33:O33" si="15">D32*50/100</f>
        <v>1500</v>
      </c>
      <c r="E33" s="6">
        <f t="shared" si="15"/>
        <v>1350</v>
      </c>
      <c r="F33" s="6">
        <f t="shared" si="15"/>
        <v>1200</v>
      </c>
      <c r="G33" s="6">
        <f t="shared" si="15"/>
        <v>1050</v>
      </c>
      <c r="H33" s="5">
        <f t="shared" si="15"/>
        <v>1350</v>
      </c>
      <c r="I33" s="6">
        <f t="shared" si="15"/>
        <v>1215</v>
      </c>
      <c r="J33" s="6">
        <f t="shared" si="15"/>
        <v>1080</v>
      </c>
      <c r="K33" s="6">
        <f t="shared" si="15"/>
        <v>945</v>
      </c>
      <c r="L33" s="5">
        <f t="shared" si="15"/>
        <v>1200</v>
      </c>
      <c r="M33" s="6">
        <f t="shared" si="15"/>
        <v>1080</v>
      </c>
      <c r="N33" s="6">
        <f t="shared" si="15"/>
        <v>960</v>
      </c>
      <c r="O33" s="6">
        <f t="shared" si="15"/>
        <v>840</v>
      </c>
      <c r="P33" s="66"/>
      <c r="Q33" s="66"/>
      <c r="R33" s="71" t="s">
        <v>262</v>
      </c>
    </row>
    <row r="34" spans="1:18" ht="54" customHeight="1" thickBot="1" x14ac:dyDescent="0.3">
      <c r="A34" s="14" t="s">
        <v>91</v>
      </c>
      <c r="B34" s="7" t="s">
        <v>203</v>
      </c>
      <c r="C34" s="15" t="s">
        <v>235</v>
      </c>
      <c r="D34" s="83">
        <v>10000</v>
      </c>
      <c r="E34" s="84"/>
      <c r="F34" s="84"/>
      <c r="G34" s="84"/>
      <c r="H34" s="83">
        <f t="shared" ref="H34:H40" si="16">D34-(D34*20/100)</f>
        <v>8000</v>
      </c>
      <c r="I34" s="84"/>
      <c r="J34" s="84"/>
      <c r="K34" s="84"/>
      <c r="L34" s="83">
        <f t="shared" ref="L34:L40" si="17">D34-(D34*40/100)</f>
        <v>6000</v>
      </c>
      <c r="M34" s="84"/>
      <c r="N34" s="84"/>
      <c r="O34" s="84"/>
      <c r="P34" s="7" t="s">
        <v>9</v>
      </c>
      <c r="Q34" s="32" t="s">
        <v>38</v>
      </c>
      <c r="R34" s="59" t="s">
        <v>310</v>
      </c>
    </row>
    <row r="35" spans="1:18" ht="33.75" customHeight="1" thickBot="1" x14ac:dyDescent="0.3">
      <c r="A35" s="14" t="s">
        <v>92</v>
      </c>
      <c r="B35" s="7" t="s">
        <v>171</v>
      </c>
      <c r="C35" s="15" t="s">
        <v>235</v>
      </c>
      <c r="D35" s="83">
        <v>1000</v>
      </c>
      <c r="E35" s="84"/>
      <c r="F35" s="84"/>
      <c r="G35" s="84"/>
      <c r="H35" s="83">
        <f t="shared" si="16"/>
        <v>800</v>
      </c>
      <c r="I35" s="84"/>
      <c r="J35" s="84"/>
      <c r="K35" s="84"/>
      <c r="L35" s="83">
        <f t="shared" si="17"/>
        <v>600</v>
      </c>
      <c r="M35" s="84"/>
      <c r="N35" s="84"/>
      <c r="O35" s="84"/>
      <c r="P35" s="7" t="s">
        <v>9</v>
      </c>
      <c r="Q35" s="32" t="s">
        <v>253</v>
      </c>
      <c r="R35" s="59" t="s">
        <v>274</v>
      </c>
    </row>
    <row r="36" spans="1:18" ht="94.5" thickBot="1" x14ac:dyDescent="0.3">
      <c r="A36" s="14" t="s">
        <v>93</v>
      </c>
      <c r="B36" s="16" t="s">
        <v>22</v>
      </c>
      <c r="C36" s="15" t="s">
        <v>235</v>
      </c>
      <c r="D36" s="83">
        <v>1000</v>
      </c>
      <c r="E36" s="84"/>
      <c r="F36" s="84"/>
      <c r="G36" s="84"/>
      <c r="H36" s="83">
        <f t="shared" si="16"/>
        <v>800</v>
      </c>
      <c r="I36" s="84"/>
      <c r="J36" s="84"/>
      <c r="K36" s="84"/>
      <c r="L36" s="83">
        <f t="shared" si="17"/>
        <v>600</v>
      </c>
      <c r="M36" s="84"/>
      <c r="N36" s="84"/>
      <c r="O36" s="84"/>
      <c r="P36" s="7" t="s">
        <v>9</v>
      </c>
      <c r="Q36" s="32" t="s">
        <v>254</v>
      </c>
      <c r="R36" s="59" t="s">
        <v>310</v>
      </c>
    </row>
    <row r="37" spans="1:18" ht="61.5" customHeight="1" thickBot="1" x14ac:dyDescent="0.3">
      <c r="A37" s="14" t="s">
        <v>94</v>
      </c>
      <c r="B37" s="16" t="s">
        <v>21</v>
      </c>
      <c r="C37" s="15" t="s">
        <v>235</v>
      </c>
      <c r="D37" s="83">
        <v>5000</v>
      </c>
      <c r="E37" s="84"/>
      <c r="F37" s="84"/>
      <c r="G37" s="84"/>
      <c r="H37" s="83">
        <f>D37-(D37*20/100)</f>
        <v>4000</v>
      </c>
      <c r="I37" s="84"/>
      <c r="J37" s="84"/>
      <c r="K37" s="84"/>
      <c r="L37" s="83">
        <f>D37-(D37*40/100)</f>
        <v>3000</v>
      </c>
      <c r="M37" s="84"/>
      <c r="N37" s="84"/>
      <c r="O37" s="84"/>
      <c r="P37" s="7" t="s">
        <v>9</v>
      </c>
      <c r="Q37" s="32" t="s">
        <v>38</v>
      </c>
      <c r="R37" s="59" t="s">
        <v>308</v>
      </c>
    </row>
    <row r="38" spans="1:18" ht="59.25" customHeight="1" thickBot="1" x14ac:dyDescent="0.3">
      <c r="A38" s="14" t="s">
        <v>95</v>
      </c>
      <c r="B38" s="16" t="s">
        <v>29</v>
      </c>
      <c r="C38" s="15" t="s">
        <v>235</v>
      </c>
      <c r="D38" s="83">
        <v>1000</v>
      </c>
      <c r="E38" s="84"/>
      <c r="F38" s="84"/>
      <c r="G38" s="84"/>
      <c r="H38" s="83">
        <f t="shared" si="16"/>
        <v>800</v>
      </c>
      <c r="I38" s="84"/>
      <c r="J38" s="84"/>
      <c r="K38" s="84"/>
      <c r="L38" s="83">
        <f t="shared" si="17"/>
        <v>600</v>
      </c>
      <c r="M38" s="84"/>
      <c r="N38" s="84"/>
      <c r="O38" s="84"/>
      <c r="P38" s="7" t="s">
        <v>9</v>
      </c>
      <c r="Q38" s="32" t="s">
        <v>255</v>
      </c>
      <c r="R38" s="59" t="s">
        <v>272</v>
      </c>
    </row>
    <row r="39" spans="1:18" ht="75.75" thickBot="1" x14ac:dyDescent="0.3">
      <c r="A39" s="14" t="s">
        <v>96</v>
      </c>
      <c r="B39" s="7" t="s">
        <v>168</v>
      </c>
      <c r="C39" s="15" t="s">
        <v>235</v>
      </c>
      <c r="D39" s="83">
        <v>5000</v>
      </c>
      <c r="E39" s="84"/>
      <c r="F39" s="84"/>
      <c r="G39" s="84"/>
      <c r="H39" s="83">
        <f t="shared" si="16"/>
        <v>4000</v>
      </c>
      <c r="I39" s="84"/>
      <c r="J39" s="84"/>
      <c r="K39" s="84"/>
      <c r="L39" s="83">
        <f t="shared" si="17"/>
        <v>3000</v>
      </c>
      <c r="M39" s="84"/>
      <c r="N39" s="84"/>
      <c r="O39" s="84"/>
      <c r="P39" s="7" t="s">
        <v>9</v>
      </c>
      <c r="Q39" s="32" t="s">
        <v>225</v>
      </c>
      <c r="R39" s="60" t="s">
        <v>287</v>
      </c>
    </row>
    <row r="40" spans="1:18" ht="75.75" thickBot="1" x14ac:dyDescent="0.3">
      <c r="A40" s="51" t="s">
        <v>97</v>
      </c>
      <c r="B40" s="7" t="s">
        <v>191</v>
      </c>
      <c r="C40" s="15" t="s">
        <v>235</v>
      </c>
      <c r="D40" s="83">
        <v>3000</v>
      </c>
      <c r="E40" s="84"/>
      <c r="F40" s="84"/>
      <c r="G40" s="84"/>
      <c r="H40" s="83">
        <f t="shared" si="16"/>
        <v>2400</v>
      </c>
      <c r="I40" s="84"/>
      <c r="J40" s="84"/>
      <c r="K40" s="84"/>
      <c r="L40" s="83">
        <f t="shared" si="17"/>
        <v>1800</v>
      </c>
      <c r="M40" s="84"/>
      <c r="N40" s="84"/>
      <c r="O40" s="84"/>
      <c r="P40" s="7" t="s">
        <v>9</v>
      </c>
      <c r="Q40" s="32" t="s">
        <v>251</v>
      </c>
      <c r="R40" s="59" t="s">
        <v>291</v>
      </c>
    </row>
    <row r="41" spans="1:18" ht="25.5" customHeight="1" x14ac:dyDescent="0.25">
      <c r="A41" s="63" t="s">
        <v>98</v>
      </c>
      <c r="B41" s="65" t="s">
        <v>204</v>
      </c>
      <c r="C41" s="1" t="s">
        <v>237</v>
      </c>
      <c r="D41" s="2">
        <v>5000</v>
      </c>
      <c r="E41" s="3">
        <f>D41-(D41*10/100)</f>
        <v>4500</v>
      </c>
      <c r="F41" s="3">
        <f>D41-(D41*20/100)</f>
        <v>4000</v>
      </c>
      <c r="G41" s="3">
        <f>D41-(D41*30/100)</f>
        <v>3500</v>
      </c>
      <c r="H41" s="4">
        <f>D41-(D41*10/100)</f>
        <v>4500</v>
      </c>
      <c r="I41" s="3">
        <f>H41-(H41*10/100)</f>
        <v>4050</v>
      </c>
      <c r="J41" s="3">
        <f>H41-(H41*20/100)</f>
        <v>3600</v>
      </c>
      <c r="K41" s="3">
        <f>H41-(H41*30/100)</f>
        <v>3150</v>
      </c>
      <c r="L41" s="4">
        <f>D41-(D41*20/100)</f>
        <v>4000</v>
      </c>
      <c r="M41" s="3">
        <f>L41-(L41*10/100)</f>
        <v>3600</v>
      </c>
      <c r="N41" s="3">
        <f>L41-(L41*20/100)</f>
        <v>3200</v>
      </c>
      <c r="O41" s="3">
        <f>L41-(L41*30/100)</f>
        <v>2800</v>
      </c>
      <c r="P41" s="65" t="s">
        <v>10</v>
      </c>
      <c r="Q41" s="65" t="s">
        <v>23</v>
      </c>
      <c r="R41" s="67" t="s">
        <v>288</v>
      </c>
    </row>
    <row r="42" spans="1:18" ht="31.5" customHeight="1" thickBot="1" x14ac:dyDescent="0.3">
      <c r="A42" s="64"/>
      <c r="B42" s="66"/>
      <c r="C42" s="53" t="s">
        <v>238</v>
      </c>
      <c r="D42" s="5">
        <f t="shared" ref="D42:O42" si="18">D41*50/100</f>
        <v>2500</v>
      </c>
      <c r="E42" s="6">
        <f t="shared" si="18"/>
        <v>2250</v>
      </c>
      <c r="F42" s="6">
        <f t="shared" si="18"/>
        <v>2000</v>
      </c>
      <c r="G42" s="6">
        <f t="shared" si="18"/>
        <v>1750</v>
      </c>
      <c r="H42" s="5">
        <f t="shared" si="18"/>
        <v>2250</v>
      </c>
      <c r="I42" s="6">
        <f t="shared" si="18"/>
        <v>2025</v>
      </c>
      <c r="J42" s="6">
        <f t="shared" si="18"/>
        <v>1800</v>
      </c>
      <c r="K42" s="6">
        <f t="shared" si="18"/>
        <v>1575</v>
      </c>
      <c r="L42" s="5">
        <f t="shared" si="18"/>
        <v>2000</v>
      </c>
      <c r="M42" s="6">
        <f t="shared" si="18"/>
        <v>1800</v>
      </c>
      <c r="N42" s="6">
        <f t="shared" si="18"/>
        <v>1600</v>
      </c>
      <c r="O42" s="6">
        <f t="shared" si="18"/>
        <v>1400</v>
      </c>
      <c r="P42" s="66"/>
      <c r="Q42" s="66"/>
      <c r="R42" s="68"/>
    </row>
    <row r="43" spans="1:18" ht="38.25" thickBot="1" x14ac:dyDescent="0.3">
      <c r="A43" s="52" t="s">
        <v>99</v>
      </c>
      <c r="B43" s="32" t="s">
        <v>205</v>
      </c>
      <c r="C43" s="15" t="s">
        <v>235</v>
      </c>
      <c r="D43" s="83">
        <v>50000</v>
      </c>
      <c r="E43" s="84"/>
      <c r="F43" s="84"/>
      <c r="G43" s="88"/>
      <c r="H43" s="83">
        <f t="shared" ref="H43" si="19">D43-(D43*20/100)</f>
        <v>40000</v>
      </c>
      <c r="I43" s="84"/>
      <c r="J43" s="84"/>
      <c r="K43" s="88"/>
      <c r="L43" s="83">
        <f t="shared" ref="L43" si="20">D43-(D43*40/100)</f>
        <v>30000</v>
      </c>
      <c r="M43" s="84"/>
      <c r="N43" s="84"/>
      <c r="O43" s="88"/>
      <c r="P43" s="7" t="s">
        <v>9</v>
      </c>
      <c r="Q43" s="32" t="s">
        <v>226</v>
      </c>
      <c r="R43" s="59" t="s">
        <v>272</v>
      </c>
    </row>
    <row r="44" spans="1:18" ht="84.75" customHeight="1" thickBot="1" x14ac:dyDescent="0.3">
      <c r="A44" s="50" t="s">
        <v>100</v>
      </c>
      <c r="B44" s="49" t="s">
        <v>236</v>
      </c>
      <c r="C44" s="15" t="s">
        <v>235</v>
      </c>
      <c r="D44" s="83">
        <v>5000</v>
      </c>
      <c r="E44" s="84"/>
      <c r="F44" s="84"/>
      <c r="G44" s="84"/>
      <c r="H44" s="83">
        <f t="shared" ref="H44" si="21">D44-(D44*20/100)</f>
        <v>4000</v>
      </c>
      <c r="I44" s="84"/>
      <c r="J44" s="84"/>
      <c r="K44" s="84"/>
      <c r="L44" s="83">
        <f t="shared" ref="L44" si="22">D44-(D44*40/100)</f>
        <v>3000</v>
      </c>
      <c r="M44" s="84"/>
      <c r="N44" s="84"/>
      <c r="O44" s="84"/>
      <c r="P44" s="49" t="s">
        <v>9</v>
      </c>
      <c r="Q44" s="7" t="s">
        <v>169</v>
      </c>
      <c r="R44" s="61" t="s">
        <v>288</v>
      </c>
    </row>
    <row r="45" spans="1:18" ht="26.25" customHeight="1" x14ac:dyDescent="0.25">
      <c r="A45" s="63" t="s">
        <v>222</v>
      </c>
      <c r="B45" s="65" t="s">
        <v>195</v>
      </c>
      <c r="C45" s="1" t="s">
        <v>237</v>
      </c>
      <c r="D45" s="2">
        <v>1000</v>
      </c>
      <c r="E45" s="3">
        <f>D45-(D45*10/100)</f>
        <v>900</v>
      </c>
      <c r="F45" s="3">
        <f>D45-(D45*20/100)</f>
        <v>800</v>
      </c>
      <c r="G45" s="3">
        <f>D45-(D45*30/100)</f>
        <v>700</v>
      </c>
      <c r="H45" s="4">
        <f>D45-(D45*10/100)</f>
        <v>900</v>
      </c>
      <c r="I45" s="3">
        <f>H45-(H45*10/100)</f>
        <v>810</v>
      </c>
      <c r="J45" s="3">
        <f>H45-(H45*20/100)</f>
        <v>720</v>
      </c>
      <c r="K45" s="3">
        <f>H45-(H45*30/100)</f>
        <v>630</v>
      </c>
      <c r="L45" s="4">
        <f>D45-(D45*20/100)</f>
        <v>800</v>
      </c>
      <c r="M45" s="3">
        <f>L45-(L45*10/100)</f>
        <v>720</v>
      </c>
      <c r="N45" s="3">
        <f>L45-(L45*20/100)</f>
        <v>640</v>
      </c>
      <c r="O45" s="3">
        <f>L45-(L45*30/100)</f>
        <v>560</v>
      </c>
      <c r="P45" s="65" t="s">
        <v>10</v>
      </c>
      <c r="Q45" s="65" t="s">
        <v>23</v>
      </c>
      <c r="R45" s="67" t="s">
        <v>269</v>
      </c>
    </row>
    <row r="46" spans="1:18" ht="27" customHeight="1" thickBot="1" x14ac:dyDescent="0.3">
      <c r="A46" s="64"/>
      <c r="B46" s="66"/>
      <c r="C46" s="53" t="s">
        <v>238</v>
      </c>
      <c r="D46" s="5">
        <f t="shared" ref="D46:O46" si="23">D45*50/100</f>
        <v>500</v>
      </c>
      <c r="E46" s="6">
        <f t="shared" si="23"/>
        <v>450</v>
      </c>
      <c r="F46" s="6">
        <f t="shared" si="23"/>
        <v>400</v>
      </c>
      <c r="G46" s="6">
        <f t="shared" si="23"/>
        <v>350</v>
      </c>
      <c r="H46" s="5">
        <f t="shared" si="23"/>
        <v>450</v>
      </c>
      <c r="I46" s="6">
        <f t="shared" si="23"/>
        <v>405</v>
      </c>
      <c r="J46" s="6">
        <f t="shared" si="23"/>
        <v>360</v>
      </c>
      <c r="K46" s="6">
        <f t="shared" si="23"/>
        <v>315</v>
      </c>
      <c r="L46" s="5">
        <f t="shared" si="23"/>
        <v>400</v>
      </c>
      <c r="M46" s="6">
        <f t="shared" si="23"/>
        <v>360</v>
      </c>
      <c r="N46" s="6">
        <f t="shared" si="23"/>
        <v>320</v>
      </c>
      <c r="O46" s="6">
        <f t="shared" si="23"/>
        <v>280</v>
      </c>
      <c r="P46" s="66"/>
      <c r="Q46" s="66"/>
      <c r="R46" s="68"/>
    </row>
    <row r="47" spans="1:18" ht="24" customHeight="1" thickBot="1" x14ac:dyDescent="0.3">
      <c r="A47" s="95" t="s">
        <v>246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</row>
    <row r="48" spans="1:18" ht="24" customHeight="1" thickBot="1" x14ac:dyDescent="0.3">
      <c r="A48" s="72" t="s">
        <v>4</v>
      </c>
      <c r="B48" s="72" t="s">
        <v>3</v>
      </c>
      <c r="C48" s="72" t="s">
        <v>176</v>
      </c>
      <c r="D48" s="79" t="s">
        <v>2</v>
      </c>
      <c r="E48" s="80"/>
      <c r="F48" s="80"/>
      <c r="G48" s="81"/>
      <c r="H48" s="79" t="s">
        <v>1</v>
      </c>
      <c r="I48" s="80"/>
      <c r="J48" s="80"/>
      <c r="K48" s="81"/>
      <c r="L48" s="79" t="s">
        <v>173</v>
      </c>
      <c r="M48" s="80"/>
      <c r="N48" s="80"/>
      <c r="O48" s="81"/>
      <c r="P48" s="72" t="s">
        <v>0</v>
      </c>
      <c r="Q48" s="72" t="s">
        <v>16</v>
      </c>
      <c r="R48" s="69" t="s">
        <v>266</v>
      </c>
    </row>
    <row r="49" spans="1:18" ht="24" thickBot="1" x14ac:dyDescent="0.3">
      <c r="A49" s="73"/>
      <c r="B49" s="78"/>
      <c r="C49" s="73"/>
      <c r="D49" s="39" t="s">
        <v>8</v>
      </c>
      <c r="E49" s="39" t="s">
        <v>7</v>
      </c>
      <c r="F49" s="39" t="s">
        <v>6</v>
      </c>
      <c r="G49" s="39" t="s">
        <v>5</v>
      </c>
      <c r="H49" s="39" t="s">
        <v>8</v>
      </c>
      <c r="I49" s="39" t="s">
        <v>7</v>
      </c>
      <c r="J49" s="39" t="s">
        <v>6</v>
      </c>
      <c r="K49" s="39" t="s">
        <v>5</v>
      </c>
      <c r="L49" s="39" t="s">
        <v>8</v>
      </c>
      <c r="M49" s="39" t="s">
        <v>7</v>
      </c>
      <c r="N49" s="39" t="s">
        <v>6</v>
      </c>
      <c r="O49" s="39" t="s">
        <v>5</v>
      </c>
      <c r="P49" s="73"/>
      <c r="Q49" s="73"/>
      <c r="R49" s="70"/>
    </row>
    <row r="50" spans="1:18" ht="75.75" thickBot="1" x14ac:dyDescent="0.3">
      <c r="A50" s="14" t="s">
        <v>101</v>
      </c>
      <c r="B50" s="16" t="s">
        <v>196</v>
      </c>
      <c r="C50" s="15" t="s">
        <v>235</v>
      </c>
      <c r="D50" s="83">
        <v>500</v>
      </c>
      <c r="E50" s="84"/>
      <c r="F50" s="84"/>
      <c r="G50" s="84"/>
      <c r="H50" s="83">
        <f t="shared" ref="H50:H54" si="24">D50-(D50*20/100)</f>
        <v>400</v>
      </c>
      <c r="I50" s="84"/>
      <c r="J50" s="84"/>
      <c r="K50" s="84"/>
      <c r="L50" s="83">
        <f t="shared" ref="L50:L54" si="25">D50-(D50*40/100)</f>
        <v>300</v>
      </c>
      <c r="M50" s="84"/>
      <c r="N50" s="84"/>
      <c r="O50" s="84"/>
      <c r="P50" s="7" t="s">
        <v>9</v>
      </c>
      <c r="Q50" s="32" t="s">
        <v>251</v>
      </c>
      <c r="R50" s="59" t="s">
        <v>290</v>
      </c>
    </row>
    <row r="51" spans="1:18" ht="94.5" thickBot="1" x14ac:dyDescent="0.3">
      <c r="A51" s="14" t="s">
        <v>102</v>
      </c>
      <c r="B51" s="16" t="s">
        <v>197</v>
      </c>
      <c r="C51" s="15" t="s">
        <v>235</v>
      </c>
      <c r="D51" s="83">
        <v>5000</v>
      </c>
      <c r="E51" s="84"/>
      <c r="F51" s="84"/>
      <c r="G51" s="84"/>
      <c r="H51" s="83">
        <f t="shared" si="24"/>
        <v>4000</v>
      </c>
      <c r="I51" s="84"/>
      <c r="J51" s="84"/>
      <c r="K51" s="84"/>
      <c r="L51" s="83">
        <f t="shared" si="25"/>
        <v>3000</v>
      </c>
      <c r="M51" s="84"/>
      <c r="N51" s="84"/>
      <c r="O51" s="84"/>
      <c r="P51" s="7" t="s">
        <v>9</v>
      </c>
      <c r="Q51" s="7" t="s">
        <v>169</v>
      </c>
      <c r="R51" s="59" t="s">
        <v>290</v>
      </c>
    </row>
    <row r="52" spans="1:18" ht="38.25" thickBot="1" x14ac:dyDescent="0.3">
      <c r="A52" s="14" t="s">
        <v>106</v>
      </c>
      <c r="B52" s="7" t="s">
        <v>248</v>
      </c>
      <c r="C52" s="15" t="s">
        <v>235</v>
      </c>
      <c r="D52" s="83">
        <v>20000</v>
      </c>
      <c r="E52" s="84"/>
      <c r="F52" s="84"/>
      <c r="G52" s="84"/>
      <c r="H52" s="83">
        <f t="shared" si="24"/>
        <v>16000</v>
      </c>
      <c r="I52" s="84"/>
      <c r="J52" s="84"/>
      <c r="K52" s="84"/>
      <c r="L52" s="83">
        <f t="shared" si="25"/>
        <v>12000</v>
      </c>
      <c r="M52" s="84"/>
      <c r="N52" s="84"/>
      <c r="O52" s="84"/>
      <c r="P52" s="7" t="s">
        <v>9</v>
      </c>
      <c r="Q52" s="7" t="s">
        <v>169</v>
      </c>
      <c r="R52" s="59" t="s">
        <v>277</v>
      </c>
    </row>
    <row r="53" spans="1:18" ht="46.5" customHeight="1" thickBot="1" x14ac:dyDescent="0.3">
      <c r="A53" s="14" t="s">
        <v>103</v>
      </c>
      <c r="B53" s="7" t="s">
        <v>256</v>
      </c>
      <c r="C53" s="15" t="s">
        <v>235</v>
      </c>
      <c r="D53" s="83">
        <v>30000</v>
      </c>
      <c r="E53" s="84"/>
      <c r="F53" s="84"/>
      <c r="G53" s="84"/>
      <c r="H53" s="83">
        <f t="shared" si="24"/>
        <v>24000</v>
      </c>
      <c r="I53" s="84"/>
      <c r="J53" s="84"/>
      <c r="K53" s="84"/>
      <c r="L53" s="83">
        <f t="shared" si="25"/>
        <v>18000</v>
      </c>
      <c r="M53" s="84"/>
      <c r="N53" s="84"/>
      <c r="O53" s="84"/>
      <c r="P53" s="7" t="s">
        <v>9</v>
      </c>
      <c r="Q53" s="7" t="s">
        <v>169</v>
      </c>
      <c r="R53" s="59" t="s">
        <v>277</v>
      </c>
    </row>
    <row r="54" spans="1:18" ht="57" thickBot="1" x14ac:dyDescent="0.3">
      <c r="A54" s="34" t="s">
        <v>104</v>
      </c>
      <c r="B54" s="7" t="s">
        <v>220</v>
      </c>
      <c r="C54" s="15" t="s">
        <v>235</v>
      </c>
      <c r="D54" s="83">
        <v>40000</v>
      </c>
      <c r="E54" s="84"/>
      <c r="F54" s="84"/>
      <c r="G54" s="84"/>
      <c r="H54" s="83">
        <f t="shared" si="24"/>
        <v>32000</v>
      </c>
      <c r="I54" s="84"/>
      <c r="J54" s="84"/>
      <c r="K54" s="84"/>
      <c r="L54" s="83">
        <f t="shared" si="25"/>
        <v>24000</v>
      </c>
      <c r="M54" s="84"/>
      <c r="N54" s="84"/>
      <c r="O54" s="84"/>
      <c r="P54" s="7" t="s">
        <v>9</v>
      </c>
      <c r="Q54" s="7" t="s">
        <v>169</v>
      </c>
      <c r="R54" s="59" t="s">
        <v>278</v>
      </c>
    </row>
    <row r="55" spans="1:18" ht="57" thickBot="1" x14ac:dyDescent="0.3">
      <c r="A55" s="14" t="s">
        <v>105</v>
      </c>
      <c r="B55" s="7" t="s">
        <v>198</v>
      </c>
      <c r="C55" s="15" t="s">
        <v>235</v>
      </c>
      <c r="D55" s="83">
        <v>5000</v>
      </c>
      <c r="E55" s="84"/>
      <c r="F55" s="84"/>
      <c r="G55" s="84"/>
      <c r="H55" s="83">
        <f t="shared" ref="H55" si="26">D55-(D55*20/100)</f>
        <v>4000</v>
      </c>
      <c r="I55" s="84"/>
      <c r="J55" s="84"/>
      <c r="K55" s="84"/>
      <c r="L55" s="83">
        <f t="shared" ref="L55" si="27">D55-(D55*40/100)</f>
        <v>3000</v>
      </c>
      <c r="M55" s="84"/>
      <c r="N55" s="84"/>
      <c r="O55" s="84"/>
      <c r="P55" s="7" t="s">
        <v>9</v>
      </c>
      <c r="Q55" s="7" t="s">
        <v>23</v>
      </c>
      <c r="R55" s="59" t="s">
        <v>272</v>
      </c>
    </row>
    <row r="57" spans="1:18" ht="15.75" x14ac:dyDescent="0.25">
      <c r="Q57" s="44"/>
    </row>
    <row r="58" spans="1:18" ht="15.75" x14ac:dyDescent="0.25">
      <c r="Q58" s="44"/>
    </row>
    <row r="59" spans="1:18" ht="18.75" x14ac:dyDescent="0.45">
      <c r="Q59" s="45"/>
    </row>
  </sheetData>
  <mergeCells count="156">
    <mergeCell ref="A1:Q1"/>
    <mergeCell ref="P48:P49"/>
    <mergeCell ref="Q48:Q49"/>
    <mergeCell ref="P16:P17"/>
    <mergeCell ref="C48:C49"/>
    <mergeCell ref="A48:A49"/>
    <mergeCell ref="B48:B49"/>
    <mergeCell ref="Q7:Q8"/>
    <mergeCell ref="A16:A17"/>
    <mergeCell ref="B16:B17"/>
    <mergeCell ref="Q16:Q17"/>
    <mergeCell ref="A2:Q2"/>
    <mergeCell ref="A3:Q3"/>
    <mergeCell ref="Q4:Q5"/>
    <mergeCell ref="P4:P5"/>
    <mergeCell ref="A4:A5"/>
    <mergeCell ref="B4:B5"/>
    <mergeCell ref="D50:G50"/>
    <mergeCell ref="H50:K50"/>
    <mergeCell ref="L50:O50"/>
    <mergeCell ref="D51:G51"/>
    <mergeCell ref="H51:K51"/>
    <mergeCell ref="L51:O51"/>
    <mergeCell ref="P45:P46"/>
    <mergeCell ref="Q45:Q46"/>
    <mergeCell ref="Q18:Q19"/>
    <mergeCell ref="Q32:Q33"/>
    <mergeCell ref="D40:G40"/>
    <mergeCell ref="H40:K40"/>
    <mergeCell ref="L40:O40"/>
    <mergeCell ref="D31:G31"/>
    <mergeCell ref="L35:O35"/>
    <mergeCell ref="D36:G36"/>
    <mergeCell ref="H36:K36"/>
    <mergeCell ref="Q41:Q42"/>
    <mergeCell ref="D38:G38"/>
    <mergeCell ref="H38:K38"/>
    <mergeCell ref="L38:O38"/>
    <mergeCell ref="L43:O43"/>
    <mergeCell ref="P32:P33"/>
    <mergeCell ref="L24:O24"/>
    <mergeCell ref="D55:G55"/>
    <mergeCell ref="H55:K55"/>
    <mergeCell ref="L55:O55"/>
    <mergeCell ref="D39:G39"/>
    <mergeCell ref="H39:K39"/>
    <mergeCell ref="L39:O39"/>
    <mergeCell ref="D53:G53"/>
    <mergeCell ref="H53:K53"/>
    <mergeCell ref="L53:O53"/>
    <mergeCell ref="D54:G54"/>
    <mergeCell ref="H54:K54"/>
    <mergeCell ref="L54:O54"/>
    <mergeCell ref="D52:G52"/>
    <mergeCell ref="H52:K52"/>
    <mergeCell ref="L52:O52"/>
    <mergeCell ref="A47:Q47"/>
    <mergeCell ref="P41:P42"/>
    <mergeCell ref="A45:A46"/>
    <mergeCell ref="B45:B46"/>
    <mergeCell ref="D48:G48"/>
    <mergeCell ref="H48:K48"/>
    <mergeCell ref="L48:O48"/>
    <mergeCell ref="D43:G43"/>
    <mergeCell ref="H43:K43"/>
    <mergeCell ref="D4:G4"/>
    <mergeCell ref="H4:K4"/>
    <mergeCell ref="L4:O4"/>
    <mergeCell ref="D12:G12"/>
    <mergeCell ref="H12:K12"/>
    <mergeCell ref="L12:O12"/>
    <mergeCell ref="D9:G9"/>
    <mergeCell ref="H9:K9"/>
    <mergeCell ref="L9:O9"/>
    <mergeCell ref="B10:B11"/>
    <mergeCell ref="P10:P11"/>
    <mergeCell ref="D23:G23"/>
    <mergeCell ref="H23:K23"/>
    <mergeCell ref="L23:O23"/>
    <mergeCell ref="P21:P22"/>
    <mergeCell ref="A21:A22"/>
    <mergeCell ref="B21:B22"/>
    <mergeCell ref="D21:G21"/>
    <mergeCell ref="H21:K21"/>
    <mergeCell ref="P18:P19"/>
    <mergeCell ref="C4:C5"/>
    <mergeCell ref="C21:C22"/>
    <mergeCell ref="H30:K30"/>
    <mergeCell ref="L6:O6"/>
    <mergeCell ref="D27:G27"/>
    <mergeCell ref="H27:K27"/>
    <mergeCell ref="A10:A11"/>
    <mergeCell ref="D6:G6"/>
    <mergeCell ref="H6:K6"/>
    <mergeCell ref="A18:A19"/>
    <mergeCell ref="B18:B19"/>
    <mergeCell ref="L13:O13"/>
    <mergeCell ref="A7:A8"/>
    <mergeCell ref="B7:B8"/>
    <mergeCell ref="D28:G28"/>
    <mergeCell ref="H28:K28"/>
    <mergeCell ref="L28:O28"/>
    <mergeCell ref="D25:G25"/>
    <mergeCell ref="H25:K25"/>
    <mergeCell ref="L25:O25"/>
    <mergeCell ref="D26:G26"/>
    <mergeCell ref="H26:K26"/>
    <mergeCell ref="L26:O26"/>
    <mergeCell ref="A20:Q20"/>
    <mergeCell ref="R4:R5"/>
    <mergeCell ref="R7:R8"/>
    <mergeCell ref="R16:R17"/>
    <mergeCell ref="R10:R11"/>
    <mergeCell ref="Q10:Q11"/>
    <mergeCell ref="H44:K44"/>
    <mergeCell ref="L44:O44"/>
    <mergeCell ref="D13:G13"/>
    <mergeCell ref="H13:K13"/>
    <mergeCell ref="D44:G44"/>
    <mergeCell ref="D35:G35"/>
    <mergeCell ref="H35:K35"/>
    <mergeCell ref="P7:P8"/>
    <mergeCell ref="Q21:Q22"/>
    <mergeCell ref="H31:K31"/>
    <mergeCell ref="L31:O31"/>
    <mergeCell ref="L29:O29"/>
    <mergeCell ref="D30:G30"/>
    <mergeCell ref="L30:O30"/>
    <mergeCell ref="D29:G29"/>
    <mergeCell ref="H29:K29"/>
    <mergeCell ref="L27:O27"/>
    <mergeCell ref="D24:G24"/>
    <mergeCell ref="H24:K24"/>
    <mergeCell ref="A14:A15"/>
    <mergeCell ref="B14:B15"/>
    <mergeCell ref="P14:P15"/>
    <mergeCell ref="Q14:Q15"/>
    <mergeCell ref="R14:R15"/>
    <mergeCell ref="R48:R49"/>
    <mergeCell ref="R21:R22"/>
    <mergeCell ref="R32:R33"/>
    <mergeCell ref="R41:R42"/>
    <mergeCell ref="R45:R46"/>
    <mergeCell ref="R18:R19"/>
    <mergeCell ref="L21:O21"/>
    <mergeCell ref="A32:A33"/>
    <mergeCell ref="A41:A42"/>
    <mergeCell ref="B41:B42"/>
    <mergeCell ref="B32:B33"/>
    <mergeCell ref="D34:G34"/>
    <mergeCell ref="H34:K34"/>
    <mergeCell ref="L34:O34"/>
    <mergeCell ref="L36:O36"/>
    <mergeCell ref="D37:G37"/>
    <mergeCell ref="H37:K37"/>
    <mergeCell ref="L37:O3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rightToLeft="1" tabSelected="1" topLeftCell="A50" zoomScaleNormal="100" workbookViewId="0">
      <selection activeCell="R60" sqref="R60"/>
    </sheetView>
  </sheetViews>
  <sheetFormatPr defaultColWidth="8.85546875" defaultRowHeight="15" x14ac:dyDescent="0.25"/>
  <cols>
    <col min="1" max="1" width="8.85546875" style="20"/>
    <col min="2" max="2" width="29.140625" style="20" customWidth="1"/>
    <col min="3" max="3" width="9.5703125" style="20" customWidth="1"/>
    <col min="4" max="16" width="8.85546875" style="20"/>
    <col min="17" max="17" width="17.42578125" style="20" customWidth="1"/>
    <col min="18" max="18" width="24.42578125" style="20" customWidth="1"/>
    <col min="19" max="16384" width="8.85546875" style="20"/>
  </cols>
  <sheetData>
    <row r="1" spans="1:18" ht="31.5" customHeight="1" thickBot="1" x14ac:dyDescent="0.3">
      <c r="A1" s="91" t="s">
        <v>241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8" ht="24" customHeight="1" thickBot="1" x14ac:dyDescent="0.3">
      <c r="A2" s="97" t="s">
        <v>11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8" ht="24" customHeight="1" thickBot="1" x14ac:dyDescent="0.3">
      <c r="A3" s="101" t="s">
        <v>181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8" ht="24" thickBot="1" x14ac:dyDescent="0.3">
      <c r="A4" s="72" t="s">
        <v>4</v>
      </c>
      <c r="B4" s="72" t="s">
        <v>3</v>
      </c>
      <c r="C4" s="72" t="s">
        <v>176</v>
      </c>
      <c r="D4" s="79" t="s">
        <v>2</v>
      </c>
      <c r="E4" s="80"/>
      <c r="F4" s="80"/>
      <c r="G4" s="81"/>
      <c r="H4" s="79" t="s">
        <v>1</v>
      </c>
      <c r="I4" s="80"/>
      <c r="J4" s="80"/>
      <c r="K4" s="81"/>
      <c r="L4" s="79" t="s">
        <v>173</v>
      </c>
      <c r="M4" s="80"/>
      <c r="N4" s="80"/>
      <c r="O4" s="81"/>
      <c r="P4" s="72" t="s">
        <v>0</v>
      </c>
      <c r="Q4" s="72" t="s">
        <v>16</v>
      </c>
      <c r="R4" s="69" t="s">
        <v>266</v>
      </c>
    </row>
    <row r="5" spans="1:18" ht="24" thickBot="1" x14ac:dyDescent="0.3">
      <c r="A5" s="73"/>
      <c r="B5" s="78"/>
      <c r="C5" s="73"/>
      <c r="D5" s="39" t="s">
        <v>8</v>
      </c>
      <c r="E5" s="39" t="s">
        <v>7</v>
      </c>
      <c r="F5" s="39" t="s">
        <v>6</v>
      </c>
      <c r="G5" s="39" t="s">
        <v>5</v>
      </c>
      <c r="H5" s="39" t="s">
        <v>8</v>
      </c>
      <c r="I5" s="39" t="s">
        <v>7</v>
      </c>
      <c r="J5" s="39" t="s">
        <v>6</v>
      </c>
      <c r="K5" s="39" t="s">
        <v>5</v>
      </c>
      <c r="L5" s="39" t="s">
        <v>8</v>
      </c>
      <c r="M5" s="39" t="s">
        <v>7</v>
      </c>
      <c r="N5" s="39" t="s">
        <v>6</v>
      </c>
      <c r="O5" s="39" t="s">
        <v>5</v>
      </c>
      <c r="P5" s="73"/>
      <c r="Q5" s="73"/>
      <c r="R5" s="70"/>
    </row>
    <row r="6" spans="1:18" ht="38.25" thickBot="1" x14ac:dyDescent="0.3">
      <c r="A6" s="34" t="s">
        <v>107</v>
      </c>
      <c r="B6" s="32" t="s">
        <v>184</v>
      </c>
      <c r="C6" s="15" t="s">
        <v>235</v>
      </c>
      <c r="D6" s="83">
        <v>10000</v>
      </c>
      <c r="E6" s="84"/>
      <c r="F6" s="84"/>
      <c r="G6" s="84"/>
      <c r="H6" s="83">
        <f>D6-(D6*20/100)</f>
        <v>8000</v>
      </c>
      <c r="I6" s="84"/>
      <c r="J6" s="84"/>
      <c r="K6" s="88"/>
      <c r="L6" s="83">
        <f>D6-(D6*40/100)</f>
        <v>6000</v>
      </c>
      <c r="M6" s="84"/>
      <c r="N6" s="84"/>
      <c r="O6" s="88"/>
      <c r="P6" s="32" t="s">
        <v>9</v>
      </c>
      <c r="Q6" s="32" t="s">
        <v>225</v>
      </c>
      <c r="R6" s="59" t="s">
        <v>280</v>
      </c>
    </row>
    <row r="7" spans="1:18" ht="33" customHeight="1" x14ac:dyDescent="0.25">
      <c r="A7" s="63" t="s">
        <v>108</v>
      </c>
      <c r="B7" s="65" t="s">
        <v>185</v>
      </c>
      <c r="C7" s="1" t="s">
        <v>237</v>
      </c>
      <c r="D7" s="2">
        <v>2500</v>
      </c>
      <c r="E7" s="3">
        <f>D7-(D7*10/100)</f>
        <v>2250</v>
      </c>
      <c r="F7" s="3">
        <f>D7-(D7*20/100)</f>
        <v>2000</v>
      </c>
      <c r="G7" s="3">
        <f>D7-(D7*30/100)</f>
        <v>1750</v>
      </c>
      <c r="H7" s="4">
        <f>D7-(D7*10/100)</f>
        <v>2250</v>
      </c>
      <c r="I7" s="3">
        <f>H7-(H7*10/100)</f>
        <v>2025</v>
      </c>
      <c r="J7" s="3">
        <f>H7-(H7*20/100)</f>
        <v>1800</v>
      </c>
      <c r="K7" s="3">
        <f>H7-(H7*30/100)</f>
        <v>1575</v>
      </c>
      <c r="L7" s="4">
        <f>D7-(D7*20/100)</f>
        <v>2000</v>
      </c>
      <c r="M7" s="3">
        <f>L7-(L7*10/100)</f>
        <v>1800</v>
      </c>
      <c r="N7" s="3">
        <f>L7-(L7*20/100)</f>
        <v>1600</v>
      </c>
      <c r="O7" s="3">
        <f>L7-(L7*30/100)</f>
        <v>1400</v>
      </c>
      <c r="P7" s="65" t="s">
        <v>10</v>
      </c>
      <c r="Q7" s="65" t="s">
        <v>23</v>
      </c>
      <c r="R7" s="67" t="s">
        <v>280</v>
      </c>
    </row>
    <row r="8" spans="1:18" ht="24.75" customHeight="1" thickBot="1" x14ac:dyDescent="0.3">
      <c r="A8" s="64"/>
      <c r="B8" s="66"/>
      <c r="C8" s="53" t="s">
        <v>238</v>
      </c>
      <c r="D8" s="5">
        <f t="shared" ref="D8:O8" si="0">D7*50/100</f>
        <v>1250</v>
      </c>
      <c r="E8" s="6">
        <f t="shared" si="0"/>
        <v>1125</v>
      </c>
      <c r="F8" s="6">
        <f t="shared" si="0"/>
        <v>1000</v>
      </c>
      <c r="G8" s="6">
        <f t="shared" si="0"/>
        <v>875</v>
      </c>
      <c r="H8" s="5">
        <f t="shared" si="0"/>
        <v>1125</v>
      </c>
      <c r="I8" s="6">
        <f t="shared" si="0"/>
        <v>1012.5</v>
      </c>
      <c r="J8" s="6">
        <f t="shared" si="0"/>
        <v>900</v>
      </c>
      <c r="K8" s="6">
        <f t="shared" si="0"/>
        <v>787.5</v>
      </c>
      <c r="L8" s="5">
        <f t="shared" si="0"/>
        <v>1000</v>
      </c>
      <c r="M8" s="6">
        <f t="shared" si="0"/>
        <v>900</v>
      </c>
      <c r="N8" s="6">
        <f t="shared" si="0"/>
        <v>800</v>
      </c>
      <c r="O8" s="6">
        <f t="shared" si="0"/>
        <v>700</v>
      </c>
      <c r="P8" s="66"/>
      <c r="Q8" s="66"/>
      <c r="R8" s="68"/>
    </row>
    <row r="9" spans="1:18" ht="38.25" thickBot="1" x14ac:dyDescent="0.3">
      <c r="A9" s="34" t="s">
        <v>109</v>
      </c>
      <c r="B9" s="32" t="s">
        <v>206</v>
      </c>
      <c r="C9" s="15" t="s">
        <v>235</v>
      </c>
      <c r="D9" s="83">
        <v>1000</v>
      </c>
      <c r="E9" s="84"/>
      <c r="F9" s="84"/>
      <c r="G9" s="84"/>
      <c r="H9" s="83">
        <f t="shared" ref="H9:H11" si="1">D9-(D9*20/100)</f>
        <v>800</v>
      </c>
      <c r="I9" s="84"/>
      <c r="J9" s="84"/>
      <c r="K9" s="84"/>
      <c r="L9" s="83">
        <f t="shared" ref="L9:L11" si="2">D9-(D9*40/100)</f>
        <v>600</v>
      </c>
      <c r="M9" s="84"/>
      <c r="N9" s="84"/>
      <c r="O9" s="84"/>
      <c r="P9" s="32" t="s">
        <v>9</v>
      </c>
      <c r="Q9" s="32" t="s">
        <v>255</v>
      </c>
      <c r="R9" s="59" t="s">
        <v>280</v>
      </c>
    </row>
    <row r="10" spans="1:18" ht="57" thickBot="1" x14ac:dyDescent="0.3">
      <c r="A10" s="14" t="s">
        <v>110</v>
      </c>
      <c r="B10" s="7" t="s">
        <v>31</v>
      </c>
      <c r="C10" s="15" t="s">
        <v>235</v>
      </c>
      <c r="D10" s="83">
        <v>30000</v>
      </c>
      <c r="E10" s="84"/>
      <c r="F10" s="84"/>
      <c r="G10" s="84"/>
      <c r="H10" s="83">
        <f t="shared" si="1"/>
        <v>24000</v>
      </c>
      <c r="I10" s="84"/>
      <c r="J10" s="84"/>
      <c r="K10" s="84"/>
      <c r="L10" s="83">
        <f t="shared" si="2"/>
        <v>18000</v>
      </c>
      <c r="M10" s="84"/>
      <c r="N10" s="84"/>
      <c r="O10" s="84"/>
      <c r="P10" s="7" t="s">
        <v>9</v>
      </c>
      <c r="Q10" s="32" t="s">
        <v>225</v>
      </c>
      <c r="R10" s="59" t="s">
        <v>280</v>
      </c>
    </row>
    <row r="11" spans="1:18" ht="78" customHeight="1" thickBot="1" x14ac:dyDescent="0.3">
      <c r="A11" s="14" t="s">
        <v>111</v>
      </c>
      <c r="B11" s="7" t="s">
        <v>35</v>
      </c>
      <c r="C11" s="15" t="s">
        <v>235</v>
      </c>
      <c r="D11" s="83">
        <v>3000</v>
      </c>
      <c r="E11" s="84"/>
      <c r="F11" s="84"/>
      <c r="G11" s="84"/>
      <c r="H11" s="83">
        <f t="shared" si="1"/>
        <v>2400</v>
      </c>
      <c r="I11" s="84"/>
      <c r="J11" s="84"/>
      <c r="K11" s="84"/>
      <c r="L11" s="83">
        <f t="shared" si="2"/>
        <v>1800</v>
      </c>
      <c r="M11" s="84"/>
      <c r="N11" s="84"/>
      <c r="O11" s="84"/>
      <c r="P11" s="7" t="s">
        <v>9</v>
      </c>
      <c r="Q11" s="47" t="s">
        <v>257</v>
      </c>
      <c r="R11" s="59" t="s">
        <v>280</v>
      </c>
    </row>
    <row r="12" spans="1:18" ht="42.75" customHeight="1" x14ac:dyDescent="0.25">
      <c r="A12" s="103" t="s">
        <v>112</v>
      </c>
      <c r="B12" s="99" t="s">
        <v>207</v>
      </c>
      <c r="C12" s="1" t="s">
        <v>237</v>
      </c>
      <c r="D12" s="27">
        <v>1000</v>
      </c>
      <c r="E12" s="28">
        <f>D12-(D12*10/100)</f>
        <v>900</v>
      </c>
      <c r="F12" s="28">
        <f>D12-(D12*20/100)</f>
        <v>800</v>
      </c>
      <c r="G12" s="28">
        <f>D12-(D12*30/100)</f>
        <v>700</v>
      </c>
      <c r="H12" s="29">
        <f>D12-(D12*10/100)</f>
        <v>900</v>
      </c>
      <c r="I12" s="28">
        <f>H12-(H12*10/100)</f>
        <v>810</v>
      </c>
      <c r="J12" s="28">
        <f>H12-(H12*20/100)</f>
        <v>720</v>
      </c>
      <c r="K12" s="28">
        <f>H12-(H12*30/100)</f>
        <v>630</v>
      </c>
      <c r="L12" s="29">
        <f>D12-(D12*20/100)</f>
        <v>800</v>
      </c>
      <c r="M12" s="28">
        <f>L12-(L12*10/100)</f>
        <v>720</v>
      </c>
      <c r="N12" s="28">
        <f>L12-(L12*20/100)</f>
        <v>640</v>
      </c>
      <c r="O12" s="28">
        <f>L12-(L12*30/100)</f>
        <v>560</v>
      </c>
      <c r="P12" s="99" t="s">
        <v>10</v>
      </c>
      <c r="Q12" s="99" t="s">
        <v>226</v>
      </c>
      <c r="R12" s="67" t="s">
        <v>292</v>
      </c>
    </row>
    <row r="13" spans="1:18" ht="35.25" customHeight="1" thickBot="1" x14ac:dyDescent="0.3">
      <c r="A13" s="104"/>
      <c r="B13" s="100"/>
      <c r="C13" s="53" t="s">
        <v>238</v>
      </c>
      <c r="D13" s="30">
        <f t="shared" ref="D13:G13" si="3">D12*50/100</f>
        <v>500</v>
      </c>
      <c r="E13" s="31">
        <f t="shared" si="3"/>
        <v>450</v>
      </c>
      <c r="F13" s="31">
        <f t="shared" si="3"/>
        <v>400</v>
      </c>
      <c r="G13" s="31">
        <f t="shared" si="3"/>
        <v>350</v>
      </c>
      <c r="H13" s="30">
        <f t="shared" ref="H13:O13" si="4">H12*50/100</f>
        <v>450</v>
      </c>
      <c r="I13" s="31">
        <f t="shared" si="4"/>
        <v>405</v>
      </c>
      <c r="J13" s="31">
        <f t="shared" si="4"/>
        <v>360</v>
      </c>
      <c r="K13" s="31">
        <f t="shared" si="4"/>
        <v>315</v>
      </c>
      <c r="L13" s="30">
        <f t="shared" si="4"/>
        <v>400</v>
      </c>
      <c r="M13" s="31">
        <f t="shared" si="4"/>
        <v>360</v>
      </c>
      <c r="N13" s="31">
        <f t="shared" si="4"/>
        <v>320</v>
      </c>
      <c r="O13" s="31">
        <f t="shared" si="4"/>
        <v>280</v>
      </c>
      <c r="P13" s="100"/>
      <c r="Q13" s="100"/>
      <c r="R13" s="68" t="s">
        <v>263</v>
      </c>
    </row>
    <row r="14" spans="1:18" ht="94.5" thickBot="1" x14ac:dyDescent="0.3">
      <c r="A14" s="14" t="s">
        <v>113</v>
      </c>
      <c r="B14" s="54" t="s">
        <v>227</v>
      </c>
      <c r="C14" s="15" t="s">
        <v>235</v>
      </c>
      <c r="D14" s="83">
        <v>1000</v>
      </c>
      <c r="E14" s="84"/>
      <c r="F14" s="84"/>
      <c r="G14" s="84"/>
      <c r="H14" s="83">
        <f t="shared" ref="H14" si="5">D14-(D14*20/100)</f>
        <v>800</v>
      </c>
      <c r="I14" s="84"/>
      <c r="J14" s="84"/>
      <c r="K14" s="84"/>
      <c r="L14" s="83">
        <f t="shared" ref="L14" si="6">D14-(D14*40/100)</f>
        <v>600</v>
      </c>
      <c r="M14" s="84"/>
      <c r="N14" s="84"/>
      <c r="O14" s="84"/>
      <c r="P14" s="7" t="s">
        <v>9</v>
      </c>
      <c r="Q14" s="55" t="s">
        <v>257</v>
      </c>
      <c r="R14" s="59" t="s">
        <v>293</v>
      </c>
    </row>
    <row r="15" spans="1:18" ht="94.5" thickBot="1" x14ac:dyDescent="0.3">
      <c r="A15" s="14" t="s">
        <v>230</v>
      </c>
      <c r="B15" s="54" t="s">
        <v>228</v>
      </c>
      <c r="C15" s="15" t="s">
        <v>235</v>
      </c>
      <c r="D15" s="83">
        <v>1000</v>
      </c>
      <c r="E15" s="84"/>
      <c r="F15" s="84"/>
      <c r="G15" s="84"/>
      <c r="H15" s="83">
        <f t="shared" ref="H15:H16" si="7">D15-(D15*20/100)</f>
        <v>800</v>
      </c>
      <c r="I15" s="84"/>
      <c r="J15" s="84"/>
      <c r="K15" s="84"/>
      <c r="L15" s="83">
        <f t="shared" ref="L15:L16" si="8">D15-(D15*40/100)</f>
        <v>600</v>
      </c>
      <c r="M15" s="84"/>
      <c r="N15" s="84"/>
      <c r="O15" s="84"/>
      <c r="P15" s="7" t="s">
        <v>9</v>
      </c>
      <c r="Q15" s="55" t="s">
        <v>257</v>
      </c>
      <c r="R15" s="59" t="s">
        <v>293</v>
      </c>
    </row>
    <row r="16" spans="1:18" ht="54.75" customHeight="1" thickBot="1" x14ac:dyDescent="0.3">
      <c r="A16" s="14" t="s">
        <v>231</v>
      </c>
      <c r="B16" s="26" t="s">
        <v>229</v>
      </c>
      <c r="C16" s="15" t="s">
        <v>235</v>
      </c>
      <c r="D16" s="83">
        <v>1000</v>
      </c>
      <c r="E16" s="84"/>
      <c r="F16" s="84"/>
      <c r="G16" s="84"/>
      <c r="H16" s="83">
        <f t="shared" si="7"/>
        <v>800</v>
      </c>
      <c r="I16" s="84"/>
      <c r="J16" s="84"/>
      <c r="K16" s="84"/>
      <c r="L16" s="83">
        <f t="shared" si="8"/>
        <v>600</v>
      </c>
      <c r="M16" s="84"/>
      <c r="N16" s="84"/>
      <c r="O16" s="84"/>
      <c r="P16" s="7" t="s">
        <v>9</v>
      </c>
      <c r="Q16" s="55" t="s">
        <v>257</v>
      </c>
      <c r="R16" s="61" t="s">
        <v>294</v>
      </c>
    </row>
    <row r="17" spans="1:18" ht="28.5" customHeight="1" x14ac:dyDescent="0.25">
      <c r="A17" s="63" t="s">
        <v>232</v>
      </c>
      <c r="B17" s="65" t="s">
        <v>208</v>
      </c>
      <c r="C17" s="1" t="s">
        <v>237</v>
      </c>
      <c r="D17" s="2">
        <v>1000</v>
      </c>
      <c r="E17" s="3">
        <f>D17-(D17*10/100)</f>
        <v>900</v>
      </c>
      <c r="F17" s="3">
        <f>D17-(D17*20/100)</f>
        <v>800</v>
      </c>
      <c r="G17" s="3">
        <f>D17-(D17*30/100)</f>
        <v>700</v>
      </c>
      <c r="H17" s="4">
        <f>D17-(D17*10/100)</f>
        <v>900</v>
      </c>
      <c r="I17" s="3">
        <f>H17-(H17*10/100)</f>
        <v>810</v>
      </c>
      <c r="J17" s="3">
        <f>H17-(H17*20/100)</f>
        <v>720</v>
      </c>
      <c r="K17" s="3">
        <f>H17-(H17*30/100)</f>
        <v>630</v>
      </c>
      <c r="L17" s="4">
        <f>D17-(D17*20/100)</f>
        <v>800</v>
      </c>
      <c r="M17" s="3">
        <f>L17-(L17*10/100)</f>
        <v>720</v>
      </c>
      <c r="N17" s="3">
        <f>L17-(L17*20/100)</f>
        <v>640</v>
      </c>
      <c r="O17" s="3">
        <f>L17-(L17*30/100)</f>
        <v>560</v>
      </c>
      <c r="P17" s="65" t="s">
        <v>10</v>
      </c>
      <c r="Q17" s="65" t="s">
        <v>193</v>
      </c>
      <c r="R17" s="67" t="s">
        <v>270</v>
      </c>
    </row>
    <row r="18" spans="1:18" ht="25.5" customHeight="1" thickBot="1" x14ac:dyDescent="0.3">
      <c r="A18" s="64"/>
      <c r="B18" s="66"/>
      <c r="C18" s="53" t="s">
        <v>238</v>
      </c>
      <c r="D18" s="5">
        <f t="shared" ref="D18:O18" si="9">D17*50/100</f>
        <v>500</v>
      </c>
      <c r="E18" s="6">
        <f t="shared" si="9"/>
        <v>450</v>
      </c>
      <c r="F18" s="6">
        <f t="shared" si="9"/>
        <v>400</v>
      </c>
      <c r="G18" s="6">
        <f t="shared" si="9"/>
        <v>350</v>
      </c>
      <c r="H18" s="5">
        <f t="shared" si="9"/>
        <v>450</v>
      </c>
      <c r="I18" s="6">
        <f t="shared" si="9"/>
        <v>405</v>
      </c>
      <c r="J18" s="6">
        <f t="shared" si="9"/>
        <v>360</v>
      </c>
      <c r="K18" s="6">
        <f t="shared" si="9"/>
        <v>315</v>
      </c>
      <c r="L18" s="5">
        <f t="shared" si="9"/>
        <v>400</v>
      </c>
      <c r="M18" s="6">
        <f t="shared" si="9"/>
        <v>360</v>
      </c>
      <c r="N18" s="6">
        <f t="shared" si="9"/>
        <v>320</v>
      </c>
      <c r="O18" s="6">
        <f t="shared" si="9"/>
        <v>280</v>
      </c>
      <c r="P18" s="66"/>
      <c r="Q18" s="66"/>
      <c r="R18" s="68" t="s">
        <v>263</v>
      </c>
    </row>
    <row r="19" spans="1:18" ht="24" customHeight="1" thickBot="1" x14ac:dyDescent="0.3">
      <c r="A19" s="76" t="s">
        <v>182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8" ht="24" customHeight="1" thickBot="1" x14ac:dyDescent="0.3">
      <c r="A20" s="72" t="s">
        <v>4</v>
      </c>
      <c r="B20" s="72" t="s">
        <v>3</v>
      </c>
      <c r="C20" s="72" t="s">
        <v>176</v>
      </c>
      <c r="D20" s="79" t="s">
        <v>2</v>
      </c>
      <c r="E20" s="80"/>
      <c r="F20" s="80"/>
      <c r="G20" s="81"/>
      <c r="H20" s="79" t="s">
        <v>1</v>
      </c>
      <c r="I20" s="80"/>
      <c r="J20" s="80"/>
      <c r="K20" s="81"/>
      <c r="L20" s="79" t="s">
        <v>173</v>
      </c>
      <c r="M20" s="80"/>
      <c r="N20" s="80"/>
      <c r="O20" s="81"/>
      <c r="P20" s="72" t="s">
        <v>0</v>
      </c>
      <c r="Q20" s="72" t="s">
        <v>16</v>
      </c>
      <c r="R20" s="69" t="s">
        <v>266</v>
      </c>
    </row>
    <row r="21" spans="1:18" ht="24" thickBot="1" x14ac:dyDescent="0.3">
      <c r="A21" s="73"/>
      <c r="B21" s="78"/>
      <c r="C21" s="73"/>
      <c r="D21" s="39" t="s">
        <v>8</v>
      </c>
      <c r="E21" s="39" t="s">
        <v>7</v>
      </c>
      <c r="F21" s="39" t="s">
        <v>6</v>
      </c>
      <c r="G21" s="39" t="s">
        <v>5</v>
      </c>
      <c r="H21" s="39" t="s">
        <v>8</v>
      </c>
      <c r="I21" s="39" t="s">
        <v>7</v>
      </c>
      <c r="J21" s="39" t="s">
        <v>6</v>
      </c>
      <c r="K21" s="39" t="s">
        <v>5</v>
      </c>
      <c r="L21" s="39" t="s">
        <v>8</v>
      </c>
      <c r="M21" s="39" t="s">
        <v>7</v>
      </c>
      <c r="N21" s="39" t="s">
        <v>6</v>
      </c>
      <c r="O21" s="39" t="s">
        <v>5</v>
      </c>
      <c r="P21" s="73"/>
      <c r="Q21" s="73"/>
      <c r="R21" s="70"/>
    </row>
    <row r="22" spans="1:18" ht="57" thickBot="1" x14ac:dyDescent="0.3">
      <c r="A22" s="34" t="s">
        <v>114</v>
      </c>
      <c r="B22" s="32" t="s">
        <v>13</v>
      </c>
      <c r="C22" s="15" t="s">
        <v>235</v>
      </c>
      <c r="D22" s="83">
        <v>3000</v>
      </c>
      <c r="E22" s="84"/>
      <c r="F22" s="84"/>
      <c r="G22" s="84"/>
      <c r="H22" s="83">
        <f t="shared" ref="H22:H32" si="10">D22-(D22*20/100)</f>
        <v>2400</v>
      </c>
      <c r="I22" s="84"/>
      <c r="J22" s="84"/>
      <c r="K22" s="84"/>
      <c r="L22" s="83">
        <f t="shared" ref="L22:L32" si="11">D22-(D22*40/100)</f>
        <v>1800</v>
      </c>
      <c r="M22" s="84"/>
      <c r="N22" s="84"/>
      <c r="O22" s="84"/>
      <c r="P22" s="32" t="s">
        <v>9</v>
      </c>
      <c r="Q22" s="32" t="s">
        <v>258</v>
      </c>
      <c r="R22" s="59" t="s">
        <v>270</v>
      </c>
    </row>
    <row r="23" spans="1:18" ht="38.25" thickBot="1" x14ac:dyDescent="0.3">
      <c r="A23" s="14" t="s">
        <v>115</v>
      </c>
      <c r="B23" s="7" t="s">
        <v>26</v>
      </c>
      <c r="C23" s="15" t="s">
        <v>235</v>
      </c>
      <c r="D23" s="83">
        <v>25000</v>
      </c>
      <c r="E23" s="84"/>
      <c r="F23" s="84"/>
      <c r="G23" s="84"/>
      <c r="H23" s="83">
        <f t="shared" si="10"/>
        <v>20000</v>
      </c>
      <c r="I23" s="84"/>
      <c r="J23" s="84"/>
      <c r="K23" s="84"/>
      <c r="L23" s="83">
        <f t="shared" si="11"/>
        <v>15000</v>
      </c>
      <c r="M23" s="84"/>
      <c r="N23" s="84"/>
      <c r="O23" s="84"/>
      <c r="P23" s="7" t="s">
        <v>9</v>
      </c>
      <c r="Q23" s="32" t="s">
        <v>225</v>
      </c>
      <c r="R23" s="59" t="s">
        <v>306</v>
      </c>
    </row>
    <row r="24" spans="1:18" ht="38.25" thickBot="1" x14ac:dyDescent="0.3">
      <c r="A24" s="14" t="s">
        <v>116</v>
      </c>
      <c r="B24" s="7" t="s">
        <v>32</v>
      </c>
      <c r="C24" s="15" t="s">
        <v>235</v>
      </c>
      <c r="D24" s="83">
        <v>15000</v>
      </c>
      <c r="E24" s="84"/>
      <c r="F24" s="84"/>
      <c r="G24" s="84"/>
      <c r="H24" s="83">
        <f t="shared" si="10"/>
        <v>12000</v>
      </c>
      <c r="I24" s="84"/>
      <c r="J24" s="84"/>
      <c r="K24" s="84"/>
      <c r="L24" s="83">
        <f t="shared" si="11"/>
        <v>9000</v>
      </c>
      <c r="M24" s="84"/>
      <c r="N24" s="84"/>
      <c r="O24" s="84"/>
      <c r="P24" s="7" t="s">
        <v>9</v>
      </c>
      <c r="Q24" s="32" t="s">
        <v>225</v>
      </c>
      <c r="R24" s="59" t="s">
        <v>306</v>
      </c>
    </row>
    <row r="25" spans="1:18" ht="57" thickBot="1" x14ac:dyDescent="0.3">
      <c r="A25" s="14" t="s">
        <v>117</v>
      </c>
      <c r="B25" s="16" t="s">
        <v>19</v>
      </c>
      <c r="C25" s="15" t="s">
        <v>235</v>
      </c>
      <c r="D25" s="89">
        <v>2000</v>
      </c>
      <c r="E25" s="90"/>
      <c r="F25" s="90"/>
      <c r="G25" s="90"/>
      <c r="H25" s="89">
        <f>D25-(D25*20/100)</f>
        <v>1600</v>
      </c>
      <c r="I25" s="90"/>
      <c r="J25" s="90"/>
      <c r="K25" s="90"/>
      <c r="L25" s="89">
        <f>D25-(D25*40/100)</f>
        <v>1200</v>
      </c>
      <c r="M25" s="90"/>
      <c r="N25" s="90"/>
      <c r="O25" s="90"/>
      <c r="P25" s="7" t="s">
        <v>9</v>
      </c>
      <c r="Q25" s="32" t="s">
        <v>244</v>
      </c>
      <c r="R25" s="59" t="s">
        <v>271</v>
      </c>
    </row>
    <row r="26" spans="1:18" ht="49.5" customHeight="1" x14ac:dyDescent="0.25">
      <c r="A26" s="63" t="s">
        <v>118</v>
      </c>
      <c r="B26" s="105" t="s">
        <v>223</v>
      </c>
      <c r="C26" s="1" t="s">
        <v>237</v>
      </c>
      <c r="D26" s="2">
        <v>1500</v>
      </c>
      <c r="E26" s="3">
        <f>D26-(D26*10/100)</f>
        <v>1350</v>
      </c>
      <c r="F26" s="3">
        <f>D26-(D26*20/100)</f>
        <v>1200</v>
      </c>
      <c r="G26" s="3">
        <f>D26-(D26*30/100)</f>
        <v>1050</v>
      </c>
      <c r="H26" s="4">
        <f>D26-(D26*10/100)</f>
        <v>1350</v>
      </c>
      <c r="I26" s="3">
        <f>H26-(H26*10/100)</f>
        <v>1215</v>
      </c>
      <c r="J26" s="3">
        <f>H26-(H26*20/100)</f>
        <v>1080</v>
      </c>
      <c r="K26" s="3">
        <f>H26-(H26*30/100)</f>
        <v>945</v>
      </c>
      <c r="L26" s="4">
        <f>D26-(D26*20/100)</f>
        <v>1200</v>
      </c>
      <c r="M26" s="3">
        <f>L26-(L26*10/100)</f>
        <v>1080</v>
      </c>
      <c r="N26" s="3">
        <f>L26-(L26*20/100)</f>
        <v>960</v>
      </c>
      <c r="O26" s="3">
        <f>L26-(L26*30/100)</f>
        <v>840</v>
      </c>
      <c r="P26" s="65" t="s">
        <v>10</v>
      </c>
      <c r="Q26" s="65" t="s">
        <v>23</v>
      </c>
      <c r="R26" s="67" t="s">
        <v>295</v>
      </c>
    </row>
    <row r="27" spans="1:18" ht="56.25" customHeight="1" thickBot="1" x14ac:dyDescent="0.3">
      <c r="A27" s="64"/>
      <c r="B27" s="106"/>
      <c r="C27" s="53" t="s">
        <v>238</v>
      </c>
      <c r="D27" s="5">
        <f t="shared" ref="D27:O27" si="12">D26*50/100</f>
        <v>750</v>
      </c>
      <c r="E27" s="6">
        <f t="shared" si="12"/>
        <v>675</v>
      </c>
      <c r="F27" s="6">
        <f t="shared" si="12"/>
        <v>600</v>
      </c>
      <c r="G27" s="6">
        <f t="shared" si="12"/>
        <v>525</v>
      </c>
      <c r="H27" s="5">
        <f t="shared" si="12"/>
        <v>675</v>
      </c>
      <c r="I27" s="6">
        <f t="shared" si="12"/>
        <v>607.5</v>
      </c>
      <c r="J27" s="6">
        <f t="shared" si="12"/>
        <v>540</v>
      </c>
      <c r="K27" s="6">
        <f t="shared" si="12"/>
        <v>472.5</v>
      </c>
      <c r="L27" s="5">
        <f t="shared" si="12"/>
        <v>600</v>
      </c>
      <c r="M27" s="6">
        <f t="shared" si="12"/>
        <v>540</v>
      </c>
      <c r="N27" s="6">
        <f t="shared" si="12"/>
        <v>480</v>
      </c>
      <c r="O27" s="6">
        <f t="shared" si="12"/>
        <v>420</v>
      </c>
      <c r="P27" s="66"/>
      <c r="Q27" s="66"/>
      <c r="R27" s="68"/>
    </row>
    <row r="28" spans="1:18" ht="57" thickBot="1" x14ac:dyDescent="0.3">
      <c r="A28" s="34" t="s">
        <v>119</v>
      </c>
      <c r="B28" s="36" t="s">
        <v>14</v>
      </c>
      <c r="C28" s="15" t="s">
        <v>235</v>
      </c>
      <c r="D28" s="83">
        <v>1000</v>
      </c>
      <c r="E28" s="84"/>
      <c r="F28" s="84"/>
      <c r="G28" s="84"/>
      <c r="H28" s="83">
        <f t="shared" si="10"/>
        <v>800</v>
      </c>
      <c r="I28" s="84"/>
      <c r="J28" s="84"/>
      <c r="K28" s="84"/>
      <c r="L28" s="83">
        <f t="shared" si="11"/>
        <v>600</v>
      </c>
      <c r="M28" s="84"/>
      <c r="N28" s="84"/>
      <c r="O28" s="84"/>
      <c r="P28" s="32" t="s">
        <v>9</v>
      </c>
      <c r="Q28" s="55" t="s">
        <v>244</v>
      </c>
      <c r="R28" s="59" t="s">
        <v>296</v>
      </c>
    </row>
    <row r="29" spans="1:18" ht="57" thickBot="1" x14ac:dyDescent="0.3">
      <c r="A29" s="34" t="s">
        <v>120</v>
      </c>
      <c r="B29" s="32" t="s">
        <v>209</v>
      </c>
      <c r="C29" s="15" t="s">
        <v>235</v>
      </c>
      <c r="D29" s="83">
        <v>1000</v>
      </c>
      <c r="E29" s="84"/>
      <c r="F29" s="84"/>
      <c r="G29" s="84"/>
      <c r="H29" s="83">
        <f t="shared" si="10"/>
        <v>800</v>
      </c>
      <c r="I29" s="84"/>
      <c r="J29" s="84"/>
      <c r="K29" s="84"/>
      <c r="L29" s="83">
        <f t="shared" si="11"/>
        <v>600</v>
      </c>
      <c r="M29" s="84"/>
      <c r="N29" s="84"/>
      <c r="O29" s="84"/>
      <c r="P29" s="32" t="s">
        <v>9</v>
      </c>
      <c r="Q29" s="47" t="s">
        <v>242</v>
      </c>
      <c r="R29" s="59" t="s">
        <v>271</v>
      </c>
    </row>
    <row r="30" spans="1:18" ht="57" thickBot="1" x14ac:dyDescent="0.3">
      <c r="A30" s="14" t="s">
        <v>121</v>
      </c>
      <c r="B30" s="7" t="s">
        <v>221</v>
      </c>
      <c r="C30" s="15" t="s">
        <v>235</v>
      </c>
      <c r="D30" s="83">
        <v>1000</v>
      </c>
      <c r="E30" s="84"/>
      <c r="F30" s="84"/>
      <c r="G30" s="84"/>
      <c r="H30" s="83">
        <f t="shared" si="10"/>
        <v>800</v>
      </c>
      <c r="I30" s="84"/>
      <c r="J30" s="84"/>
      <c r="K30" s="84"/>
      <c r="L30" s="83">
        <f t="shared" si="11"/>
        <v>600</v>
      </c>
      <c r="M30" s="84"/>
      <c r="N30" s="84"/>
      <c r="O30" s="84"/>
      <c r="P30" s="7" t="s">
        <v>9</v>
      </c>
      <c r="Q30" s="55" t="s">
        <v>244</v>
      </c>
      <c r="R30" s="59" t="s">
        <v>295</v>
      </c>
    </row>
    <row r="31" spans="1:18" ht="57" thickBot="1" x14ac:dyDescent="0.3">
      <c r="A31" s="14" t="s">
        <v>122</v>
      </c>
      <c r="B31" s="33" t="s">
        <v>24</v>
      </c>
      <c r="C31" s="15" t="s">
        <v>235</v>
      </c>
      <c r="D31" s="83">
        <v>2000</v>
      </c>
      <c r="E31" s="84"/>
      <c r="F31" s="84"/>
      <c r="G31" s="84"/>
      <c r="H31" s="83">
        <f t="shared" si="10"/>
        <v>1600</v>
      </c>
      <c r="I31" s="84"/>
      <c r="J31" s="84"/>
      <c r="K31" s="84"/>
      <c r="L31" s="83">
        <f t="shared" si="11"/>
        <v>1200</v>
      </c>
      <c r="M31" s="84"/>
      <c r="N31" s="84"/>
      <c r="O31" s="84"/>
      <c r="P31" s="33" t="s">
        <v>9</v>
      </c>
      <c r="Q31" s="55" t="s">
        <v>244</v>
      </c>
      <c r="R31" s="59" t="s">
        <v>306</v>
      </c>
    </row>
    <row r="32" spans="1:18" ht="38.25" thickBot="1" x14ac:dyDescent="0.3">
      <c r="A32" s="14" t="s">
        <v>123</v>
      </c>
      <c r="B32" s="16" t="s">
        <v>233</v>
      </c>
      <c r="C32" s="15" t="s">
        <v>235</v>
      </c>
      <c r="D32" s="83">
        <v>10000</v>
      </c>
      <c r="E32" s="84">
        <f>D32-(D32*10/100)</f>
        <v>9000</v>
      </c>
      <c r="F32" s="84">
        <f>D32-(D32*20/100)</f>
        <v>8000</v>
      </c>
      <c r="G32" s="84">
        <f>D32-(D32*30/100)</f>
        <v>7000</v>
      </c>
      <c r="H32" s="83">
        <f t="shared" si="10"/>
        <v>8000</v>
      </c>
      <c r="I32" s="84"/>
      <c r="J32" s="84"/>
      <c r="K32" s="84"/>
      <c r="L32" s="83">
        <f t="shared" si="11"/>
        <v>6000</v>
      </c>
      <c r="M32" s="84"/>
      <c r="N32" s="84"/>
      <c r="O32" s="84"/>
      <c r="P32" s="33" t="s">
        <v>9</v>
      </c>
      <c r="Q32" s="32" t="s">
        <v>234</v>
      </c>
      <c r="R32" s="59" t="s">
        <v>306</v>
      </c>
    </row>
    <row r="33" spans="1:18" ht="24" customHeight="1" x14ac:dyDescent="0.25">
      <c r="A33" s="63" t="s">
        <v>124</v>
      </c>
      <c r="B33" s="65" t="s">
        <v>27</v>
      </c>
      <c r="C33" s="1" t="s">
        <v>237</v>
      </c>
      <c r="D33" s="2">
        <v>1000</v>
      </c>
      <c r="E33" s="3">
        <f>D33-(D33*10/100)</f>
        <v>900</v>
      </c>
      <c r="F33" s="3">
        <f>D33-(D33*20/100)</f>
        <v>800</v>
      </c>
      <c r="G33" s="3">
        <f>D33-(D33*30/100)</f>
        <v>700</v>
      </c>
      <c r="H33" s="4">
        <f>D33-(D33*10/100)</f>
        <v>900</v>
      </c>
      <c r="I33" s="3">
        <f>H33-(H33*10/100)</f>
        <v>810</v>
      </c>
      <c r="J33" s="3">
        <f>H33-(H33*20/100)</f>
        <v>720</v>
      </c>
      <c r="K33" s="3">
        <f>H33-(H33*30/100)</f>
        <v>630</v>
      </c>
      <c r="L33" s="4">
        <f>D33-(D33*20/100)</f>
        <v>800</v>
      </c>
      <c r="M33" s="3">
        <f>L33-(L33*10/100)</f>
        <v>720</v>
      </c>
      <c r="N33" s="3">
        <f>L33-(L33*20/100)</f>
        <v>640</v>
      </c>
      <c r="O33" s="3">
        <f>L33-(L33*30/100)</f>
        <v>560</v>
      </c>
      <c r="P33" s="65" t="s">
        <v>10</v>
      </c>
      <c r="Q33" s="65" t="s">
        <v>226</v>
      </c>
      <c r="R33" s="67" t="s">
        <v>280</v>
      </c>
    </row>
    <row r="34" spans="1:18" ht="26.25" customHeight="1" thickBot="1" x14ac:dyDescent="0.3">
      <c r="A34" s="64"/>
      <c r="B34" s="66"/>
      <c r="C34" s="53" t="s">
        <v>238</v>
      </c>
      <c r="D34" s="5">
        <f t="shared" ref="D34:O34" si="13">D33*50/100</f>
        <v>500</v>
      </c>
      <c r="E34" s="6">
        <f t="shared" si="13"/>
        <v>450</v>
      </c>
      <c r="F34" s="6">
        <f t="shared" si="13"/>
        <v>400</v>
      </c>
      <c r="G34" s="6">
        <f t="shared" si="13"/>
        <v>350</v>
      </c>
      <c r="H34" s="5">
        <f t="shared" si="13"/>
        <v>450</v>
      </c>
      <c r="I34" s="6">
        <f t="shared" si="13"/>
        <v>405</v>
      </c>
      <c r="J34" s="6">
        <f t="shared" si="13"/>
        <v>360</v>
      </c>
      <c r="K34" s="6">
        <f t="shared" si="13"/>
        <v>315</v>
      </c>
      <c r="L34" s="5">
        <f t="shared" si="13"/>
        <v>400</v>
      </c>
      <c r="M34" s="6">
        <f t="shared" si="13"/>
        <v>360</v>
      </c>
      <c r="N34" s="6">
        <f t="shared" si="13"/>
        <v>320</v>
      </c>
      <c r="O34" s="6">
        <f t="shared" si="13"/>
        <v>280</v>
      </c>
      <c r="P34" s="66"/>
      <c r="Q34" s="66"/>
      <c r="R34" s="68" t="s">
        <v>262</v>
      </c>
    </row>
    <row r="35" spans="1:18" ht="57" thickBot="1" x14ac:dyDescent="0.3">
      <c r="A35" s="14" t="s">
        <v>125</v>
      </c>
      <c r="B35" s="7" t="s">
        <v>213</v>
      </c>
      <c r="C35" s="15" t="s">
        <v>235</v>
      </c>
      <c r="D35" s="83">
        <v>20000</v>
      </c>
      <c r="E35" s="84"/>
      <c r="F35" s="84"/>
      <c r="G35" s="84"/>
      <c r="H35" s="83">
        <f t="shared" ref="H35:H37" si="14">D35-(D35*20/100)</f>
        <v>16000</v>
      </c>
      <c r="I35" s="84"/>
      <c r="J35" s="84"/>
      <c r="K35" s="84"/>
      <c r="L35" s="83">
        <f t="shared" ref="L35:L37" si="15">D35-(D35*40/100)</f>
        <v>12000</v>
      </c>
      <c r="M35" s="84"/>
      <c r="N35" s="84"/>
      <c r="O35" s="84"/>
      <c r="P35" s="7" t="s">
        <v>9</v>
      </c>
      <c r="Q35" s="32" t="s">
        <v>225</v>
      </c>
      <c r="R35" s="59" t="s">
        <v>273</v>
      </c>
    </row>
    <row r="36" spans="1:18" ht="38.25" thickBot="1" x14ac:dyDescent="0.3">
      <c r="A36" s="14" t="s">
        <v>126</v>
      </c>
      <c r="B36" s="7" t="s">
        <v>15</v>
      </c>
      <c r="C36" s="15" t="s">
        <v>235</v>
      </c>
      <c r="D36" s="83">
        <v>15000</v>
      </c>
      <c r="E36" s="84"/>
      <c r="F36" s="84"/>
      <c r="G36" s="84"/>
      <c r="H36" s="83">
        <f t="shared" si="14"/>
        <v>12000</v>
      </c>
      <c r="I36" s="84"/>
      <c r="J36" s="84"/>
      <c r="K36" s="84"/>
      <c r="L36" s="83">
        <f t="shared" si="15"/>
        <v>9000</v>
      </c>
      <c r="M36" s="84"/>
      <c r="N36" s="84"/>
      <c r="O36" s="84"/>
      <c r="P36" s="7" t="s">
        <v>9</v>
      </c>
      <c r="Q36" s="32" t="s">
        <v>225</v>
      </c>
      <c r="R36" s="59" t="s">
        <v>272</v>
      </c>
    </row>
    <row r="37" spans="1:18" ht="38.25" thickBot="1" x14ac:dyDescent="0.3">
      <c r="A37" s="14" t="s">
        <v>127</v>
      </c>
      <c r="B37" s="7" t="s">
        <v>28</v>
      </c>
      <c r="C37" s="15" t="s">
        <v>235</v>
      </c>
      <c r="D37" s="83">
        <v>5000</v>
      </c>
      <c r="E37" s="84"/>
      <c r="F37" s="84"/>
      <c r="G37" s="84"/>
      <c r="H37" s="83">
        <f t="shared" si="14"/>
        <v>4000</v>
      </c>
      <c r="I37" s="84"/>
      <c r="J37" s="84"/>
      <c r="K37" s="84"/>
      <c r="L37" s="83">
        <f t="shared" si="15"/>
        <v>3000</v>
      </c>
      <c r="M37" s="84"/>
      <c r="N37" s="84"/>
      <c r="O37" s="84"/>
      <c r="P37" s="7" t="s">
        <v>9</v>
      </c>
      <c r="Q37" s="32" t="s">
        <v>225</v>
      </c>
      <c r="R37" s="59" t="s">
        <v>272</v>
      </c>
    </row>
    <row r="38" spans="1:18" ht="30" customHeight="1" x14ac:dyDescent="0.25">
      <c r="A38" s="63" t="s">
        <v>128</v>
      </c>
      <c r="B38" s="65" t="s">
        <v>216</v>
      </c>
      <c r="C38" s="1" t="s">
        <v>237</v>
      </c>
      <c r="D38" s="2">
        <v>3000</v>
      </c>
      <c r="E38" s="3">
        <f>D38-(D38*10/100)</f>
        <v>2700</v>
      </c>
      <c r="F38" s="3">
        <f>D38-(D38*20/100)</f>
        <v>2400</v>
      </c>
      <c r="G38" s="3">
        <f>D38-(D38*30/100)</f>
        <v>2100</v>
      </c>
      <c r="H38" s="4">
        <f>D38-(D38*10/100)</f>
        <v>2700</v>
      </c>
      <c r="I38" s="3">
        <f>H38-(H38*10/100)</f>
        <v>2430</v>
      </c>
      <c r="J38" s="3">
        <f>H38-(H38*20/100)</f>
        <v>2160</v>
      </c>
      <c r="K38" s="3">
        <f>H38-(H38*30/100)</f>
        <v>1890</v>
      </c>
      <c r="L38" s="4">
        <f>D38-(D38*20/100)</f>
        <v>2400</v>
      </c>
      <c r="M38" s="3">
        <f>L38-(L38*10/100)</f>
        <v>2160</v>
      </c>
      <c r="N38" s="3">
        <f>L38-(L38*20/100)</f>
        <v>1920</v>
      </c>
      <c r="O38" s="3">
        <f>L38-(L38*30/100)</f>
        <v>1680</v>
      </c>
      <c r="P38" s="65" t="s">
        <v>10</v>
      </c>
      <c r="Q38" s="65" t="s">
        <v>23</v>
      </c>
      <c r="R38" s="67" t="s">
        <v>274</v>
      </c>
    </row>
    <row r="39" spans="1:18" ht="26.25" customHeight="1" thickBot="1" x14ac:dyDescent="0.3">
      <c r="A39" s="64"/>
      <c r="B39" s="92"/>
      <c r="C39" s="53" t="s">
        <v>238</v>
      </c>
      <c r="D39" s="5">
        <f t="shared" ref="D39:O39" si="16">D38*50/100</f>
        <v>1500</v>
      </c>
      <c r="E39" s="6">
        <f t="shared" si="16"/>
        <v>1350</v>
      </c>
      <c r="F39" s="6">
        <f t="shared" si="16"/>
        <v>1200</v>
      </c>
      <c r="G39" s="6">
        <f t="shared" si="16"/>
        <v>1050</v>
      </c>
      <c r="H39" s="5">
        <f t="shared" si="16"/>
        <v>1350</v>
      </c>
      <c r="I39" s="6">
        <f t="shared" si="16"/>
        <v>1215</v>
      </c>
      <c r="J39" s="6">
        <f t="shared" si="16"/>
        <v>1080</v>
      </c>
      <c r="K39" s="6">
        <f t="shared" si="16"/>
        <v>945</v>
      </c>
      <c r="L39" s="5">
        <f t="shared" si="16"/>
        <v>1200</v>
      </c>
      <c r="M39" s="6">
        <f t="shared" si="16"/>
        <v>1080</v>
      </c>
      <c r="N39" s="6">
        <f t="shared" si="16"/>
        <v>960</v>
      </c>
      <c r="O39" s="6">
        <f t="shared" si="16"/>
        <v>840</v>
      </c>
      <c r="P39" s="66"/>
      <c r="Q39" s="66"/>
      <c r="R39" s="71" t="s">
        <v>262</v>
      </c>
    </row>
    <row r="40" spans="1:18" ht="53.25" customHeight="1" thickBot="1" x14ac:dyDescent="0.3">
      <c r="A40" s="52" t="s">
        <v>129</v>
      </c>
      <c r="B40" s="7" t="s">
        <v>203</v>
      </c>
      <c r="C40" s="15" t="s">
        <v>235</v>
      </c>
      <c r="D40" s="83">
        <v>10000</v>
      </c>
      <c r="E40" s="84"/>
      <c r="F40" s="84"/>
      <c r="G40" s="84"/>
      <c r="H40" s="83">
        <f t="shared" ref="H40:H44" si="17">D40-(D40*20/100)</f>
        <v>8000</v>
      </c>
      <c r="I40" s="84"/>
      <c r="J40" s="84"/>
      <c r="K40" s="84"/>
      <c r="L40" s="83">
        <f t="shared" ref="L40:L44" si="18">D40-(D40*40/100)</f>
        <v>6000</v>
      </c>
      <c r="M40" s="84"/>
      <c r="N40" s="84"/>
      <c r="O40" s="84"/>
      <c r="P40" s="7" t="s">
        <v>9</v>
      </c>
      <c r="Q40" s="32" t="s">
        <v>38</v>
      </c>
      <c r="R40" s="59" t="s">
        <v>310</v>
      </c>
    </row>
    <row r="41" spans="1:18" ht="54" customHeight="1" thickBot="1" x14ac:dyDescent="0.3">
      <c r="A41" s="52" t="s">
        <v>130</v>
      </c>
      <c r="B41" s="7" t="s">
        <v>210</v>
      </c>
      <c r="C41" s="15" t="s">
        <v>235</v>
      </c>
      <c r="D41" s="83">
        <v>3000</v>
      </c>
      <c r="E41" s="84"/>
      <c r="F41" s="84"/>
      <c r="G41" s="84"/>
      <c r="H41" s="83">
        <f t="shared" si="17"/>
        <v>2400</v>
      </c>
      <c r="I41" s="84"/>
      <c r="J41" s="84"/>
      <c r="K41" s="84"/>
      <c r="L41" s="83">
        <f t="shared" si="18"/>
        <v>1800</v>
      </c>
      <c r="M41" s="84"/>
      <c r="N41" s="84"/>
      <c r="O41" s="84"/>
      <c r="P41" s="7" t="s">
        <v>9</v>
      </c>
      <c r="Q41" s="32" t="s">
        <v>245</v>
      </c>
      <c r="R41" s="59" t="s">
        <v>274</v>
      </c>
    </row>
    <row r="42" spans="1:18" ht="75.75" thickBot="1" x14ac:dyDescent="0.3">
      <c r="A42" s="14" t="s">
        <v>131</v>
      </c>
      <c r="B42" s="16" t="s">
        <v>22</v>
      </c>
      <c r="C42" s="15" t="s">
        <v>235</v>
      </c>
      <c r="D42" s="83">
        <v>3000</v>
      </c>
      <c r="E42" s="84"/>
      <c r="F42" s="84"/>
      <c r="G42" s="84"/>
      <c r="H42" s="83">
        <f t="shared" si="17"/>
        <v>2400</v>
      </c>
      <c r="I42" s="84"/>
      <c r="J42" s="84"/>
      <c r="K42" s="84"/>
      <c r="L42" s="83">
        <f t="shared" si="18"/>
        <v>1800</v>
      </c>
      <c r="M42" s="84"/>
      <c r="N42" s="84"/>
      <c r="O42" s="84"/>
      <c r="P42" s="7" t="s">
        <v>9</v>
      </c>
      <c r="Q42" s="55" t="s">
        <v>245</v>
      </c>
      <c r="R42" s="59" t="s">
        <v>307</v>
      </c>
    </row>
    <row r="43" spans="1:18" ht="57" thickBot="1" x14ac:dyDescent="0.3">
      <c r="A43" s="14" t="s">
        <v>132</v>
      </c>
      <c r="B43" s="16" t="s">
        <v>21</v>
      </c>
      <c r="C43" s="15" t="s">
        <v>235</v>
      </c>
      <c r="D43" s="83">
        <v>10000</v>
      </c>
      <c r="E43" s="84"/>
      <c r="F43" s="84"/>
      <c r="G43" s="84"/>
      <c r="H43" s="83">
        <f>D43-(D43*20/100)</f>
        <v>8000</v>
      </c>
      <c r="I43" s="84"/>
      <c r="J43" s="84"/>
      <c r="K43" s="84"/>
      <c r="L43" s="83">
        <f>D43-(D43*40/100)</f>
        <v>6000</v>
      </c>
      <c r="M43" s="84"/>
      <c r="N43" s="84"/>
      <c r="O43" s="84"/>
      <c r="P43" s="7" t="s">
        <v>9</v>
      </c>
      <c r="Q43" s="32" t="s">
        <v>38</v>
      </c>
      <c r="R43" s="59" t="s">
        <v>308</v>
      </c>
    </row>
    <row r="44" spans="1:18" ht="38.25" thickBot="1" x14ac:dyDescent="0.3">
      <c r="A44" s="52" t="s">
        <v>133</v>
      </c>
      <c r="B44" s="16" t="s">
        <v>29</v>
      </c>
      <c r="C44" s="15" t="s">
        <v>235</v>
      </c>
      <c r="D44" s="83">
        <v>3000</v>
      </c>
      <c r="E44" s="84"/>
      <c r="F44" s="84"/>
      <c r="G44" s="84"/>
      <c r="H44" s="83">
        <f t="shared" si="17"/>
        <v>2400</v>
      </c>
      <c r="I44" s="84"/>
      <c r="J44" s="84"/>
      <c r="K44" s="84"/>
      <c r="L44" s="83">
        <f t="shared" si="18"/>
        <v>1800</v>
      </c>
      <c r="M44" s="84"/>
      <c r="N44" s="84"/>
      <c r="O44" s="84"/>
      <c r="P44" s="7" t="s">
        <v>9</v>
      </c>
      <c r="Q44" s="32" t="s">
        <v>242</v>
      </c>
      <c r="R44" s="59" t="s">
        <v>272</v>
      </c>
    </row>
    <row r="45" spans="1:18" ht="57" thickBot="1" x14ac:dyDescent="0.3">
      <c r="A45" s="14" t="s">
        <v>134</v>
      </c>
      <c r="B45" s="7" t="s">
        <v>168</v>
      </c>
      <c r="C45" s="15" t="s">
        <v>235</v>
      </c>
      <c r="D45" s="83">
        <v>5000</v>
      </c>
      <c r="E45" s="84"/>
      <c r="F45" s="84"/>
      <c r="G45" s="84"/>
      <c r="H45" s="83">
        <f t="shared" ref="H45:H46" si="19">D45-(D45*20/100)</f>
        <v>4000</v>
      </c>
      <c r="I45" s="84"/>
      <c r="J45" s="84"/>
      <c r="K45" s="84"/>
      <c r="L45" s="83">
        <f t="shared" ref="L45:L46" si="20">D45-(D45*40/100)</f>
        <v>3000</v>
      </c>
      <c r="M45" s="84"/>
      <c r="N45" s="84"/>
      <c r="O45" s="84"/>
      <c r="P45" s="7" t="s">
        <v>9</v>
      </c>
      <c r="Q45" s="32" t="s">
        <v>225</v>
      </c>
      <c r="R45" s="60" t="s">
        <v>297</v>
      </c>
    </row>
    <row r="46" spans="1:18" ht="35.25" customHeight="1" thickBot="1" x14ac:dyDescent="0.3">
      <c r="A46" s="14" t="s">
        <v>135</v>
      </c>
      <c r="B46" s="32" t="s">
        <v>175</v>
      </c>
      <c r="C46" s="15" t="s">
        <v>235</v>
      </c>
      <c r="D46" s="83">
        <v>50000</v>
      </c>
      <c r="E46" s="84"/>
      <c r="F46" s="84"/>
      <c r="G46" s="88"/>
      <c r="H46" s="83">
        <f t="shared" si="19"/>
        <v>40000</v>
      </c>
      <c r="I46" s="84"/>
      <c r="J46" s="84"/>
      <c r="K46" s="88"/>
      <c r="L46" s="83">
        <f t="shared" si="20"/>
        <v>30000</v>
      </c>
      <c r="M46" s="84"/>
      <c r="N46" s="84"/>
      <c r="O46" s="88"/>
      <c r="P46" s="7" t="s">
        <v>9</v>
      </c>
      <c r="Q46" s="32" t="s">
        <v>225</v>
      </c>
      <c r="R46" s="59" t="s">
        <v>272</v>
      </c>
    </row>
    <row r="47" spans="1:18" ht="30.75" customHeight="1" x14ac:dyDescent="0.25">
      <c r="A47" s="63" t="s">
        <v>136</v>
      </c>
      <c r="B47" s="65" t="s">
        <v>195</v>
      </c>
      <c r="C47" s="1" t="s">
        <v>237</v>
      </c>
      <c r="D47" s="2">
        <v>1000</v>
      </c>
      <c r="E47" s="3">
        <f>D47-(D47*10/100)</f>
        <v>900</v>
      </c>
      <c r="F47" s="3">
        <f>D47-(D47*20/100)</f>
        <v>800</v>
      </c>
      <c r="G47" s="3">
        <f>D47-(D47*30/100)</f>
        <v>700</v>
      </c>
      <c r="H47" s="4">
        <f>D47-(D47*10/100)</f>
        <v>900</v>
      </c>
      <c r="I47" s="3">
        <f>H47-(H47*10/100)</f>
        <v>810</v>
      </c>
      <c r="J47" s="3">
        <f>H47-(H47*20/100)</f>
        <v>720</v>
      </c>
      <c r="K47" s="3">
        <f>H47-(H47*30/100)</f>
        <v>630</v>
      </c>
      <c r="L47" s="4">
        <f>D47-(D47*20/100)</f>
        <v>800</v>
      </c>
      <c r="M47" s="3">
        <f>L47-(L47*10/100)</f>
        <v>720</v>
      </c>
      <c r="N47" s="3">
        <f>L47-(L47*20/100)</f>
        <v>640</v>
      </c>
      <c r="O47" s="3">
        <f>L47-(L47*30/100)</f>
        <v>560</v>
      </c>
      <c r="P47" s="65" t="s">
        <v>10</v>
      </c>
      <c r="Q47" s="65" t="s">
        <v>23</v>
      </c>
      <c r="R47" s="67" t="s">
        <v>269</v>
      </c>
    </row>
    <row r="48" spans="1:18" ht="27" customHeight="1" thickBot="1" x14ac:dyDescent="0.3">
      <c r="A48" s="64"/>
      <c r="B48" s="66"/>
      <c r="C48" s="53" t="s">
        <v>238</v>
      </c>
      <c r="D48" s="5">
        <f t="shared" ref="D48:O48" si="21">D47*50/100</f>
        <v>500</v>
      </c>
      <c r="E48" s="6">
        <f t="shared" si="21"/>
        <v>450</v>
      </c>
      <c r="F48" s="6">
        <f t="shared" si="21"/>
        <v>400</v>
      </c>
      <c r="G48" s="6">
        <f t="shared" si="21"/>
        <v>350</v>
      </c>
      <c r="H48" s="5">
        <f t="shared" si="21"/>
        <v>450</v>
      </c>
      <c r="I48" s="6">
        <f t="shared" si="21"/>
        <v>405</v>
      </c>
      <c r="J48" s="6">
        <f t="shared" si="21"/>
        <v>360</v>
      </c>
      <c r="K48" s="6">
        <f t="shared" si="21"/>
        <v>315</v>
      </c>
      <c r="L48" s="5">
        <f t="shared" si="21"/>
        <v>400</v>
      </c>
      <c r="M48" s="6">
        <f t="shared" si="21"/>
        <v>360</v>
      </c>
      <c r="N48" s="6">
        <f t="shared" si="21"/>
        <v>320</v>
      </c>
      <c r="O48" s="6">
        <f t="shared" si="21"/>
        <v>280</v>
      </c>
      <c r="P48" s="66"/>
      <c r="Q48" s="66"/>
      <c r="R48" s="71" t="s">
        <v>262</v>
      </c>
    </row>
    <row r="49" spans="1:18" ht="24" customHeight="1" thickBot="1" x14ac:dyDescent="0.3">
      <c r="A49" s="101" t="s">
        <v>246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</row>
    <row r="50" spans="1:18" ht="24" customHeight="1" thickBot="1" x14ac:dyDescent="0.3">
      <c r="A50" s="72" t="s">
        <v>4</v>
      </c>
      <c r="B50" s="72" t="s">
        <v>3</v>
      </c>
      <c r="C50" s="72" t="s">
        <v>176</v>
      </c>
      <c r="D50" s="79" t="s">
        <v>2</v>
      </c>
      <c r="E50" s="80"/>
      <c r="F50" s="80"/>
      <c r="G50" s="81"/>
      <c r="H50" s="79" t="s">
        <v>1</v>
      </c>
      <c r="I50" s="80"/>
      <c r="J50" s="80"/>
      <c r="K50" s="81"/>
      <c r="L50" s="79" t="s">
        <v>173</v>
      </c>
      <c r="M50" s="80"/>
      <c r="N50" s="80"/>
      <c r="O50" s="81"/>
      <c r="P50" s="72" t="s">
        <v>0</v>
      </c>
      <c r="Q50" s="72" t="s">
        <v>16</v>
      </c>
      <c r="R50" s="69" t="s">
        <v>266</v>
      </c>
    </row>
    <row r="51" spans="1:18" ht="24" thickBot="1" x14ac:dyDescent="0.3">
      <c r="A51" s="73"/>
      <c r="B51" s="78"/>
      <c r="C51" s="73"/>
      <c r="D51" s="39" t="s">
        <v>8</v>
      </c>
      <c r="E51" s="39" t="s">
        <v>7</v>
      </c>
      <c r="F51" s="39" t="s">
        <v>6</v>
      </c>
      <c r="G51" s="39" t="s">
        <v>5</v>
      </c>
      <c r="H51" s="39" t="s">
        <v>8</v>
      </c>
      <c r="I51" s="39" t="s">
        <v>7</v>
      </c>
      <c r="J51" s="39" t="s">
        <v>6</v>
      </c>
      <c r="K51" s="39" t="s">
        <v>5</v>
      </c>
      <c r="L51" s="39" t="s">
        <v>8</v>
      </c>
      <c r="M51" s="39" t="s">
        <v>7</v>
      </c>
      <c r="N51" s="39" t="s">
        <v>6</v>
      </c>
      <c r="O51" s="39" t="s">
        <v>5</v>
      </c>
      <c r="P51" s="73"/>
      <c r="Q51" s="73"/>
      <c r="R51" s="70"/>
    </row>
    <row r="52" spans="1:18" ht="57" thickBot="1" x14ac:dyDescent="0.3">
      <c r="A52" s="14" t="s">
        <v>137</v>
      </c>
      <c r="B52" s="16" t="s">
        <v>196</v>
      </c>
      <c r="C52" s="15" t="s">
        <v>235</v>
      </c>
      <c r="D52" s="83">
        <v>500</v>
      </c>
      <c r="E52" s="84"/>
      <c r="F52" s="84"/>
      <c r="G52" s="84"/>
      <c r="H52" s="83">
        <f t="shared" ref="H52:H59" si="22">D52-(D52*20/100)</f>
        <v>400</v>
      </c>
      <c r="I52" s="84"/>
      <c r="J52" s="84"/>
      <c r="K52" s="84"/>
      <c r="L52" s="83">
        <f t="shared" ref="L52:L59" si="23">D52-(D52*40/100)</f>
        <v>300</v>
      </c>
      <c r="M52" s="84"/>
      <c r="N52" s="84"/>
      <c r="O52" s="84"/>
      <c r="P52" s="7" t="s">
        <v>9</v>
      </c>
      <c r="Q52" s="32" t="s">
        <v>244</v>
      </c>
      <c r="R52" s="59" t="s">
        <v>290</v>
      </c>
    </row>
    <row r="53" spans="1:18" ht="75.75" thickBot="1" x14ac:dyDescent="0.3">
      <c r="A53" s="14" t="s">
        <v>138</v>
      </c>
      <c r="B53" s="16" t="s">
        <v>190</v>
      </c>
      <c r="C53" s="15" t="s">
        <v>235</v>
      </c>
      <c r="D53" s="83">
        <v>5000</v>
      </c>
      <c r="E53" s="84"/>
      <c r="F53" s="84"/>
      <c r="G53" s="84"/>
      <c r="H53" s="83">
        <f t="shared" si="22"/>
        <v>4000</v>
      </c>
      <c r="I53" s="84"/>
      <c r="J53" s="84"/>
      <c r="K53" s="84"/>
      <c r="L53" s="83">
        <f t="shared" si="23"/>
        <v>3000</v>
      </c>
      <c r="M53" s="84"/>
      <c r="N53" s="84"/>
      <c r="O53" s="84"/>
      <c r="P53" s="7" t="s">
        <v>9</v>
      </c>
      <c r="Q53" s="7" t="s">
        <v>169</v>
      </c>
      <c r="R53" s="59" t="s">
        <v>290</v>
      </c>
    </row>
    <row r="54" spans="1:18" ht="38.25" thickBot="1" x14ac:dyDescent="0.3">
      <c r="A54" s="14" t="s">
        <v>139</v>
      </c>
      <c r="B54" s="18" t="s">
        <v>211</v>
      </c>
      <c r="C54" s="15" t="s">
        <v>235</v>
      </c>
      <c r="D54" s="83">
        <v>5000</v>
      </c>
      <c r="E54" s="84"/>
      <c r="F54" s="84"/>
      <c r="G54" s="84"/>
      <c r="H54" s="83">
        <f t="shared" ref="H54:H55" si="24">D54-(D54*20/100)</f>
        <v>4000</v>
      </c>
      <c r="I54" s="84"/>
      <c r="J54" s="84"/>
      <c r="K54" s="84"/>
      <c r="L54" s="83">
        <f t="shared" ref="L54:L55" si="25">D54-(D54*40/100)</f>
        <v>3000</v>
      </c>
      <c r="M54" s="84"/>
      <c r="N54" s="84"/>
      <c r="O54" s="84"/>
      <c r="P54" s="7" t="s">
        <v>9</v>
      </c>
      <c r="Q54" s="19" t="s">
        <v>23</v>
      </c>
      <c r="R54" s="59" t="s">
        <v>281</v>
      </c>
    </row>
    <row r="55" spans="1:18" ht="38.25" thickBot="1" x14ac:dyDescent="0.3">
      <c r="A55" s="14" t="s">
        <v>140</v>
      </c>
      <c r="B55" s="16" t="s">
        <v>212</v>
      </c>
      <c r="C55" s="15" t="s">
        <v>235</v>
      </c>
      <c r="D55" s="83">
        <v>50000</v>
      </c>
      <c r="E55" s="84"/>
      <c r="F55" s="84"/>
      <c r="G55" s="84"/>
      <c r="H55" s="83">
        <f t="shared" si="24"/>
        <v>40000</v>
      </c>
      <c r="I55" s="84"/>
      <c r="J55" s="84"/>
      <c r="K55" s="84"/>
      <c r="L55" s="83">
        <f t="shared" si="25"/>
        <v>30000</v>
      </c>
      <c r="M55" s="84"/>
      <c r="N55" s="84"/>
      <c r="O55" s="84"/>
      <c r="P55" s="7" t="s">
        <v>9</v>
      </c>
      <c r="Q55" s="32" t="s">
        <v>189</v>
      </c>
      <c r="R55" s="59" t="s">
        <v>281</v>
      </c>
    </row>
    <row r="56" spans="1:18" ht="38.25" thickBot="1" x14ac:dyDescent="0.3">
      <c r="A56" s="14" t="s">
        <v>141</v>
      </c>
      <c r="B56" s="7" t="s">
        <v>36</v>
      </c>
      <c r="C56" s="15" t="s">
        <v>235</v>
      </c>
      <c r="D56" s="83">
        <v>15000</v>
      </c>
      <c r="E56" s="84"/>
      <c r="F56" s="84"/>
      <c r="G56" s="84"/>
      <c r="H56" s="83">
        <f t="shared" si="22"/>
        <v>12000</v>
      </c>
      <c r="I56" s="84"/>
      <c r="J56" s="84"/>
      <c r="K56" s="84"/>
      <c r="L56" s="83">
        <f t="shared" si="23"/>
        <v>9000</v>
      </c>
      <c r="M56" s="84"/>
      <c r="N56" s="84"/>
      <c r="O56" s="84"/>
      <c r="P56" s="7" t="s">
        <v>9</v>
      </c>
      <c r="Q56" s="32" t="s">
        <v>225</v>
      </c>
      <c r="R56" s="59" t="s">
        <v>281</v>
      </c>
    </row>
    <row r="57" spans="1:18" ht="57" thickBot="1" x14ac:dyDescent="0.3">
      <c r="A57" s="14" t="s">
        <v>142</v>
      </c>
      <c r="B57" s="7" t="s">
        <v>37</v>
      </c>
      <c r="C57" s="15" t="s">
        <v>235</v>
      </c>
      <c r="D57" s="93">
        <v>5000</v>
      </c>
      <c r="E57" s="94"/>
      <c r="F57" s="94"/>
      <c r="G57" s="94"/>
      <c r="H57" s="83">
        <f t="shared" si="22"/>
        <v>4000</v>
      </c>
      <c r="I57" s="84"/>
      <c r="J57" s="84"/>
      <c r="K57" s="84"/>
      <c r="L57" s="83">
        <f t="shared" si="23"/>
        <v>3000</v>
      </c>
      <c r="M57" s="84"/>
      <c r="N57" s="84"/>
      <c r="O57" s="84"/>
      <c r="P57" s="7" t="s">
        <v>9</v>
      </c>
      <c r="Q57" s="32" t="s">
        <v>23</v>
      </c>
      <c r="R57" s="60" t="s">
        <v>311</v>
      </c>
    </row>
    <row r="58" spans="1:18" ht="35.25" customHeight="1" thickBot="1" x14ac:dyDescent="0.3">
      <c r="A58" s="14" t="s">
        <v>143</v>
      </c>
      <c r="B58" s="7" t="s">
        <v>248</v>
      </c>
      <c r="C58" s="15" t="s">
        <v>235</v>
      </c>
      <c r="D58" s="83">
        <v>20000</v>
      </c>
      <c r="E58" s="84"/>
      <c r="F58" s="84"/>
      <c r="G58" s="84"/>
      <c r="H58" s="83">
        <f t="shared" si="22"/>
        <v>16000</v>
      </c>
      <c r="I58" s="84"/>
      <c r="J58" s="84"/>
      <c r="K58" s="84"/>
      <c r="L58" s="83">
        <f t="shared" si="23"/>
        <v>12000</v>
      </c>
      <c r="M58" s="84"/>
      <c r="N58" s="84"/>
      <c r="O58" s="84"/>
      <c r="P58" s="7" t="s">
        <v>9</v>
      </c>
      <c r="Q58" s="7" t="s">
        <v>169</v>
      </c>
      <c r="R58" s="59" t="s">
        <v>276</v>
      </c>
    </row>
    <row r="59" spans="1:18" ht="38.25" thickBot="1" x14ac:dyDescent="0.3">
      <c r="A59" s="14" t="s">
        <v>144</v>
      </c>
      <c r="B59" s="7" t="s">
        <v>18</v>
      </c>
      <c r="C59" s="15" t="s">
        <v>235</v>
      </c>
      <c r="D59" s="83">
        <v>30000</v>
      </c>
      <c r="E59" s="84"/>
      <c r="F59" s="84"/>
      <c r="G59" s="84"/>
      <c r="H59" s="83">
        <f t="shared" si="22"/>
        <v>24000</v>
      </c>
      <c r="I59" s="84"/>
      <c r="J59" s="84"/>
      <c r="K59" s="84"/>
      <c r="L59" s="83">
        <f t="shared" si="23"/>
        <v>18000</v>
      </c>
      <c r="M59" s="84"/>
      <c r="N59" s="84"/>
      <c r="O59" s="84"/>
      <c r="P59" s="7" t="s">
        <v>9</v>
      </c>
      <c r="Q59" s="7" t="s">
        <v>169</v>
      </c>
      <c r="R59" s="59" t="s">
        <v>276</v>
      </c>
    </row>
    <row r="60" spans="1:18" ht="38.25" thickBot="1" x14ac:dyDescent="0.3">
      <c r="A60" s="14" t="s">
        <v>145</v>
      </c>
      <c r="B60" s="7" t="s">
        <v>188</v>
      </c>
      <c r="C60" s="15" t="s">
        <v>235</v>
      </c>
      <c r="D60" s="83">
        <v>5000</v>
      </c>
      <c r="E60" s="84"/>
      <c r="F60" s="84"/>
      <c r="G60" s="84"/>
      <c r="H60" s="83">
        <f t="shared" ref="H60" si="26">D60-(D60*20/100)</f>
        <v>4000</v>
      </c>
      <c r="I60" s="84"/>
      <c r="J60" s="84"/>
      <c r="K60" s="84"/>
      <c r="L60" s="83">
        <f t="shared" ref="L60" si="27">D60-(D60*40/100)</f>
        <v>3000</v>
      </c>
      <c r="M60" s="84"/>
      <c r="N60" s="84"/>
      <c r="O60" s="84"/>
      <c r="P60" s="7" t="s">
        <v>9</v>
      </c>
      <c r="Q60" s="7" t="s">
        <v>23</v>
      </c>
      <c r="R60" s="59" t="s">
        <v>272</v>
      </c>
    </row>
  </sheetData>
  <mergeCells count="172">
    <mergeCell ref="L22:O22"/>
    <mergeCell ref="L23:O23"/>
    <mergeCell ref="L24:O24"/>
    <mergeCell ref="L25:O25"/>
    <mergeCell ref="H23:K23"/>
    <mergeCell ref="D25:G25"/>
    <mergeCell ref="H25:K25"/>
    <mergeCell ref="H31:K31"/>
    <mergeCell ref="D37:G37"/>
    <mergeCell ref="H37:K37"/>
    <mergeCell ref="H24:K24"/>
    <mergeCell ref="D23:G23"/>
    <mergeCell ref="D14:G14"/>
    <mergeCell ref="H14:K14"/>
    <mergeCell ref="L14:O14"/>
    <mergeCell ref="D15:G15"/>
    <mergeCell ref="H15:K15"/>
    <mergeCell ref="L15:O15"/>
    <mergeCell ref="D16:G16"/>
    <mergeCell ref="H16:K16"/>
    <mergeCell ref="L16:O16"/>
    <mergeCell ref="L50:O50"/>
    <mergeCell ref="P50:P51"/>
    <mergeCell ref="D53:G53"/>
    <mergeCell ref="H53:K53"/>
    <mergeCell ref="L53:O53"/>
    <mergeCell ref="D52:G52"/>
    <mergeCell ref="H52:K52"/>
    <mergeCell ref="L52:O52"/>
    <mergeCell ref="D55:G55"/>
    <mergeCell ref="A1:Q1"/>
    <mergeCell ref="D60:G60"/>
    <mergeCell ref="H60:K60"/>
    <mergeCell ref="L60:O60"/>
    <mergeCell ref="A47:A48"/>
    <mergeCell ref="B47:B48"/>
    <mergeCell ref="P47:P48"/>
    <mergeCell ref="Q47:Q48"/>
    <mergeCell ref="A17:A18"/>
    <mergeCell ref="B17:B18"/>
    <mergeCell ref="P17:P18"/>
    <mergeCell ref="Q17:Q18"/>
    <mergeCell ref="D43:G43"/>
    <mergeCell ref="H43:K43"/>
    <mergeCell ref="L43:O43"/>
    <mergeCell ref="D41:G41"/>
    <mergeCell ref="H41:K41"/>
    <mergeCell ref="Q38:Q39"/>
    <mergeCell ref="P26:P27"/>
    <mergeCell ref="H55:K55"/>
    <mergeCell ref="L55:O55"/>
    <mergeCell ref="D54:G54"/>
    <mergeCell ref="H54:K54"/>
    <mergeCell ref="L54:O54"/>
    <mergeCell ref="Q50:Q51"/>
    <mergeCell ref="A26:A27"/>
    <mergeCell ref="B26:B27"/>
    <mergeCell ref="L45:O45"/>
    <mergeCell ref="L29:O29"/>
    <mergeCell ref="Q26:Q27"/>
    <mergeCell ref="D36:G36"/>
    <mergeCell ref="L36:O36"/>
    <mergeCell ref="D31:G31"/>
    <mergeCell ref="A38:A39"/>
    <mergeCell ref="D46:G46"/>
    <mergeCell ref="H46:K46"/>
    <mergeCell ref="L46:O46"/>
    <mergeCell ref="D45:G45"/>
    <mergeCell ref="H45:K45"/>
    <mergeCell ref="B38:B39"/>
    <mergeCell ref="A33:A34"/>
    <mergeCell ref="A50:A51"/>
    <mergeCell ref="B50:B51"/>
    <mergeCell ref="D50:G50"/>
    <mergeCell ref="H50:K50"/>
    <mergeCell ref="L35:O35"/>
    <mergeCell ref="H29:K29"/>
    <mergeCell ref="B33:B34"/>
    <mergeCell ref="D59:G59"/>
    <mergeCell ref="H59:K59"/>
    <mergeCell ref="L59:O59"/>
    <mergeCell ref="D58:G58"/>
    <mergeCell ref="H58:K58"/>
    <mergeCell ref="L58:O58"/>
    <mergeCell ref="D56:G56"/>
    <mergeCell ref="H56:K56"/>
    <mergeCell ref="L56:O56"/>
    <mergeCell ref="D57:G57"/>
    <mergeCell ref="H57:K57"/>
    <mergeCell ref="L57:O57"/>
    <mergeCell ref="A12:A13"/>
    <mergeCell ref="B12:B13"/>
    <mergeCell ref="A2:Q2"/>
    <mergeCell ref="A19:Q19"/>
    <mergeCell ref="Q20:Q21"/>
    <mergeCell ref="A7:A8"/>
    <mergeCell ref="B7:B8"/>
    <mergeCell ref="A20:A21"/>
    <mergeCell ref="B20:B21"/>
    <mergeCell ref="P20:P21"/>
    <mergeCell ref="D20:G20"/>
    <mergeCell ref="H20:K20"/>
    <mergeCell ref="L20:O20"/>
    <mergeCell ref="B4:B5"/>
    <mergeCell ref="Q12:Q13"/>
    <mergeCell ref="P7:P8"/>
    <mergeCell ref="A3:Q3"/>
    <mergeCell ref="A4:A5"/>
    <mergeCell ref="D11:G11"/>
    <mergeCell ref="H11:K11"/>
    <mergeCell ref="L11:O11"/>
    <mergeCell ref="D6:G6"/>
    <mergeCell ref="H6:K6"/>
    <mergeCell ref="L6:O6"/>
    <mergeCell ref="C4:C5"/>
    <mergeCell ref="C20:C21"/>
    <mergeCell ref="C50:C51"/>
    <mergeCell ref="L4:O4"/>
    <mergeCell ref="D9:G9"/>
    <mergeCell ref="H9:K9"/>
    <mergeCell ref="L9:O9"/>
    <mergeCell ref="L31:O31"/>
    <mergeCell ref="D10:G10"/>
    <mergeCell ref="H10:K10"/>
    <mergeCell ref="L10:O10"/>
    <mergeCell ref="D4:G4"/>
    <mergeCell ref="H4:K4"/>
    <mergeCell ref="D44:G44"/>
    <mergeCell ref="H44:K44"/>
    <mergeCell ref="L44:O44"/>
    <mergeCell ref="L41:O41"/>
    <mergeCell ref="D42:G42"/>
    <mergeCell ref="H42:K42"/>
    <mergeCell ref="L42:O42"/>
    <mergeCell ref="L37:O37"/>
    <mergeCell ref="D22:G22"/>
    <mergeCell ref="A49:Q49"/>
    <mergeCell ref="H22:K22"/>
    <mergeCell ref="Q4:Q5"/>
    <mergeCell ref="Q7:Q8"/>
    <mergeCell ref="D40:G40"/>
    <mergeCell ref="H40:K40"/>
    <mergeCell ref="L40:O40"/>
    <mergeCell ref="D32:G32"/>
    <mergeCell ref="H32:K32"/>
    <mergeCell ref="L32:O32"/>
    <mergeCell ref="D30:G30"/>
    <mergeCell ref="H30:K30"/>
    <mergeCell ref="L30:O30"/>
    <mergeCell ref="H28:K28"/>
    <mergeCell ref="L28:O28"/>
    <mergeCell ref="D29:G29"/>
    <mergeCell ref="P4:P5"/>
    <mergeCell ref="D24:G24"/>
    <mergeCell ref="P12:P13"/>
    <mergeCell ref="P38:P39"/>
    <mergeCell ref="P33:P34"/>
    <mergeCell ref="Q33:Q34"/>
    <mergeCell ref="D28:G28"/>
    <mergeCell ref="H36:K36"/>
    <mergeCell ref="D35:G35"/>
    <mergeCell ref="H35:K35"/>
    <mergeCell ref="R26:R27"/>
    <mergeCell ref="R33:R34"/>
    <mergeCell ref="R38:R39"/>
    <mergeCell ref="R47:R48"/>
    <mergeCell ref="R50:R51"/>
    <mergeCell ref="R4:R5"/>
    <mergeCell ref="R7:R8"/>
    <mergeCell ref="R12:R13"/>
    <mergeCell ref="R17:R18"/>
    <mergeCell ref="R20:R2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rightToLeft="1" topLeftCell="A19" zoomScaleNormal="100" workbookViewId="0">
      <selection activeCell="B22" sqref="B22"/>
    </sheetView>
  </sheetViews>
  <sheetFormatPr defaultColWidth="8.85546875" defaultRowHeight="15" x14ac:dyDescent="0.25"/>
  <cols>
    <col min="1" max="1" width="8.85546875" style="20"/>
    <col min="2" max="2" width="27.85546875" style="20" customWidth="1"/>
    <col min="3" max="3" width="9.85546875" style="20" customWidth="1"/>
    <col min="4" max="16" width="8.85546875" style="20"/>
    <col min="17" max="17" width="19.140625" style="20" customWidth="1"/>
    <col min="18" max="18" width="28.85546875" style="20" customWidth="1"/>
    <col min="19" max="16384" width="8.85546875" style="20"/>
  </cols>
  <sheetData>
    <row r="1" spans="1:18" ht="31.5" customHeight="1" thickBot="1" x14ac:dyDescent="0.3">
      <c r="A1" s="91" t="s">
        <v>241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8" ht="24" customHeight="1" x14ac:dyDescent="0.25">
      <c r="A2" s="97" t="s">
        <v>12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8" ht="24" customHeight="1" thickBot="1" x14ac:dyDescent="0.3">
      <c r="A3" s="95" t="s">
        <v>183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</row>
    <row r="4" spans="1:18" ht="24" customHeight="1" thickBot="1" x14ac:dyDescent="0.3">
      <c r="A4" s="72" t="s">
        <v>4</v>
      </c>
      <c r="B4" s="72" t="s">
        <v>3</v>
      </c>
      <c r="C4" s="72" t="s">
        <v>176</v>
      </c>
      <c r="D4" s="79" t="s">
        <v>2</v>
      </c>
      <c r="E4" s="80"/>
      <c r="F4" s="80"/>
      <c r="G4" s="81"/>
      <c r="H4" s="79" t="s">
        <v>1</v>
      </c>
      <c r="I4" s="80"/>
      <c r="J4" s="80"/>
      <c r="K4" s="81"/>
      <c r="L4" s="79" t="s">
        <v>173</v>
      </c>
      <c r="M4" s="80"/>
      <c r="N4" s="80"/>
      <c r="O4" s="81"/>
      <c r="P4" s="72" t="s">
        <v>0</v>
      </c>
      <c r="Q4" s="72" t="s">
        <v>16</v>
      </c>
      <c r="R4" s="69" t="s">
        <v>266</v>
      </c>
    </row>
    <row r="5" spans="1:18" ht="24" thickBot="1" x14ac:dyDescent="0.3">
      <c r="A5" s="107"/>
      <c r="B5" s="107"/>
      <c r="C5" s="73"/>
      <c r="D5" s="39" t="s">
        <v>8</v>
      </c>
      <c r="E5" s="39" t="s">
        <v>7</v>
      </c>
      <c r="F5" s="39" t="s">
        <v>6</v>
      </c>
      <c r="G5" s="39" t="s">
        <v>5</v>
      </c>
      <c r="H5" s="39" t="s">
        <v>8</v>
      </c>
      <c r="I5" s="39" t="s">
        <v>7</v>
      </c>
      <c r="J5" s="39" t="s">
        <v>6</v>
      </c>
      <c r="K5" s="39" t="s">
        <v>5</v>
      </c>
      <c r="L5" s="39" t="s">
        <v>8</v>
      </c>
      <c r="M5" s="39" t="s">
        <v>7</v>
      </c>
      <c r="N5" s="39" t="s">
        <v>6</v>
      </c>
      <c r="O5" s="39" t="s">
        <v>5</v>
      </c>
      <c r="P5" s="107"/>
      <c r="Q5" s="73"/>
      <c r="R5" s="70"/>
    </row>
    <row r="6" spans="1:18" ht="57" thickBot="1" x14ac:dyDescent="0.3">
      <c r="A6" s="34" t="s">
        <v>146</v>
      </c>
      <c r="B6" s="32" t="s">
        <v>13</v>
      </c>
      <c r="C6" s="15" t="s">
        <v>235</v>
      </c>
      <c r="D6" s="83">
        <v>200</v>
      </c>
      <c r="E6" s="84"/>
      <c r="F6" s="84"/>
      <c r="G6" s="84"/>
      <c r="H6" s="83">
        <f t="shared" ref="H6" si="0">D6-(D6*20/100)</f>
        <v>160</v>
      </c>
      <c r="I6" s="84"/>
      <c r="J6" s="84"/>
      <c r="K6" s="84"/>
      <c r="L6" s="83">
        <f t="shared" ref="L6" si="1">D6-(D6*40/100)</f>
        <v>120</v>
      </c>
      <c r="M6" s="84"/>
      <c r="N6" s="84"/>
      <c r="O6" s="84"/>
      <c r="P6" s="32" t="s">
        <v>9</v>
      </c>
      <c r="Q6" s="32" t="s">
        <v>259</v>
      </c>
      <c r="R6" s="59" t="s">
        <v>270</v>
      </c>
    </row>
    <row r="7" spans="1:18" ht="57" thickBot="1" x14ac:dyDescent="0.3">
      <c r="A7" s="38" t="s">
        <v>147</v>
      </c>
      <c r="B7" s="16" t="s">
        <v>19</v>
      </c>
      <c r="C7" s="15" t="s">
        <v>235</v>
      </c>
      <c r="D7" s="89">
        <v>100</v>
      </c>
      <c r="E7" s="90"/>
      <c r="F7" s="90"/>
      <c r="G7" s="90"/>
      <c r="H7" s="89">
        <f t="shared" ref="H7:H14" si="2">D7-(D7*20/100)</f>
        <v>80</v>
      </c>
      <c r="I7" s="90"/>
      <c r="J7" s="90"/>
      <c r="K7" s="90"/>
      <c r="L7" s="89">
        <f t="shared" ref="L7:L14" si="3">D7-(D7*40/100)</f>
        <v>60</v>
      </c>
      <c r="M7" s="90"/>
      <c r="N7" s="90"/>
      <c r="O7" s="90"/>
      <c r="P7" s="32" t="s">
        <v>9</v>
      </c>
      <c r="Q7" s="55" t="s">
        <v>259</v>
      </c>
      <c r="R7" s="59" t="s">
        <v>271</v>
      </c>
    </row>
    <row r="8" spans="1:18" s="40" customFormat="1" ht="49.5" customHeight="1" thickBot="1" x14ac:dyDescent="0.3">
      <c r="A8" s="25" t="s">
        <v>148</v>
      </c>
      <c r="B8" s="32" t="s">
        <v>199</v>
      </c>
      <c r="C8" s="15" t="s">
        <v>235</v>
      </c>
      <c r="D8" s="93">
        <v>100</v>
      </c>
      <c r="E8" s="94"/>
      <c r="F8" s="94"/>
      <c r="G8" s="108"/>
      <c r="H8" s="93">
        <f t="shared" si="2"/>
        <v>80</v>
      </c>
      <c r="I8" s="94"/>
      <c r="J8" s="94"/>
      <c r="K8" s="108"/>
      <c r="L8" s="93">
        <f t="shared" si="3"/>
        <v>60</v>
      </c>
      <c r="M8" s="94"/>
      <c r="N8" s="94"/>
      <c r="O8" s="108"/>
      <c r="P8" s="37" t="s">
        <v>9</v>
      </c>
      <c r="Q8" s="55" t="s">
        <v>260</v>
      </c>
      <c r="R8" s="59" t="s">
        <v>272</v>
      </c>
    </row>
    <row r="9" spans="1:18" s="40" customFormat="1" ht="57" thickBot="1" x14ac:dyDescent="0.3">
      <c r="A9" s="14" t="s">
        <v>149</v>
      </c>
      <c r="B9" s="17" t="s">
        <v>221</v>
      </c>
      <c r="C9" s="15" t="s">
        <v>235</v>
      </c>
      <c r="D9" s="93">
        <v>100</v>
      </c>
      <c r="E9" s="94"/>
      <c r="F9" s="94"/>
      <c r="G9" s="94"/>
      <c r="H9" s="93">
        <f t="shared" si="2"/>
        <v>80</v>
      </c>
      <c r="I9" s="94"/>
      <c r="J9" s="94"/>
      <c r="K9" s="94"/>
      <c r="L9" s="93">
        <f t="shared" si="3"/>
        <v>60</v>
      </c>
      <c r="M9" s="94"/>
      <c r="N9" s="94"/>
      <c r="O9" s="94"/>
      <c r="P9" s="17" t="s">
        <v>9</v>
      </c>
      <c r="Q9" s="55" t="s">
        <v>259</v>
      </c>
      <c r="R9" s="59" t="s">
        <v>295</v>
      </c>
    </row>
    <row r="10" spans="1:18" ht="57" thickBot="1" x14ac:dyDescent="0.3">
      <c r="A10" s="14" t="s">
        <v>150</v>
      </c>
      <c r="B10" s="33" t="s">
        <v>24</v>
      </c>
      <c r="C10" s="15" t="s">
        <v>235</v>
      </c>
      <c r="D10" s="83">
        <v>500</v>
      </c>
      <c r="E10" s="84"/>
      <c r="F10" s="84"/>
      <c r="G10" s="84"/>
      <c r="H10" s="83">
        <f t="shared" si="2"/>
        <v>400</v>
      </c>
      <c r="I10" s="84"/>
      <c r="J10" s="84"/>
      <c r="K10" s="84"/>
      <c r="L10" s="83">
        <f t="shared" si="3"/>
        <v>300</v>
      </c>
      <c r="M10" s="84"/>
      <c r="N10" s="84"/>
      <c r="O10" s="84"/>
      <c r="P10" s="33" t="s">
        <v>9</v>
      </c>
      <c r="Q10" s="55" t="s">
        <v>259</v>
      </c>
      <c r="R10" s="59" t="s">
        <v>312</v>
      </c>
    </row>
    <row r="11" spans="1:18" ht="38.25" thickBot="1" x14ac:dyDescent="0.3">
      <c r="A11" s="14" t="s">
        <v>151</v>
      </c>
      <c r="B11" s="16" t="s">
        <v>233</v>
      </c>
      <c r="C11" s="15" t="s">
        <v>235</v>
      </c>
      <c r="D11" s="83">
        <v>10000</v>
      </c>
      <c r="E11" s="84">
        <f>D11-(D11*10/100)</f>
        <v>9000</v>
      </c>
      <c r="F11" s="84">
        <f>D11-(D11*20/100)</f>
        <v>8000</v>
      </c>
      <c r="G11" s="84">
        <f>D11-(D11*30/100)</f>
        <v>7000</v>
      </c>
      <c r="H11" s="83">
        <f t="shared" si="2"/>
        <v>8000</v>
      </c>
      <c r="I11" s="84"/>
      <c r="J11" s="84"/>
      <c r="K11" s="84"/>
      <c r="L11" s="83">
        <f t="shared" si="3"/>
        <v>6000</v>
      </c>
      <c r="M11" s="84"/>
      <c r="N11" s="84"/>
      <c r="O11" s="84"/>
      <c r="P11" s="33" t="s">
        <v>9</v>
      </c>
      <c r="Q11" s="32" t="s">
        <v>234</v>
      </c>
      <c r="R11" s="59" t="s">
        <v>312</v>
      </c>
    </row>
    <row r="12" spans="1:18" ht="57" thickBot="1" x14ac:dyDescent="0.3">
      <c r="A12" s="14" t="s">
        <v>152</v>
      </c>
      <c r="B12" s="7" t="s">
        <v>214</v>
      </c>
      <c r="C12" s="15" t="s">
        <v>235</v>
      </c>
      <c r="D12" s="83">
        <v>5000</v>
      </c>
      <c r="E12" s="84"/>
      <c r="F12" s="84"/>
      <c r="G12" s="84"/>
      <c r="H12" s="83">
        <f t="shared" si="2"/>
        <v>4000</v>
      </c>
      <c r="I12" s="84"/>
      <c r="J12" s="84"/>
      <c r="K12" s="84"/>
      <c r="L12" s="83">
        <f t="shared" ref="L12" si="4">D12-(D12*40/100)</f>
        <v>3000</v>
      </c>
      <c r="M12" s="84"/>
      <c r="N12" s="84"/>
      <c r="O12" s="84"/>
      <c r="P12" s="7" t="s">
        <v>9</v>
      </c>
      <c r="Q12" s="32" t="s">
        <v>225</v>
      </c>
      <c r="R12" s="59" t="s">
        <v>273</v>
      </c>
    </row>
    <row r="13" spans="1:18" ht="38.25" thickBot="1" x14ac:dyDescent="0.3">
      <c r="A13" s="14" t="s">
        <v>153</v>
      </c>
      <c r="B13" s="7" t="s">
        <v>202</v>
      </c>
      <c r="C13" s="15" t="s">
        <v>235</v>
      </c>
      <c r="D13" s="83">
        <v>15000</v>
      </c>
      <c r="E13" s="84"/>
      <c r="F13" s="84"/>
      <c r="G13" s="84"/>
      <c r="H13" s="83">
        <f t="shared" si="2"/>
        <v>12000</v>
      </c>
      <c r="I13" s="84"/>
      <c r="J13" s="84"/>
      <c r="K13" s="84"/>
      <c r="L13" s="83">
        <f t="shared" si="3"/>
        <v>9000</v>
      </c>
      <c r="M13" s="84"/>
      <c r="N13" s="84"/>
      <c r="O13" s="84"/>
      <c r="P13" s="7" t="s">
        <v>9</v>
      </c>
      <c r="Q13" s="32" t="s">
        <v>225</v>
      </c>
      <c r="R13" s="59" t="s">
        <v>272</v>
      </c>
    </row>
    <row r="14" spans="1:18" ht="38.25" thickBot="1" x14ac:dyDescent="0.3">
      <c r="A14" s="14" t="s">
        <v>154</v>
      </c>
      <c r="B14" s="7" t="s">
        <v>28</v>
      </c>
      <c r="C14" s="15" t="s">
        <v>235</v>
      </c>
      <c r="D14" s="83">
        <v>1000</v>
      </c>
      <c r="E14" s="84"/>
      <c r="F14" s="84"/>
      <c r="G14" s="84"/>
      <c r="H14" s="83">
        <f t="shared" si="2"/>
        <v>800</v>
      </c>
      <c r="I14" s="84"/>
      <c r="J14" s="84"/>
      <c r="K14" s="84"/>
      <c r="L14" s="83">
        <f t="shared" si="3"/>
        <v>600</v>
      </c>
      <c r="M14" s="84"/>
      <c r="N14" s="84"/>
      <c r="O14" s="84"/>
      <c r="P14" s="7" t="s">
        <v>9</v>
      </c>
      <c r="Q14" s="32" t="s">
        <v>225</v>
      </c>
      <c r="R14" s="59" t="s">
        <v>272</v>
      </c>
    </row>
    <row r="15" spans="1:18" ht="27" customHeight="1" x14ac:dyDescent="0.25">
      <c r="A15" s="63" t="s">
        <v>155</v>
      </c>
      <c r="B15" s="65" t="s">
        <v>216</v>
      </c>
      <c r="C15" s="1" t="s">
        <v>237</v>
      </c>
      <c r="D15" s="2">
        <v>3000</v>
      </c>
      <c r="E15" s="3">
        <f>D15-(D15*10/100)</f>
        <v>2700</v>
      </c>
      <c r="F15" s="3">
        <f>D15-(D15*20/100)</f>
        <v>2400</v>
      </c>
      <c r="G15" s="3">
        <f>D15-(D15*30/100)</f>
        <v>2100</v>
      </c>
      <c r="H15" s="4">
        <f>D15-(D15*10/100)</f>
        <v>2700</v>
      </c>
      <c r="I15" s="3">
        <f>H15-(H15*10/100)</f>
        <v>2430</v>
      </c>
      <c r="J15" s="3">
        <f>H15-(H15*20/100)</f>
        <v>2160</v>
      </c>
      <c r="K15" s="3">
        <f>H15-(H15*30/100)</f>
        <v>1890</v>
      </c>
      <c r="L15" s="4">
        <f>D15-(D15*20/100)</f>
        <v>2400</v>
      </c>
      <c r="M15" s="3">
        <f>L15-(L15*10/100)</f>
        <v>2160</v>
      </c>
      <c r="N15" s="3">
        <f>L15-(L15*20/100)</f>
        <v>1920</v>
      </c>
      <c r="O15" s="3">
        <f>L15-(L15*30/100)</f>
        <v>1680</v>
      </c>
      <c r="P15" s="65" t="s">
        <v>10</v>
      </c>
      <c r="Q15" s="65" t="s">
        <v>23</v>
      </c>
      <c r="R15" s="67" t="s">
        <v>274</v>
      </c>
    </row>
    <row r="16" spans="1:18" ht="23.25" customHeight="1" thickBot="1" x14ac:dyDescent="0.3">
      <c r="A16" s="64"/>
      <c r="B16" s="92"/>
      <c r="C16" s="53" t="s">
        <v>238</v>
      </c>
      <c r="D16" s="5">
        <f t="shared" ref="D16:O16" si="5">D15*50/100</f>
        <v>1500</v>
      </c>
      <c r="E16" s="6">
        <f t="shared" si="5"/>
        <v>1350</v>
      </c>
      <c r="F16" s="6">
        <f t="shared" si="5"/>
        <v>1200</v>
      </c>
      <c r="G16" s="6">
        <f t="shared" si="5"/>
        <v>1050</v>
      </c>
      <c r="H16" s="5">
        <f t="shared" si="5"/>
        <v>1350</v>
      </c>
      <c r="I16" s="6">
        <f t="shared" si="5"/>
        <v>1215</v>
      </c>
      <c r="J16" s="6">
        <f t="shared" si="5"/>
        <v>1080</v>
      </c>
      <c r="K16" s="6">
        <f t="shared" si="5"/>
        <v>945</v>
      </c>
      <c r="L16" s="5">
        <f t="shared" si="5"/>
        <v>1200</v>
      </c>
      <c r="M16" s="6">
        <f t="shared" si="5"/>
        <v>1080</v>
      </c>
      <c r="N16" s="6">
        <f t="shared" si="5"/>
        <v>960</v>
      </c>
      <c r="O16" s="6">
        <f t="shared" si="5"/>
        <v>840</v>
      </c>
      <c r="P16" s="66"/>
      <c r="Q16" s="66"/>
      <c r="R16" s="71" t="s">
        <v>262</v>
      </c>
    </row>
    <row r="17" spans="1:18" ht="57" thickBot="1" x14ac:dyDescent="0.3">
      <c r="A17" s="14" t="s">
        <v>156</v>
      </c>
      <c r="B17" s="7" t="s">
        <v>203</v>
      </c>
      <c r="C17" s="15" t="s">
        <v>235</v>
      </c>
      <c r="D17" s="83">
        <v>10000</v>
      </c>
      <c r="E17" s="84"/>
      <c r="F17" s="84"/>
      <c r="G17" s="84"/>
      <c r="H17" s="83">
        <f t="shared" ref="H17:H24" si="6">D17-(D17*20/100)</f>
        <v>8000</v>
      </c>
      <c r="I17" s="84"/>
      <c r="J17" s="84"/>
      <c r="K17" s="84"/>
      <c r="L17" s="83">
        <f t="shared" ref="L17:L24" si="7">D17-(D17*40/100)</f>
        <v>6000</v>
      </c>
      <c r="M17" s="84"/>
      <c r="N17" s="84"/>
      <c r="O17" s="84"/>
      <c r="P17" s="7" t="s">
        <v>9</v>
      </c>
      <c r="Q17" s="32" t="s">
        <v>38</v>
      </c>
      <c r="R17" s="59" t="s">
        <v>307</v>
      </c>
    </row>
    <row r="18" spans="1:18" ht="38.25" thickBot="1" x14ac:dyDescent="0.3">
      <c r="A18" s="14" t="s">
        <v>157</v>
      </c>
      <c r="B18" s="7" t="s">
        <v>210</v>
      </c>
      <c r="C18" s="15" t="s">
        <v>235</v>
      </c>
      <c r="D18" s="83">
        <v>200</v>
      </c>
      <c r="E18" s="84"/>
      <c r="F18" s="84"/>
      <c r="G18" s="84"/>
      <c r="H18" s="83">
        <f t="shared" si="6"/>
        <v>160</v>
      </c>
      <c r="I18" s="84"/>
      <c r="J18" s="84"/>
      <c r="K18" s="84"/>
      <c r="L18" s="83">
        <f t="shared" si="7"/>
        <v>120</v>
      </c>
      <c r="M18" s="84"/>
      <c r="N18" s="84"/>
      <c r="O18" s="84"/>
      <c r="P18" s="7" t="s">
        <v>9</v>
      </c>
      <c r="Q18" s="32" t="s">
        <v>261</v>
      </c>
      <c r="R18" s="59" t="s">
        <v>274</v>
      </c>
    </row>
    <row r="19" spans="1:18" ht="75.75" thickBot="1" x14ac:dyDescent="0.3">
      <c r="A19" s="14" t="s">
        <v>158</v>
      </c>
      <c r="B19" s="16" t="s">
        <v>22</v>
      </c>
      <c r="C19" s="15" t="s">
        <v>235</v>
      </c>
      <c r="D19" s="83">
        <v>200</v>
      </c>
      <c r="E19" s="84"/>
      <c r="F19" s="84"/>
      <c r="G19" s="84"/>
      <c r="H19" s="83">
        <f t="shared" si="6"/>
        <v>160</v>
      </c>
      <c r="I19" s="84"/>
      <c r="J19" s="84"/>
      <c r="K19" s="84"/>
      <c r="L19" s="83">
        <f t="shared" si="7"/>
        <v>120</v>
      </c>
      <c r="M19" s="84"/>
      <c r="N19" s="84"/>
      <c r="O19" s="84"/>
      <c r="P19" s="7" t="s">
        <v>9</v>
      </c>
      <c r="Q19" s="55" t="s">
        <v>261</v>
      </c>
      <c r="R19" s="59" t="s">
        <v>307</v>
      </c>
    </row>
    <row r="20" spans="1:18" ht="57" thickBot="1" x14ac:dyDescent="0.3">
      <c r="A20" s="14" t="s">
        <v>159</v>
      </c>
      <c r="B20" s="16" t="s">
        <v>21</v>
      </c>
      <c r="C20" s="15" t="s">
        <v>235</v>
      </c>
      <c r="D20" s="83">
        <v>2500</v>
      </c>
      <c r="E20" s="84"/>
      <c r="F20" s="84"/>
      <c r="G20" s="84"/>
      <c r="H20" s="83">
        <f>D20-(D20*20/100)</f>
        <v>2000</v>
      </c>
      <c r="I20" s="84"/>
      <c r="J20" s="84"/>
      <c r="K20" s="84"/>
      <c r="L20" s="83">
        <f>D20-(D20*40/100)</f>
        <v>1500</v>
      </c>
      <c r="M20" s="84"/>
      <c r="N20" s="84"/>
      <c r="O20" s="84"/>
      <c r="P20" s="7" t="s">
        <v>9</v>
      </c>
      <c r="Q20" s="55" t="s">
        <v>261</v>
      </c>
      <c r="R20" s="59" t="s">
        <v>313</v>
      </c>
    </row>
    <row r="21" spans="1:18" ht="57" thickBot="1" x14ac:dyDescent="0.3">
      <c r="A21" s="14" t="s">
        <v>160</v>
      </c>
      <c r="B21" s="16" t="s">
        <v>29</v>
      </c>
      <c r="C21" s="15" t="s">
        <v>235</v>
      </c>
      <c r="D21" s="83">
        <v>200</v>
      </c>
      <c r="E21" s="84"/>
      <c r="F21" s="84"/>
      <c r="G21" s="84"/>
      <c r="H21" s="83">
        <f t="shared" si="6"/>
        <v>160</v>
      </c>
      <c r="I21" s="84"/>
      <c r="J21" s="84"/>
      <c r="K21" s="84"/>
      <c r="L21" s="83">
        <f t="shared" si="7"/>
        <v>120</v>
      </c>
      <c r="M21" s="84"/>
      <c r="N21" s="84"/>
      <c r="O21" s="84"/>
      <c r="P21" s="36" t="s">
        <v>9</v>
      </c>
      <c r="Q21" s="55" t="s">
        <v>261</v>
      </c>
      <c r="R21" s="59" t="s">
        <v>272</v>
      </c>
    </row>
    <row r="22" spans="1:18" ht="57" thickBot="1" x14ac:dyDescent="0.3">
      <c r="A22" s="14" t="s">
        <v>316</v>
      </c>
      <c r="B22" s="7" t="s">
        <v>168</v>
      </c>
      <c r="C22" s="15" t="s">
        <v>235</v>
      </c>
      <c r="D22" s="83">
        <v>2500</v>
      </c>
      <c r="E22" s="84"/>
      <c r="F22" s="84"/>
      <c r="G22" s="84"/>
      <c r="H22" s="83">
        <f t="shared" si="6"/>
        <v>2000</v>
      </c>
      <c r="I22" s="84"/>
      <c r="J22" s="84"/>
      <c r="K22" s="84"/>
      <c r="L22" s="83">
        <f t="shared" si="7"/>
        <v>1500</v>
      </c>
      <c r="M22" s="84"/>
      <c r="N22" s="84"/>
      <c r="O22" s="84"/>
      <c r="P22" s="7" t="s">
        <v>9</v>
      </c>
      <c r="Q22" s="32" t="s">
        <v>259</v>
      </c>
      <c r="R22" s="60" t="s">
        <v>297</v>
      </c>
    </row>
    <row r="23" spans="1:18" ht="75.75" thickBot="1" x14ac:dyDescent="0.3">
      <c r="A23" s="34" t="s">
        <v>215</v>
      </c>
      <c r="B23" s="7" t="s">
        <v>191</v>
      </c>
      <c r="C23" s="15" t="s">
        <v>235</v>
      </c>
      <c r="D23" s="83">
        <v>1000</v>
      </c>
      <c r="E23" s="84"/>
      <c r="F23" s="84"/>
      <c r="G23" s="84"/>
      <c r="H23" s="83">
        <f t="shared" si="6"/>
        <v>800</v>
      </c>
      <c r="I23" s="84"/>
      <c r="J23" s="84"/>
      <c r="K23" s="84"/>
      <c r="L23" s="83">
        <f t="shared" si="7"/>
        <v>600</v>
      </c>
      <c r="M23" s="84"/>
      <c r="N23" s="84"/>
      <c r="O23" s="84"/>
      <c r="P23" s="7" t="s">
        <v>9</v>
      </c>
      <c r="Q23" s="55" t="s">
        <v>259</v>
      </c>
      <c r="R23" s="59" t="s">
        <v>291</v>
      </c>
    </row>
    <row r="24" spans="1:18" ht="38.25" thickBot="1" x14ac:dyDescent="0.3">
      <c r="A24" s="34" t="s">
        <v>161</v>
      </c>
      <c r="B24" s="32" t="s">
        <v>205</v>
      </c>
      <c r="C24" s="15" t="s">
        <v>235</v>
      </c>
      <c r="D24" s="83">
        <v>50000</v>
      </c>
      <c r="E24" s="84"/>
      <c r="F24" s="84"/>
      <c r="G24" s="88"/>
      <c r="H24" s="83">
        <f t="shared" si="6"/>
        <v>40000</v>
      </c>
      <c r="I24" s="84"/>
      <c r="J24" s="84"/>
      <c r="K24" s="88"/>
      <c r="L24" s="83">
        <f t="shared" si="7"/>
        <v>30000</v>
      </c>
      <c r="M24" s="84"/>
      <c r="N24" s="84"/>
      <c r="O24" s="88"/>
      <c r="P24" s="7" t="s">
        <v>9</v>
      </c>
      <c r="Q24" s="32" t="s">
        <v>226</v>
      </c>
      <c r="R24" s="59" t="s">
        <v>272</v>
      </c>
    </row>
    <row r="25" spans="1:18" ht="25.5" customHeight="1" x14ac:dyDescent="0.25">
      <c r="A25" s="63" t="s">
        <v>162</v>
      </c>
      <c r="B25" s="65" t="s">
        <v>195</v>
      </c>
      <c r="C25" s="1" t="s">
        <v>237</v>
      </c>
      <c r="D25" s="2">
        <v>1000</v>
      </c>
      <c r="E25" s="3">
        <f>D25-(D25*10/100)</f>
        <v>900</v>
      </c>
      <c r="F25" s="3">
        <f>D25-(D25*20/100)</f>
        <v>800</v>
      </c>
      <c r="G25" s="3">
        <f>D25-(D25*30/100)</f>
        <v>700</v>
      </c>
      <c r="H25" s="4">
        <f>D25-(D25*10/100)</f>
        <v>900</v>
      </c>
      <c r="I25" s="3">
        <f>H25-(H25*10/100)</f>
        <v>810</v>
      </c>
      <c r="J25" s="3">
        <f>H25-(H25*20/100)</f>
        <v>720</v>
      </c>
      <c r="K25" s="3">
        <f>H25-(H25*30/100)</f>
        <v>630</v>
      </c>
      <c r="L25" s="4">
        <f>D25-(D25*20/100)</f>
        <v>800</v>
      </c>
      <c r="M25" s="3">
        <f>L25-(L25*10/100)</f>
        <v>720</v>
      </c>
      <c r="N25" s="3">
        <f>L25-(L25*20/100)</f>
        <v>640</v>
      </c>
      <c r="O25" s="3">
        <f>L25-(L25*30/100)</f>
        <v>560</v>
      </c>
      <c r="P25" s="65" t="s">
        <v>10</v>
      </c>
      <c r="Q25" s="65" t="s">
        <v>23</v>
      </c>
      <c r="R25" s="67" t="s">
        <v>269</v>
      </c>
    </row>
    <row r="26" spans="1:18" ht="25.5" customHeight="1" thickBot="1" x14ac:dyDescent="0.3">
      <c r="A26" s="64"/>
      <c r="B26" s="66"/>
      <c r="C26" s="53" t="s">
        <v>238</v>
      </c>
      <c r="D26" s="5">
        <f t="shared" ref="D26:O26" si="8">D25*50/100</f>
        <v>500</v>
      </c>
      <c r="E26" s="6">
        <f t="shared" si="8"/>
        <v>450</v>
      </c>
      <c r="F26" s="6">
        <f t="shared" si="8"/>
        <v>400</v>
      </c>
      <c r="G26" s="6">
        <f t="shared" si="8"/>
        <v>350</v>
      </c>
      <c r="H26" s="5">
        <f t="shared" si="8"/>
        <v>450</v>
      </c>
      <c r="I26" s="6">
        <f t="shared" si="8"/>
        <v>405</v>
      </c>
      <c r="J26" s="6">
        <f t="shared" si="8"/>
        <v>360</v>
      </c>
      <c r="K26" s="6">
        <f t="shared" si="8"/>
        <v>315</v>
      </c>
      <c r="L26" s="5">
        <f t="shared" si="8"/>
        <v>400</v>
      </c>
      <c r="M26" s="6">
        <f t="shared" si="8"/>
        <v>360</v>
      </c>
      <c r="N26" s="6">
        <f t="shared" si="8"/>
        <v>320</v>
      </c>
      <c r="O26" s="6">
        <f t="shared" si="8"/>
        <v>280</v>
      </c>
      <c r="P26" s="66"/>
      <c r="Q26" s="66"/>
      <c r="R26" s="71" t="s">
        <v>262</v>
      </c>
    </row>
    <row r="27" spans="1:18" ht="24" customHeight="1" thickBot="1" x14ac:dyDescent="0.3">
      <c r="A27" s="95" t="s">
        <v>247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</row>
    <row r="28" spans="1:18" ht="24" customHeight="1" thickBot="1" x14ac:dyDescent="0.3">
      <c r="A28" s="72" t="s">
        <v>4</v>
      </c>
      <c r="B28" s="72" t="s">
        <v>3</v>
      </c>
      <c r="C28" s="72" t="s">
        <v>176</v>
      </c>
      <c r="D28" s="79" t="s">
        <v>2</v>
      </c>
      <c r="E28" s="80"/>
      <c r="F28" s="80"/>
      <c r="G28" s="81"/>
      <c r="H28" s="79" t="s">
        <v>1</v>
      </c>
      <c r="I28" s="80"/>
      <c r="J28" s="80"/>
      <c r="K28" s="81"/>
      <c r="L28" s="79" t="s">
        <v>173</v>
      </c>
      <c r="M28" s="80"/>
      <c r="N28" s="80"/>
      <c r="O28" s="81"/>
      <c r="P28" s="72" t="s">
        <v>0</v>
      </c>
      <c r="Q28" s="72" t="s">
        <v>16</v>
      </c>
      <c r="R28" s="69" t="s">
        <v>266</v>
      </c>
    </row>
    <row r="29" spans="1:18" ht="24" thickBot="1" x14ac:dyDescent="0.3">
      <c r="A29" s="73"/>
      <c r="B29" s="78"/>
      <c r="C29" s="73"/>
      <c r="D29" s="39" t="s">
        <v>8</v>
      </c>
      <c r="E29" s="39" t="s">
        <v>7</v>
      </c>
      <c r="F29" s="39" t="s">
        <v>6</v>
      </c>
      <c r="G29" s="39" t="s">
        <v>5</v>
      </c>
      <c r="H29" s="39" t="s">
        <v>8</v>
      </c>
      <c r="I29" s="39" t="s">
        <v>7</v>
      </c>
      <c r="J29" s="39" t="s">
        <v>6</v>
      </c>
      <c r="K29" s="39" t="s">
        <v>5</v>
      </c>
      <c r="L29" s="39" t="s">
        <v>8</v>
      </c>
      <c r="M29" s="39" t="s">
        <v>7</v>
      </c>
      <c r="N29" s="39" t="s">
        <v>6</v>
      </c>
      <c r="O29" s="39" t="s">
        <v>5</v>
      </c>
      <c r="P29" s="73"/>
      <c r="Q29" s="73"/>
      <c r="R29" s="70"/>
    </row>
    <row r="30" spans="1:18" ht="57" thickBot="1" x14ac:dyDescent="0.3">
      <c r="A30" s="14" t="s">
        <v>163</v>
      </c>
      <c r="B30" s="16" t="s">
        <v>196</v>
      </c>
      <c r="C30" s="15" t="s">
        <v>235</v>
      </c>
      <c r="D30" s="83">
        <v>500</v>
      </c>
      <c r="E30" s="84"/>
      <c r="F30" s="84"/>
      <c r="G30" s="84"/>
      <c r="H30" s="83">
        <f t="shared" ref="H30:H33" si="9">D30-(D30*20/100)</f>
        <v>400</v>
      </c>
      <c r="I30" s="84"/>
      <c r="J30" s="84"/>
      <c r="K30" s="84"/>
      <c r="L30" s="83">
        <f t="shared" ref="L30:L33" si="10">D30-(D30*40/100)</f>
        <v>300</v>
      </c>
      <c r="M30" s="84"/>
      <c r="N30" s="84"/>
      <c r="O30" s="84"/>
      <c r="P30" s="7" t="s">
        <v>9</v>
      </c>
      <c r="Q30" s="55" t="s">
        <v>259</v>
      </c>
      <c r="R30" s="59" t="s">
        <v>290</v>
      </c>
    </row>
    <row r="31" spans="1:18" ht="79.5" customHeight="1" thickBot="1" x14ac:dyDescent="0.3">
      <c r="A31" s="14" t="s">
        <v>164</v>
      </c>
      <c r="B31" s="16" t="s">
        <v>190</v>
      </c>
      <c r="C31" s="15" t="s">
        <v>235</v>
      </c>
      <c r="D31" s="83">
        <v>5000</v>
      </c>
      <c r="E31" s="84"/>
      <c r="F31" s="84"/>
      <c r="G31" s="84"/>
      <c r="H31" s="83">
        <f t="shared" si="9"/>
        <v>4000</v>
      </c>
      <c r="I31" s="84"/>
      <c r="J31" s="84"/>
      <c r="K31" s="84"/>
      <c r="L31" s="83">
        <f t="shared" si="10"/>
        <v>3000</v>
      </c>
      <c r="M31" s="84"/>
      <c r="N31" s="84"/>
      <c r="O31" s="84"/>
      <c r="P31" s="7" t="s">
        <v>9</v>
      </c>
      <c r="Q31" s="7" t="s">
        <v>169</v>
      </c>
      <c r="R31" s="59" t="s">
        <v>290</v>
      </c>
    </row>
    <row r="32" spans="1:18" ht="38.25" thickBot="1" x14ac:dyDescent="0.3">
      <c r="A32" s="14" t="s">
        <v>165</v>
      </c>
      <c r="B32" s="7" t="s">
        <v>248</v>
      </c>
      <c r="C32" s="15" t="s">
        <v>235</v>
      </c>
      <c r="D32" s="83">
        <v>20000</v>
      </c>
      <c r="E32" s="84"/>
      <c r="F32" s="84"/>
      <c r="G32" s="84"/>
      <c r="H32" s="83">
        <f t="shared" si="9"/>
        <v>16000</v>
      </c>
      <c r="I32" s="84"/>
      <c r="J32" s="84"/>
      <c r="K32" s="84"/>
      <c r="L32" s="83">
        <f t="shared" si="10"/>
        <v>12000</v>
      </c>
      <c r="M32" s="84"/>
      <c r="N32" s="84"/>
      <c r="O32" s="84"/>
      <c r="P32" s="7" t="s">
        <v>9</v>
      </c>
      <c r="Q32" s="7" t="s">
        <v>169</v>
      </c>
      <c r="R32" s="59" t="s">
        <v>277</v>
      </c>
    </row>
    <row r="33" spans="1:18" ht="50.25" customHeight="1" thickBot="1" x14ac:dyDescent="0.3">
      <c r="A33" s="34" t="s">
        <v>166</v>
      </c>
      <c r="B33" s="7" t="s">
        <v>187</v>
      </c>
      <c r="C33" s="15" t="s">
        <v>235</v>
      </c>
      <c r="D33" s="83">
        <v>30000</v>
      </c>
      <c r="E33" s="84"/>
      <c r="F33" s="84"/>
      <c r="G33" s="84"/>
      <c r="H33" s="83">
        <f t="shared" si="9"/>
        <v>24000</v>
      </c>
      <c r="I33" s="84"/>
      <c r="J33" s="84"/>
      <c r="K33" s="84"/>
      <c r="L33" s="83">
        <f t="shared" si="10"/>
        <v>18000</v>
      </c>
      <c r="M33" s="84"/>
      <c r="N33" s="84"/>
      <c r="O33" s="84"/>
      <c r="P33" s="7" t="s">
        <v>9</v>
      </c>
      <c r="Q33" s="7" t="s">
        <v>169</v>
      </c>
      <c r="R33" s="59" t="s">
        <v>277</v>
      </c>
    </row>
    <row r="34" spans="1:18" ht="38.25" thickBot="1" x14ac:dyDescent="0.3">
      <c r="A34" s="14" t="s">
        <v>167</v>
      </c>
      <c r="B34" s="7" t="s">
        <v>188</v>
      </c>
      <c r="C34" s="15" t="s">
        <v>235</v>
      </c>
      <c r="D34" s="83">
        <v>1000</v>
      </c>
      <c r="E34" s="84"/>
      <c r="F34" s="84"/>
      <c r="G34" s="84"/>
      <c r="H34" s="83">
        <f t="shared" ref="H34" si="11">D34-(D34*20/100)</f>
        <v>800</v>
      </c>
      <c r="I34" s="84"/>
      <c r="J34" s="84"/>
      <c r="K34" s="84"/>
      <c r="L34" s="83">
        <f t="shared" ref="L34" si="12">D34-(D34*40/100)</f>
        <v>600</v>
      </c>
      <c r="M34" s="84"/>
      <c r="N34" s="84"/>
      <c r="O34" s="84"/>
      <c r="P34" s="7" t="s">
        <v>9</v>
      </c>
      <c r="Q34" s="7" t="s">
        <v>260</v>
      </c>
      <c r="R34" s="59" t="s">
        <v>272</v>
      </c>
    </row>
    <row r="37" spans="1:18" ht="15.75" x14ac:dyDescent="0.25">
      <c r="B37" s="46"/>
      <c r="P37" s="44"/>
    </row>
    <row r="38" spans="1:18" ht="15.75" x14ac:dyDescent="0.25">
      <c r="P38" s="44"/>
    </row>
    <row r="39" spans="1:18" ht="18.75" x14ac:dyDescent="0.45">
      <c r="P39" s="45"/>
    </row>
  </sheetData>
  <mergeCells count="98">
    <mergeCell ref="D33:G33"/>
    <mergeCell ref="L30:O30"/>
    <mergeCell ref="D7:G7"/>
    <mergeCell ref="H7:K7"/>
    <mergeCell ref="L7:O7"/>
    <mergeCell ref="L8:O8"/>
    <mergeCell ref="D9:G9"/>
    <mergeCell ref="D8:G8"/>
    <mergeCell ref="H8:K8"/>
    <mergeCell ref="L11:O11"/>
    <mergeCell ref="D12:G12"/>
    <mergeCell ref="H12:K12"/>
    <mergeCell ref="L12:O12"/>
    <mergeCell ref="H9:K9"/>
    <mergeCell ref="L20:O20"/>
    <mergeCell ref="D28:G28"/>
    <mergeCell ref="Q25:Q26"/>
    <mergeCell ref="L9:O9"/>
    <mergeCell ref="H10:K10"/>
    <mergeCell ref="D11:G11"/>
    <mergeCell ref="H11:K11"/>
    <mergeCell ref="D10:G10"/>
    <mergeCell ref="L10:O10"/>
    <mergeCell ref="H19:K19"/>
    <mergeCell ref="H18:K18"/>
    <mergeCell ref="Q15:Q16"/>
    <mergeCell ref="P15:P16"/>
    <mergeCell ref="L18:O18"/>
    <mergeCell ref="P25:P26"/>
    <mergeCell ref="D22:G22"/>
    <mergeCell ref="H22:K22"/>
    <mergeCell ref="L22:O22"/>
    <mergeCell ref="A1:Q1"/>
    <mergeCell ref="L17:O17"/>
    <mergeCell ref="D34:G34"/>
    <mergeCell ref="H33:K33"/>
    <mergeCell ref="L33:O33"/>
    <mergeCell ref="D31:G31"/>
    <mergeCell ref="H31:K31"/>
    <mergeCell ref="L31:O31"/>
    <mergeCell ref="D32:G32"/>
    <mergeCell ref="H32:K32"/>
    <mergeCell ref="L32:O32"/>
    <mergeCell ref="H34:K34"/>
    <mergeCell ref="L34:O34"/>
    <mergeCell ref="H24:K24"/>
    <mergeCell ref="B15:B16"/>
    <mergeCell ref="A25:A26"/>
    <mergeCell ref="B25:B26"/>
    <mergeCell ref="H30:K30"/>
    <mergeCell ref="D18:G18"/>
    <mergeCell ref="A15:A16"/>
    <mergeCell ref="D24:G24"/>
    <mergeCell ref="D30:G30"/>
    <mergeCell ref="H21:K21"/>
    <mergeCell ref="D21:G21"/>
    <mergeCell ref="D20:G20"/>
    <mergeCell ref="H20:K20"/>
    <mergeCell ref="D17:G17"/>
    <mergeCell ref="H17:K17"/>
    <mergeCell ref="D19:G19"/>
    <mergeCell ref="A27:Q27"/>
    <mergeCell ref="A28:A29"/>
    <mergeCell ref="B28:B29"/>
    <mergeCell ref="H28:K28"/>
    <mergeCell ref="L28:O28"/>
    <mergeCell ref="Q28:Q29"/>
    <mergeCell ref="P28:P29"/>
    <mergeCell ref="C28:C29"/>
    <mergeCell ref="D23:G23"/>
    <mergeCell ref="H23:K23"/>
    <mergeCell ref="L23:O23"/>
    <mergeCell ref="L21:O21"/>
    <mergeCell ref="L24:O24"/>
    <mergeCell ref="L19:O19"/>
    <mergeCell ref="C4:C5"/>
    <mergeCell ref="L14:O14"/>
    <mergeCell ref="L13:O13"/>
    <mergeCell ref="D13:G13"/>
    <mergeCell ref="H13:K13"/>
    <mergeCell ref="D14:G14"/>
    <mergeCell ref="H14:K14"/>
    <mergeCell ref="R28:R29"/>
    <mergeCell ref="R4:R5"/>
    <mergeCell ref="R15:R16"/>
    <mergeCell ref="R25:R26"/>
    <mergeCell ref="A2:Q2"/>
    <mergeCell ref="A3:Q3"/>
    <mergeCell ref="P4:P5"/>
    <mergeCell ref="Q4:Q5"/>
    <mergeCell ref="D6:G6"/>
    <mergeCell ref="H6:K6"/>
    <mergeCell ref="L6:O6"/>
    <mergeCell ref="A4:A5"/>
    <mergeCell ref="B4:B5"/>
    <mergeCell ref="D4:G4"/>
    <mergeCell ref="H4:K4"/>
    <mergeCell ref="L4:O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مصنع منتجات التجميل </vt:lpstr>
      <vt:lpstr>مستودع منتجات التجميل</vt:lpstr>
      <vt:lpstr> المدرج - المستورد </vt:lpstr>
      <vt:lpstr>منفذ البيع</vt:lpstr>
      <vt:lpstr>'مصنع منتجات التجميل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Enforcement Department</dc:creator>
  <cp:lastModifiedBy>SFDA</cp:lastModifiedBy>
  <cp:lastPrinted>2024-03-07T13:01:25Z</cp:lastPrinted>
  <dcterms:created xsi:type="dcterms:W3CDTF">2023-05-20T13:56:50Z</dcterms:created>
  <dcterms:modified xsi:type="dcterms:W3CDTF">2026-04-22T07:34:44Z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{"SFDA Production Policy Server (8c03fa3dfc99a77338dbfc773d179b293ec1c758)":{"ClassificationDisplayName":"Restricted - مقيد","ClassificationMode":"ClassificationMode_UserDriven","LabelId":"3","Version":"1"}}</vt:lpwstr>
  </property>
  <property fmtid="{D5CDD505-2E9C-101B-9397-08002B2CF9AE}" pid="3" name="SecloreClassificationDisplayName_8c03fa3dfc99a77338dbfc773d179b293ec1c758">
    <vt:lpwstr>Restricted - مقيد</vt:lpwstr>
  </property>
  <property fmtid="{D5CDD505-2E9C-101B-9397-08002B2CF9AE}" pid="4" name="SecloreClassificationFooterTextValue">
    <vt:lpwstr>Restricted -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Center</vt:lpwstr>
  </property>
</Properties>
</file>